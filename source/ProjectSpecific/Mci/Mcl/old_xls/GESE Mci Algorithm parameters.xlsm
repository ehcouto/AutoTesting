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BEATOAPRJ\Windy_Mcu_Nucleus_Plt_2_5_sBpm_Integration\source\ProjectSpecific\Mci\Mcl\"/>
    </mc:Choice>
  </mc:AlternateContent>
  <bookViews>
    <workbookView xWindow="0" yWindow="0" windowWidth="19170" windowHeight="6300" firstSheet="2" activeTab="7"/>
  </bookViews>
  <sheets>
    <sheet name="GUI forms" sheetId="20" r:id="rId1"/>
    <sheet name="Board Configuration Table" sheetId="19" r:id="rId2"/>
    <sheet name="Setting Table" sheetId="11" r:id="rId3"/>
    <sheet name="Dynamic Torque Limit" sheetId="21" r:id="rId4"/>
    <sheet name="Command Manager" sheetId="14" r:id="rId5"/>
    <sheet name="Mci Set Wm_32bit" sheetId="17" r:id="rId6"/>
    <sheet name="Mci Set Wm_16bit" sheetId="22" r:id="rId7"/>
    <sheet name="Mci Sensors Wm" sheetId="13" r:id="rId8"/>
  </sheets>
  <functionGroups builtInGroupCount="18"/>
  <externalReferences>
    <externalReference r:id="rId9"/>
    <externalReference r:id="rId10"/>
    <externalReference r:id="rId11"/>
  </externalReferences>
  <definedNames>
    <definedName name="BASE_CURRENT">'[1]Motor Parameters List'!$G$1142</definedName>
    <definedName name="BASE_SPEED_RPM">'[3]Parameters definition'!$C$39</definedName>
    <definedName name="BASE_TEMPERATURE">'[1]Motor Parameters List'!$G$1122</definedName>
    <definedName name="BASE_TIME">'[1]Motor Parameters List'!$G$1140</definedName>
    <definedName name="BASE_TORQ">'[3]Parameters definition'!$C$34</definedName>
    <definedName name="BASE_VOLTAGE">'[1]Motor Parameters List'!$G$1141</definedName>
    <definedName name="List_Variable_Sizes">'[2]Data validation entries'!$F$8:$F$17</definedName>
    <definedName name="OBSERVER_TS">'[3]Parameters definition'!$C$59</definedName>
    <definedName name="SPEED_KI_REGION_0">'[3]Parameters definition'!$C$151</definedName>
    <definedName name="SPEED_KP_REGION_0">'[3]Parameters definition'!$C$150</definedName>
  </definedNames>
  <calcPr calcId="152511"/>
</workbook>
</file>

<file path=xl/calcChain.xml><?xml version="1.0" encoding="utf-8"?>
<calcChain xmlns="http://schemas.openxmlformats.org/spreadsheetml/2006/main">
  <c r="F52" i="17" l="1"/>
  <c r="F51" i="17"/>
  <c r="F50" i="17"/>
  <c r="A107" i="22"/>
  <c r="A54" i="22"/>
  <c r="F53" i="22"/>
  <c r="G53" i="22" s="1"/>
  <c r="D53" i="22"/>
  <c r="D52" i="22"/>
  <c r="A52" i="22"/>
  <c r="F51" i="22"/>
  <c r="G51" i="22" s="1"/>
  <c r="D51" i="22"/>
  <c r="F50" i="22"/>
  <c r="G50" i="22" s="1"/>
  <c r="D50" i="22"/>
  <c r="F49" i="22"/>
  <c r="G49" i="22" s="1"/>
  <c r="D49" i="22"/>
  <c r="F48" i="22"/>
  <c r="G48" i="22" s="1"/>
  <c r="D48" i="22"/>
  <c r="F47" i="22"/>
  <c r="G47" i="22" s="1"/>
  <c r="D47" i="22"/>
  <c r="F46" i="22"/>
  <c r="G46" i="22" s="1"/>
  <c r="D46" i="22"/>
  <c r="F45" i="22"/>
  <c r="G45" i="22" s="1"/>
  <c r="H45" i="22" s="1"/>
  <c r="D45" i="22"/>
  <c r="H44" i="22"/>
  <c r="F44" i="22"/>
  <c r="D44" i="22"/>
  <c r="H43" i="22"/>
  <c r="D43" i="22"/>
  <c r="A43" i="22"/>
  <c r="F42" i="22"/>
  <c r="G42" i="22" s="1"/>
  <c r="D42" i="22"/>
  <c r="F41" i="22"/>
  <c r="G41" i="22" s="1"/>
  <c r="D41" i="22"/>
  <c r="F40" i="22"/>
  <c r="G40" i="22" s="1"/>
  <c r="D40" i="22"/>
  <c r="F39" i="22"/>
  <c r="G39" i="22" s="1"/>
  <c r="D39" i="22"/>
  <c r="F38" i="22"/>
  <c r="G38" i="22" s="1"/>
  <c r="H38" i="22" s="1"/>
  <c r="D38" i="22"/>
  <c r="F37" i="22"/>
  <c r="G37" i="22" s="1"/>
  <c r="D37" i="22"/>
  <c r="F36" i="22"/>
  <c r="G36" i="22" s="1"/>
  <c r="D36" i="22"/>
  <c r="H35" i="22"/>
  <c r="F35" i="22"/>
  <c r="D35" i="22"/>
  <c r="H34" i="22"/>
  <c r="D34" i="22"/>
  <c r="A34" i="22"/>
  <c r="G33" i="22"/>
  <c r="H33" i="22" s="1"/>
  <c r="F33" i="22"/>
  <c r="D33" i="22"/>
  <c r="F32" i="22"/>
  <c r="G32" i="22" s="1"/>
  <c r="D32" i="22"/>
  <c r="G31" i="22"/>
  <c r="H31" i="22" s="1"/>
  <c r="F31" i="22"/>
  <c r="D31" i="22"/>
  <c r="F30" i="22"/>
  <c r="G30" i="22" s="1"/>
  <c r="D30" i="22"/>
  <c r="F29" i="22"/>
  <c r="G29" i="22" s="1"/>
  <c r="D29" i="22"/>
  <c r="F28" i="22"/>
  <c r="G28" i="22" s="1"/>
  <c r="D28" i="22"/>
  <c r="F27" i="22"/>
  <c r="G27" i="22" s="1"/>
  <c r="D27" i="22"/>
  <c r="F26" i="22"/>
  <c r="G26" i="22" s="1"/>
  <c r="D26" i="22"/>
  <c r="H25" i="22"/>
  <c r="D25" i="22"/>
  <c r="A25" i="22"/>
  <c r="F24" i="22"/>
  <c r="G24" i="22" s="1"/>
  <c r="D24" i="22"/>
  <c r="G23" i="22"/>
  <c r="H23" i="22" s="1"/>
  <c r="F23" i="22"/>
  <c r="D23" i="22"/>
  <c r="F22" i="22"/>
  <c r="G22" i="22" s="1"/>
  <c r="D22" i="22"/>
  <c r="F21" i="22"/>
  <c r="G21" i="22" s="1"/>
  <c r="H21" i="22" s="1"/>
  <c r="D21" i="22"/>
  <c r="F20" i="22"/>
  <c r="G20" i="22" s="1"/>
  <c r="D20" i="22"/>
  <c r="F19" i="22"/>
  <c r="G19" i="22" s="1"/>
  <c r="D19" i="22"/>
  <c r="F18" i="22"/>
  <c r="G18" i="22" s="1"/>
  <c r="D18" i="22"/>
  <c r="F17" i="22"/>
  <c r="G17" i="22" s="1"/>
  <c r="D17" i="22"/>
  <c r="H16" i="22"/>
  <c r="D16" i="22"/>
  <c r="A16" i="22"/>
  <c r="F15" i="22"/>
  <c r="G15" i="22" s="1"/>
  <c r="D15" i="22"/>
  <c r="F14" i="22"/>
  <c r="G14" i="22" s="1"/>
  <c r="D14" i="22"/>
  <c r="F13" i="22"/>
  <c r="G13" i="22" s="1"/>
  <c r="H13" i="22" s="1"/>
  <c r="D13" i="22"/>
  <c r="F12" i="22"/>
  <c r="G12" i="22" s="1"/>
  <c r="D12" i="22"/>
  <c r="F11" i="22"/>
  <c r="G11" i="22" s="1"/>
  <c r="H11" i="22" s="1"/>
  <c r="D11" i="22"/>
  <c r="F10" i="22"/>
  <c r="G10" i="22" s="1"/>
  <c r="D10" i="22"/>
  <c r="F9" i="22"/>
  <c r="G9" i="22" s="1"/>
  <c r="D9" i="22"/>
  <c r="F8" i="22"/>
  <c r="G8" i="22" s="1"/>
  <c r="D8" i="22"/>
  <c r="D3" i="22" s="1"/>
  <c r="H7" i="22"/>
  <c r="A7" i="22"/>
  <c r="H6" i="22"/>
  <c r="A6" i="22"/>
  <c r="A45" i="17"/>
  <c r="A46" i="17"/>
  <c r="A47" i="17"/>
  <c r="A48" i="17"/>
  <c r="A53" i="17"/>
  <c r="G49" i="17"/>
  <c r="D52" i="17"/>
  <c r="D51" i="17"/>
  <c r="D50" i="17"/>
  <c r="D49" i="17"/>
  <c r="F44" i="17"/>
  <c r="G44" i="17" s="1"/>
  <c r="H44" i="17" s="1"/>
  <c r="F43" i="17"/>
  <c r="G43" i="17" s="1"/>
  <c r="F42" i="17"/>
  <c r="G42" i="17" s="1"/>
  <c r="H42" i="17" s="1"/>
  <c r="A39" i="17"/>
  <c r="A40" i="17"/>
  <c r="A41" i="17"/>
  <c r="D44" i="17"/>
  <c r="D43" i="17"/>
  <c r="D42" i="17"/>
  <c r="A12" i="17"/>
  <c r="F11" i="17"/>
  <c r="G11" i="17" s="1"/>
  <c r="D11" i="17"/>
  <c r="F10" i="17"/>
  <c r="G10" i="17" s="1"/>
  <c r="F9" i="17"/>
  <c r="G9" i="17" s="1"/>
  <c r="F8" i="17"/>
  <c r="G8" i="17" s="1"/>
  <c r="F37" i="17"/>
  <c r="F30" i="17"/>
  <c r="F23" i="17"/>
  <c r="F16" i="17"/>
  <c r="C21" i="19"/>
  <c r="C14" i="19"/>
  <c r="C13" i="19"/>
  <c r="C12" i="19"/>
  <c r="C10" i="19"/>
  <c r="H32" i="17"/>
  <c r="H33" i="17"/>
  <c r="H34" i="17"/>
  <c r="H36" i="17"/>
  <c r="H37" i="17"/>
  <c r="H12" i="17"/>
  <c r="H13" i="17"/>
  <c r="H15" i="17"/>
  <c r="H16" i="17"/>
  <c r="H18" i="17"/>
  <c r="H19" i="17"/>
  <c r="H20" i="17"/>
  <c r="H22" i="17"/>
  <c r="H23" i="17"/>
  <c r="H25" i="17"/>
  <c r="H26" i="17"/>
  <c r="H27" i="17"/>
  <c r="H29" i="17"/>
  <c r="H30" i="17"/>
  <c r="D14" i="17"/>
  <c r="H51" i="17"/>
  <c r="H52" i="17"/>
  <c r="H50" i="17"/>
  <c r="G52" i="17" l="1"/>
  <c r="G51" i="17"/>
  <c r="G50" i="17"/>
  <c r="H49" i="17"/>
  <c r="H41" i="22"/>
  <c r="H51" i="22"/>
  <c r="H18" i="22"/>
  <c r="H8" i="22"/>
  <c r="H29" i="22"/>
  <c r="H19" i="22"/>
  <c r="H9" i="22"/>
  <c r="H26" i="22"/>
  <c r="H30" i="22"/>
  <c r="H36" i="22"/>
  <c r="H49" i="22"/>
  <c r="H53" i="22"/>
  <c r="H24" i="22"/>
  <c r="H32" i="22"/>
  <c r="H22" i="22"/>
  <c r="H42" i="22"/>
  <c r="H39" i="22"/>
  <c r="H20" i="22"/>
  <c r="H46" i="22"/>
  <c r="H17" i="22"/>
  <c r="H14" i="22"/>
  <c r="H28" i="22"/>
  <c r="H15" i="22"/>
  <c r="H48" i="22"/>
  <c r="H12" i="22"/>
  <c r="H10" i="22"/>
  <c r="H27" i="22"/>
  <c r="H37" i="22"/>
  <c r="H50" i="22"/>
  <c r="H40" i="22"/>
  <c r="H47" i="22"/>
  <c r="H43" i="17"/>
  <c r="H11" i="17"/>
  <c r="A8" i="22" l="1"/>
  <c r="A9" i="22" s="1"/>
  <c r="A10" i="22" s="1"/>
  <c r="A11" i="22" s="1"/>
  <c r="A12" i="22" s="1"/>
  <c r="A13" i="22" s="1"/>
  <c r="A14" i="22" s="1"/>
  <c r="A15" i="22" s="1"/>
  <c r="A17" i="22" s="1"/>
  <c r="A18" i="22" s="1"/>
  <c r="A19" i="22" s="1"/>
  <c r="A20" i="22" s="1"/>
  <c r="A21" i="22" s="1"/>
  <c r="A22" i="22" s="1"/>
  <c r="A23" i="22" s="1"/>
  <c r="A24" i="22" s="1"/>
  <c r="A26" i="22" s="1"/>
  <c r="A27" i="22" s="1"/>
  <c r="A28" i="22" s="1"/>
  <c r="A29" i="22" s="1"/>
  <c r="A30" i="22" s="1"/>
  <c r="A31" i="22" s="1"/>
  <c r="A32" i="22" s="1"/>
  <c r="A33" i="22" s="1"/>
  <c r="A35" i="22" s="1"/>
  <c r="A36" i="22" s="1"/>
  <c r="A37" i="22" s="1"/>
  <c r="A38" i="22" s="1"/>
  <c r="A39" i="22" s="1"/>
  <c r="A40" i="22" s="1"/>
  <c r="A41" i="22" s="1"/>
  <c r="A42" i="22" s="1"/>
  <c r="A44" i="22" s="1"/>
  <c r="A45" i="22" s="1"/>
  <c r="A46" i="22" s="1"/>
  <c r="A47" i="22" s="1"/>
  <c r="A48" i="22" s="1"/>
  <c r="A49" i="22" s="1"/>
  <c r="A50" i="22" s="1"/>
  <c r="A51" i="22" s="1"/>
  <c r="A53" i="22" s="1"/>
  <c r="C11" i="19" l="1"/>
  <c r="D10" i="13" l="1"/>
  <c r="D9" i="13"/>
  <c r="D8" i="13"/>
  <c r="A13" i="17"/>
  <c r="A15" i="17"/>
  <c r="A16" i="17"/>
  <c r="A18" i="17"/>
  <c r="A19" i="17"/>
  <c r="A20" i="17"/>
  <c r="A22" i="17"/>
  <c r="A23" i="17"/>
  <c r="A25" i="17"/>
  <c r="A26" i="17"/>
  <c r="A27" i="17"/>
  <c r="A29" i="17"/>
  <c r="A30" i="17"/>
  <c r="A32" i="17"/>
  <c r="A33" i="17"/>
  <c r="A34" i="17"/>
  <c r="A36" i="17"/>
  <c r="A37" i="17"/>
  <c r="D9" i="17"/>
  <c r="D10" i="17"/>
  <c r="D12" i="17"/>
  <c r="D13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8" i="17"/>
  <c r="D3" i="14"/>
  <c r="A10" i="14"/>
  <c r="A11" i="14"/>
  <c r="A12" i="14"/>
  <c r="A16" i="14"/>
  <c r="A17" i="14"/>
  <c r="A18" i="14"/>
  <c r="D22" i="14"/>
  <c r="D21" i="14"/>
  <c r="D20" i="14"/>
  <c r="D19" i="14"/>
  <c r="D16" i="14"/>
  <c r="D15" i="14"/>
  <c r="D14" i="14"/>
  <c r="D13" i="14"/>
  <c r="D10" i="14"/>
  <c r="D9" i="14"/>
  <c r="D8" i="14"/>
  <c r="D7" i="14"/>
  <c r="D3" i="17" l="1"/>
  <c r="C15" i="19" l="1"/>
  <c r="F9" i="13" l="1"/>
  <c r="G9" i="13" s="1"/>
  <c r="F8" i="13"/>
  <c r="F8" i="14"/>
  <c r="H39" i="17"/>
  <c r="A106" i="17"/>
  <c r="H10" i="17"/>
  <c r="H8" i="17"/>
  <c r="H7" i="17"/>
  <c r="H6" i="17"/>
  <c r="A9" i="17" l="1"/>
  <c r="H9" i="17"/>
  <c r="H9" i="13"/>
  <c r="A9" i="13"/>
  <c r="A10" i="17"/>
  <c r="A11" i="17" l="1"/>
  <c r="A141" i="14"/>
  <c r="F22" i="14"/>
  <c r="G22" i="14" s="1"/>
  <c r="F21" i="14"/>
  <c r="G21" i="14" s="1"/>
  <c r="F20" i="14"/>
  <c r="G20" i="14" s="1"/>
  <c r="F19" i="14"/>
  <c r="G19" i="14" s="1"/>
  <c r="H18" i="14"/>
  <c r="H17" i="14"/>
  <c r="H16" i="14"/>
  <c r="F15" i="14"/>
  <c r="G15" i="14" s="1"/>
  <c r="F14" i="14"/>
  <c r="G14" i="14" s="1"/>
  <c r="F13" i="14"/>
  <c r="G13" i="14" s="1"/>
  <c r="H12" i="14"/>
  <c r="H11" i="14"/>
  <c r="H10" i="14"/>
  <c r="F9" i="14"/>
  <c r="G9" i="14" s="1"/>
  <c r="G8" i="14"/>
  <c r="A8" i="14" s="1"/>
  <c r="G7" i="14"/>
  <c r="H6" i="14"/>
  <c r="F10" i="13"/>
  <c r="G10" i="13" s="1"/>
  <c r="G8" i="13"/>
  <c r="A95" i="13"/>
  <c r="A9" i="14" l="1"/>
  <c r="H10" i="13"/>
  <c r="A10" i="13"/>
  <c r="H13" i="14"/>
  <c r="A13" i="14"/>
  <c r="H8" i="13"/>
  <c r="H7" i="14"/>
  <c r="H8" i="14"/>
  <c r="H9" i="14"/>
  <c r="H14" i="14"/>
  <c r="H15" i="14"/>
  <c r="H19" i="14"/>
  <c r="H20" i="14"/>
  <c r="H21" i="14"/>
  <c r="H22" i="14"/>
  <c r="A14" i="14" l="1"/>
  <c r="A15" i="14" l="1"/>
  <c r="A19" i="14" s="1"/>
  <c r="F17" i="17"/>
  <c r="F20" i="17"/>
  <c r="F21" i="17" s="1"/>
  <c r="F24" i="17"/>
  <c r="G24" i="17" s="1"/>
  <c r="F27" i="17"/>
  <c r="F28" i="17" s="1"/>
  <c r="F31" i="17"/>
  <c r="G31" i="17" s="1"/>
  <c r="F34" i="17"/>
  <c r="F35" i="17" s="1"/>
  <c r="F38" i="17"/>
  <c r="G38" i="17" s="1"/>
  <c r="F13" i="17"/>
  <c r="F14" i="17" s="1"/>
  <c r="G17" i="17" l="1"/>
  <c r="H17" i="17" s="1"/>
  <c r="A20" i="14"/>
  <c r="A21" i="14" s="1"/>
  <c r="H31" i="17"/>
  <c r="A22" i="14" l="1"/>
  <c r="H24" i="17"/>
  <c r="H38" i="17"/>
  <c r="G21" i="17"/>
  <c r="H21" i="17" s="1"/>
  <c r="G14" i="17" l="1"/>
  <c r="H14" i="17" s="1"/>
  <c r="G28" i="17"/>
  <c r="H28" i="17" s="1"/>
  <c r="G35" i="17"/>
  <c r="H35" i="17" s="1"/>
  <c r="A14" i="17" l="1"/>
  <c r="A17" i="17" l="1"/>
  <c r="A21" i="17" l="1"/>
  <c r="A24" i="17" l="1"/>
  <c r="A28" i="17"/>
  <c r="A31" i="17" s="1"/>
  <c r="A35" i="17" s="1"/>
  <c r="A38" i="17" s="1"/>
  <c r="A42" i="17" l="1"/>
  <c r="A43" i="17" s="1"/>
  <c r="A44" i="17" s="1"/>
  <c r="A49" i="17" s="1"/>
  <c r="A50" i="17" s="1"/>
  <c r="A51" i="17" s="1"/>
  <c r="A52" i="17" s="1"/>
</calcChain>
</file>

<file path=xl/sharedStrings.xml><?xml version="1.0" encoding="utf-8"?>
<sst xmlns="http://schemas.openxmlformats.org/spreadsheetml/2006/main" count="513" uniqueCount="287">
  <si>
    <t>Parametro</t>
  </si>
  <si>
    <t>Unità di Misura</t>
  </si>
  <si>
    <t>Valore Tipico</t>
  </si>
  <si>
    <t>Valore Minimo</t>
  </si>
  <si>
    <t>Valore Massimo</t>
  </si>
  <si>
    <t>Cifre Decimali</t>
  </si>
  <si>
    <t>rpm_M</t>
  </si>
  <si>
    <t>Base Speed</t>
  </si>
  <si>
    <t>Base Current</t>
  </si>
  <si>
    <t>Base Voltage</t>
  </si>
  <si>
    <t>Vpeak</t>
  </si>
  <si>
    <t>Apeak</t>
  </si>
  <si>
    <t>Base Torque</t>
  </si>
  <si>
    <t>V</t>
  </si>
  <si>
    <t>PWM Frequency</t>
  </si>
  <si>
    <t>Hz</t>
  </si>
  <si>
    <t>Base Bus Voltage</t>
  </si>
  <si>
    <t>Speed Controller (SC)</t>
  </si>
  <si>
    <t>Kp (rpm&lt;wash)</t>
  </si>
  <si>
    <t>Ki (rpm&lt;wash)</t>
  </si>
  <si>
    <t>Slow Control Loop Frequency</t>
  </si>
  <si>
    <t>adm</t>
  </si>
  <si>
    <t>Speed Regulator (Slow Loop)</t>
  </si>
  <si>
    <t>Is Max Spin</t>
  </si>
  <si>
    <t xml:space="preserve"> Base Current</t>
  </si>
  <si>
    <t>Is Max Thr Speed</t>
  </si>
  <si>
    <t xml:space="preserve">Base Speed </t>
  </si>
  <si>
    <t>Nm</t>
  </si>
  <si>
    <t>Base Theta</t>
  </si>
  <si>
    <t>rad</t>
  </si>
  <si>
    <t>Threshold Wash</t>
  </si>
  <si>
    <t>rpm_D</t>
  </si>
  <si>
    <t>Base Speed/RT</t>
  </si>
  <si>
    <t>Threshold Distribution</t>
  </si>
  <si>
    <t>Threshold Spin</t>
  </si>
  <si>
    <t>Kp (rpm&gt;wash)</t>
  </si>
  <si>
    <t>Ki(rpm&gt;wash)</t>
  </si>
  <si>
    <t>Kp (rpm&lt;spin)</t>
  </si>
  <si>
    <t>Ki (rpm&lt;spin)</t>
  </si>
  <si>
    <t>Kp (rpm&gt;spin)</t>
  </si>
  <si>
    <t>Ki (rpm&gt;spin)</t>
  </si>
  <si>
    <t>Transmission Ratio</t>
  </si>
  <si>
    <t>Ramp Limits</t>
  </si>
  <si>
    <t>Max Acceleration Low Speed</t>
  </si>
  <si>
    <t>rpm_D/s</t>
  </si>
  <si>
    <t>Max Acceleration High Speed</t>
  </si>
  <si>
    <t>Max Allowed Deceleration Low Speed</t>
  </si>
  <si>
    <t>Max Allowed Deceleration High Speed</t>
  </si>
  <si>
    <t>0.93 * Base Speed / Transmission Ratio =</t>
  </si>
  <si>
    <t>1.0 * Transmission Ratio / Turns Base * 32768 =1.0 * Transmission Ratio / 128 * 32768</t>
  </si>
  <si>
    <t>Nmm/(rpm s)</t>
  </si>
  <si>
    <t>Nmm/rpm</t>
  </si>
  <si>
    <t>[ Kp (rpm &lt; wash) / 1000 ] * Base Speed / Base Torque=</t>
  </si>
  <si>
    <t>[ Kp (rpm &gt; wash) / 1000 ] * Base Speed / Base Torque=</t>
  </si>
  <si>
    <t>[ Kp (rpm &lt; spin) / 1000 ] * Base Speed / Base Torque=</t>
  </si>
  <si>
    <t>[ Kp (rpm &gt; Spin) / 1000 ] * Base Speed / Base Torque=</t>
  </si>
  <si>
    <t>Application Parameters</t>
  </si>
  <si>
    <t>Transmission_Ratio</t>
  </si>
  <si>
    <t>Transmission Ratio * 256 =</t>
  </si>
  <si>
    <t>Mean_Over_Drum_Rev</t>
  </si>
  <si>
    <t>Free_Down_Gain</t>
  </si>
  <si>
    <t>Max_Allowed_Speed</t>
  </si>
  <si>
    <t>Max_Deceleration_Low_Speed</t>
  </si>
  <si>
    <t>Max Deceleration Low Speed * Transmission Ratio =</t>
  </si>
  <si>
    <t>Max_Deceleration_High_Speed</t>
  </si>
  <si>
    <t>Max Deceleration High Speed * Transmission Ratio =</t>
  </si>
  <si>
    <t>Max_Acceleration_Low_Speed</t>
  </si>
  <si>
    <t>Max Acceleration Low Speed * Transmission Ratio =</t>
  </si>
  <si>
    <t>Max_Acceleration_High_Speed</t>
  </si>
  <si>
    <t>Max Acceleration High Speed * Transmission Ratio =</t>
  </si>
  <si>
    <t>Low_Regulators_Thr_Speed</t>
  </si>
  <si>
    <t>Threshold Wash * Transmission Ratio =</t>
  </si>
  <si>
    <t>Med_Regulators_Thr_Speed</t>
  </si>
  <si>
    <t>Threshold Distribution * Transmission Ratio  =</t>
  </si>
  <si>
    <t>High_Regulators_Thr_Speed</t>
  </si>
  <si>
    <t>Threshold Spin * Transmission Ratio  =</t>
  </si>
  <si>
    <t>Dynamic Torque Limits (Slow Loop)</t>
  </si>
  <si>
    <t>Speed Limit 1 * Transmission Ratio / Base Speed * 32768 =</t>
  </si>
  <si>
    <t>Speed Limit 2 * Transmission Ratio / Base Speed * 32768 =</t>
  </si>
  <si>
    <t>Speed Limit 3 * Transmission Ratio / Base Speed * 32768 =</t>
  </si>
  <si>
    <t>Speed Limit 4 * Transmission Ratio / Base Speed * 32768 =</t>
  </si>
  <si>
    <t>Speed Limit 5 * Transmission Ratio / Base Speed * 32768 =</t>
  </si>
  <si>
    <t>Speed Limit 6 * Transmission Ratio / Base Speed * 32768 =</t>
  </si>
  <si>
    <t>Speed Limit 7 * Transmission Ratio / Base Speed * 32768 =</t>
  </si>
  <si>
    <t>Speed Limit 8 * Transmission Ratio / Base Speed * 32768 =</t>
  </si>
  <si>
    <t>Torque Limit 1 / (Base Torque[Kg cm_M]  *  Trasmission Ratio) * 32768 =</t>
  </si>
  <si>
    <t>Torque Limit 2 / (Base Torque[Kg cm_M]  *  Trasmission Ratio) * 32768 =</t>
  </si>
  <si>
    <t>Torque Limit 3 / (Base Torque[Kg cm_M]  *  Trasmission Ratio) * 32768 =</t>
  </si>
  <si>
    <t>Torque Limit 4 / (Base Torque[Kg cm_M]  *  Trasmission Ratio) * 32768 =</t>
  </si>
  <si>
    <t>Torque Limit 5 / (Base Torque[Kg cm_M]  *  Trasmission Ratio) * 32768 =</t>
  </si>
  <si>
    <t>Torque Limit 6 / (Base Torque[Kg cm_M]  *  Trasmission Ratio) * 32768 =</t>
  </si>
  <si>
    <t>Torque Limit 7 / (Base Torque[Kg cm_M]  *  Trasmission Ratio) * 32768 =</t>
  </si>
  <si>
    <t>Torque Limit 8 / (Base Torque[Kg cm_M]  *  Trasmission Ratio) * 32768 =</t>
  </si>
  <si>
    <t>se(Speed Limit 2 -Speed Limit 1)&gt;0;(Torque Limit 2 - Torque Limit 1)/(Speed Limit 2 -Speed Limit 1) * Base Speed /(Base Torque[Kg cm_M] * Trasmission Ratio^2)/ * 32768;0) =</t>
  </si>
  <si>
    <t>se(Speed Limit 3 -Speed Limit 2&gt;0;((Torque Limit 3 - Torque Limit 2)/(Speed Limit 3 -Speed Limit 2) *Base Speed /(Base Torque[Kg cm_M] * Trasmission Ratio^2)/ * 32768;0) =</t>
  </si>
  <si>
    <t>se(Speed Limit 4 -Speed Limit 3&gt;0;((Torque Limit 4 - Torque Limit 3)/(Speed Limit 4 -Speed Limit 3) *Base Speed /(Base Torque[Kg cm_M] * Trasmission Ratio^2)/ * 32768;0) =</t>
  </si>
  <si>
    <t>se(Speed Limit 5 -Speed Limit 4&gt;0;((Torque Limit 5 - Torque Limit 4)/(Speed Limit 5 -Speed Limit 4) *Base Speed /(Base Torque[Kg cm_M] * Trasmission Ratio^2)/ * 32768;0) =</t>
  </si>
  <si>
    <t>se(Speed Limit 6 -Speed Limit 5&gt;0;((Torque Limit 6 - Torque Limit 5)/(Speed Limit 6 -Speed Limit 7) *Base Speed /(Base Torque[Kg cm_M] * Trasmission Ratio^2)/ * 32768;0) =</t>
  </si>
  <si>
    <t>se(Speed Limit 7 -Speed Limit 6&gt;0;((Torque Limit 7 - Torque Limit 6)/(Speed Limit 7 -Speed Limit 6) *Base Speed /(Base Torque[Kg cm_M] * Trasmission Ratio^2)/ * 32768;0) =</t>
  </si>
  <si>
    <t>se(Speed Limit 8 -Speed Limit 7&gt;0;((Torque Limit 8 - Torque Limit 7)/(Speed Limit 8 -Speed Limit 7) *Base Speed /(Base Torque[Kg cm_M] * Trasmission Ratio^2)/ * 32768;0) =</t>
  </si>
  <si>
    <t xml:space="preserve">Speed </t>
  </si>
  <si>
    <t>Speed 1</t>
  </si>
  <si>
    <t>Speed 2</t>
  </si>
  <si>
    <t>Speed 3</t>
  </si>
  <si>
    <t>Speed 4</t>
  </si>
  <si>
    <t>Speed 5</t>
  </si>
  <si>
    <t>Speed 6</t>
  </si>
  <si>
    <t>Speed 7</t>
  </si>
  <si>
    <t>Speed 8</t>
  </si>
  <si>
    <t xml:space="preserve">Torque </t>
  </si>
  <si>
    <t>Torque 1</t>
  </si>
  <si>
    <t>kgcm_D</t>
  </si>
  <si>
    <t>Base Torque*RT</t>
  </si>
  <si>
    <t>Torque 2</t>
  </si>
  <si>
    <t>Torque 3</t>
  </si>
  <si>
    <t>Torque 4</t>
  </si>
  <si>
    <t>Torque 5</t>
  </si>
  <si>
    <t>Torque 6</t>
  </si>
  <si>
    <t>Torque 7</t>
  </si>
  <si>
    <t>Torque 8</t>
  </si>
  <si>
    <t>Ramp Limit</t>
  </si>
  <si>
    <t>SpeedLimit_0</t>
  </si>
  <si>
    <t>SpeedLimit_1</t>
  </si>
  <si>
    <t>SpeedLimit_2</t>
  </si>
  <si>
    <t>SpeedLimit_3</t>
  </si>
  <si>
    <t>SpeedLimit_4</t>
  </si>
  <si>
    <t>SpeedLimit_5</t>
  </si>
  <si>
    <t>SpeedLimit_6</t>
  </si>
  <si>
    <t>SpeedLimit_7</t>
  </si>
  <si>
    <t>TorqueLimit_0</t>
  </si>
  <si>
    <t>TorqueLimit_1</t>
  </si>
  <si>
    <t>TorqueLimit_2</t>
  </si>
  <si>
    <t>TorqueLimit_3</t>
  </si>
  <si>
    <t>TorqueLimit_4</t>
  </si>
  <si>
    <t>TorqueLimit_5</t>
  </si>
  <si>
    <t>TorqueLimit_6</t>
  </si>
  <si>
    <t>TorqueLimit_7</t>
  </si>
  <si>
    <t>Mlimit_0</t>
  </si>
  <si>
    <t>Mlimit_1</t>
  </si>
  <si>
    <t>Mlimit_2</t>
  </si>
  <si>
    <t>Mlimit_3</t>
  </si>
  <si>
    <t>Mlimit_4</t>
  </si>
  <si>
    <t>Mlimit_5</t>
  </si>
  <si>
    <t>Mlimit_6</t>
  </si>
  <si>
    <t>Mlimit_7</t>
  </si>
  <si>
    <t>Dynamic Torque Limit</t>
  </si>
  <si>
    <t xml:space="preserve"> Rule Torque </t>
  </si>
  <si>
    <t>Torque Norm 1</t>
  </si>
  <si>
    <t>Torque Norm 2</t>
  </si>
  <si>
    <t>Torque Norm 3</t>
  </si>
  <si>
    <t>Torque Norm 4</t>
  </si>
  <si>
    <t>Torque Norm 5</t>
  </si>
  <si>
    <t>Torque Norm 6</t>
  </si>
  <si>
    <t>Torque Norm 7</t>
  </si>
  <si>
    <t>Torque Norm 8</t>
  </si>
  <si>
    <t xml:space="preserve"> Rule Vdc </t>
  </si>
  <si>
    <t>Vdc Norm</t>
  </si>
  <si>
    <t>Vrms</t>
  </si>
  <si>
    <t xml:space="preserve"> Base Bus Voltage/radq(2)</t>
  </si>
  <si>
    <t>TorqueLimit_Norm_0</t>
  </si>
  <si>
    <t>TorqueLimit_Norm_1</t>
  </si>
  <si>
    <t>TorqueLimit_Norm_2</t>
  </si>
  <si>
    <t>TorqueLimit_Norm_3</t>
  </si>
  <si>
    <t>TorqueLimit_Norm_4</t>
  </si>
  <si>
    <t>TorqueLimit_Norm_5</t>
  </si>
  <si>
    <t>TorqueLimit_Norm_6</t>
  </si>
  <si>
    <t>TorqueLimit_Norm_7</t>
  </si>
  <si>
    <t>Torque Limit Norm 1 / (Base Torque[Kg cm_M]  *  Trasmission Ratio) * 32768 =</t>
  </si>
  <si>
    <t>Torque Limit Norm 2 / (Base Torque[Kg cm_M]  *  Trasmission Ratio) * 32768 =</t>
  </si>
  <si>
    <t>Torque Limit Norm 3 / (Base Torque[Kg cm_M]  *  Trasmission Ratio) * 32768 =</t>
  </si>
  <si>
    <t>Torque Limit Norm 4 / (Base Torque[Kg cm_M]  *  Trasmission Ratio) * 32768 =</t>
  </si>
  <si>
    <t>Torque Limit Norm 5 / (Base Torque[Kg cm_M]  *  Trasmission Ratio) * 32768 =</t>
  </si>
  <si>
    <t>Torque Limit Norm 6 / (Base Torque[Kg cm_M]  *  Trasmission Ratio) * 32768 =</t>
  </si>
  <si>
    <t>Torque Limit Norm 7 / (Base Torque[Kg cm_M]  *  Trasmission Ratio) * 32768 =</t>
  </si>
  <si>
    <t>Torque Limit Norm 8 / (Base Torque[Kg cm_M]  *  Trasmission Ratio) * 32768 =</t>
  </si>
  <si>
    <t>Mlimit_Norm_0</t>
  </si>
  <si>
    <t>Mlimit_Norm_1</t>
  </si>
  <si>
    <t>Mlimit_Norm_2</t>
  </si>
  <si>
    <t>Mlimit_Norm_3</t>
  </si>
  <si>
    <t>Mlimit_Norm_4</t>
  </si>
  <si>
    <t>Mlimit_Norm_5</t>
  </si>
  <si>
    <t>Mlimit_Norm_6</t>
  </si>
  <si>
    <t>Mlimit_Norm_7</t>
  </si>
  <si>
    <t>se(Speed Limit 2 -Speed Limit 1)&gt;0;(Torque Limit Norm 2 - Torque Limit Norm 1)/(Speed Limit 2 -Speed Limit 1) * Base Speed /(Base Torque[Kg cm_M] * Trasmission Ratio^2)/ * 32768;0) =</t>
  </si>
  <si>
    <t>se(Speed Limit 3 -Speed Limit 2&gt;0;((Torque Limit Norm 3 - Torque Limit Norm 2)/(Speed Limit 3 -Speed Limit 2) *Base Speed /(Base Torque[Kg cm_M] * Trasmission Ratio^2)/ * 32768;0) =</t>
  </si>
  <si>
    <t>se(Speed Limit 4 -Speed Limit 3&gt;0;((Torque Limit Norm 4 - Torque Limit Norm 3)/(Speed Limit 4 -Speed Limit 3) *Base Speed /(Base Torque[Kg cm_M] * Trasmission Ratio^2)/ * 32768;0) =</t>
  </si>
  <si>
    <t>se(Speed Limit 5 -Speed Limit 4&gt;0;((Torque Limit Norm 5 - Torque Limit Norm 4)/(Speed Limit 5 -Speed Limit 4) *Base Speed /(Base Torque[Kg cm_M] * Trasmission Ratio^2)/ * 32768;0) =</t>
  </si>
  <si>
    <t>se(Speed Limit 6 -Speed Limit 5&gt;0;((Torque Limit Norm 6 - Torque Limit Norm 5)/(Speed Limit 6 -Speed Limit 7) *Base Speed /(Base Torque[Kg cm_M] * Trasmission Ratio^2)/ * 32768;0) =</t>
  </si>
  <si>
    <t>se(Speed Limit 7 -Speed Limit 6&gt;0;((Torque Limit Norm 7 - Torque Limit Norm 6)/(Speed Limit 7 -Speed Limit 6) *Base Speed /(Base Torque[Kg cm_M] * Trasmission Ratio^2)/ * 32768;0) =</t>
  </si>
  <si>
    <t>se(Speed Limit 8 -Speed Limit 7&gt;0;((Torque Limit Norm 8 - Torque Limit Norm 7)/(Speed Limit 8 -Speed Limit 7) *Base Speed /(Base Torque[Kg cm_M] * Trasmission Ratio^2)/ * 32768;0) =</t>
  </si>
  <si>
    <t/>
  </si>
  <si>
    <t>Vdc_Norm</t>
  </si>
  <si>
    <t>Vdc Normativa *1.414 =</t>
  </si>
  <si>
    <t>Sensors &amp; Algorithms</t>
  </si>
  <si>
    <t>Algo Frequency</t>
  </si>
  <si>
    <t>Algo Frequency /(Threshold Wash * Transmission Ratio)  *32768 =</t>
  </si>
  <si>
    <t>2^15 / 60 / Turns Base /Algo Frequency * 32768 = Speedbase[Hz] / 128/ Algo Frequency* 32768 =</t>
  </si>
  <si>
    <t>Parameter</t>
  </si>
  <si>
    <t>Unit</t>
  </si>
  <si>
    <t>Typical Value</t>
  </si>
  <si>
    <t>Min</t>
  </si>
  <si>
    <t>Max</t>
  </si>
  <si>
    <t>Decimal places</t>
  </si>
  <si>
    <t>Requirements</t>
  </si>
  <si>
    <t>- the table is independent from motor control strategy and application</t>
  </si>
  <si>
    <t>- the values are used in the formulas for the generation of parameters in other tables</t>
  </si>
  <si>
    <t>- the values must be aligned with the fw definition (they are embedded in the firmware)</t>
  </si>
  <si>
    <t>Is Max</t>
  </si>
  <si>
    <t xml:space="preserve">Per Unit Model </t>
  </si>
  <si>
    <t xml:space="preserve">Put here the names of the GESE tables required by the displacement implementation  </t>
  </si>
  <si>
    <t>NAME</t>
  </si>
  <si>
    <t>Frequency</t>
  </si>
  <si>
    <t>EXCEL FORMULA</t>
  </si>
  <si>
    <t>Name</t>
  </si>
  <si>
    <t>Formula</t>
  </si>
  <si>
    <t>Command Manager - Parameters to Data Structure Conversion(template for word aligned data structures - all parameters in 16bit format)</t>
  </si>
  <si>
    <t>Mci Set - Parameters to Data Structure Conversion(template for word aligned data structures - all parameters in 16bit format)</t>
  </si>
  <si>
    <t>Kp_SpeedLow</t>
  </si>
  <si>
    <t>Ki_SpeedLow</t>
  </si>
  <si>
    <t>Kp_SpeedMed</t>
  </si>
  <si>
    <t>Ki_SpeedMed</t>
  </si>
  <si>
    <t>Kp_SpeedHigh</t>
  </si>
  <si>
    <t>Ki_SpeedHigh</t>
  </si>
  <si>
    <t>Kp_SpeedVeryHigh</t>
  </si>
  <si>
    <t>Ki_SpeedVeryHigh</t>
  </si>
  <si>
    <t>Mci Sensor - Parameters to Data Structure Conversion(template for word aligned data structures - all parameters in 16bit format)</t>
  </si>
  <si>
    <t>Note</t>
  </si>
  <si>
    <t xml:space="preserve">Algorithm </t>
  </si>
  <si>
    <t>Motor Table</t>
  </si>
  <si>
    <t>Board Configuration Table</t>
  </si>
  <si>
    <t>Motor SR Table</t>
  </si>
  <si>
    <t>Index</t>
  </si>
  <si>
    <t>Type</t>
  </si>
  <si>
    <t>Size bytes</t>
  </si>
  <si>
    <t>Settings file size [bytes]:</t>
  </si>
  <si>
    <t>sint16</t>
  </si>
  <si>
    <t>float32</t>
  </si>
  <si>
    <t>16 bit (HEXA)</t>
  </si>
  <si>
    <t>Decimal (16 bit)</t>
  </si>
  <si>
    <t xml:space="preserve">K_Turns </t>
  </si>
  <si>
    <t>Spinning_Thr_Speed</t>
  </si>
  <si>
    <t>sint32</t>
  </si>
  <si>
    <t>KpSpeedLow*32768</t>
  </si>
  <si>
    <t>Prop_Gain_Speed_Low</t>
  </si>
  <si>
    <t>Integ_Gain_Speed_Low</t>
  </si>
  <si>
    <t>KpSpeedMed*32768</t>
  </si>
  <si>
    <t>Prop_Gain_Speed_Med</t>
  </si>
  <si>
    <t>Integ_Gain_Speed_Med</t>
  </si>
  <si>
    <t>Prop_Gain_Speed_High</t>
  </si>
  <si>
    <t>Integ_Gain_Speed_High</t>
  </si>
  <si>
    <t>KpSpeedHigh*32768</t>
  </si>
  <si>
    <t>KpSpeedVeryHigh*32768</t>
  </si>
  <si>
    <t>[ Ki (rpm &lt; wash) / 1000 ] * Base Speed / Base Torque/  Control Loop Frequency=</t>
  </si>
  <si>
    <t>[ Ki (rpm &gt; wash) / 1000 ] * Base Speed / Base Torque/ Control Loop Frequency=</t>
  </si>
  <si>
    <t>[ Ki (rpm &lt; spin) / 1000 ] * Base Speed / Base Torque/ Control Loop Frequency=</t>
  </si>
  <si>
    <t>[ Ki (rpm &gt; spin) / 1000 ] * Base Speed / Base Torque/Control Loop Frequency=</t>
  </si>
  <si>
    <t>Max Speed Motor</t>
  </si>
  <si>
    <t>Control Loop Frequency</t>
  </si>
  <si>
    <t>KiSpeedLow*2^20</t>
  </si>
  <si>
    <t>KiSpeedMed*2^20</t>
  </si>
  <si>
    <t>KiSpeedHigh*2^20</t>
  </si>
  <si>
    <t>KiSpeedVeryHigh*2^20</t>
  </si>
  <si>
    <t>Threshold Wash * Transmission Ratio / SpeedBase =</t>
  </si>
  <si>
    <t>Threshold Distribution * Transmission Ratio / SpeedBase   =</t>
  </si>
  <si>
    <t>Threshold Spin * Transmission Ratio  / SpeedBase   =</t>
  </si>
  <si>
    <t>Very_High_Regulators_Thr_Speed</t>
  </si>
  <si>
    <t>Max Speed  / SpeedBase   =</t>
  </si>
  <si>
    <t>Prop_Gain_Speed_VeryHigh</t>
  </si>
  <si>
    <t>Integ_Gain_Speed_VeryHigh</t>
  </si>
  <si>
    <t>Base Speed Indesit</t>
  </si>
  <si>
    <t>Base Torque Indesit</t>
  </si>
  <si>
    <t>Nm_M</t>
  </si>
  <si>
    <t>Is Max Tumbling</t>
  </si>
  <si>
    <t>IsMaxThrSpeed</t>
  </si>
  <si>
    <t>Max_Squared_Spin_Current</t>
  </si>
  <si>
    <t>Max_Squared_Tumbling_Current</t>
  </si>
  <si>
    <t>Ismax threshold speed  / SpeedBase   =</t>
  </si>
  <si>
    <t>Ismax_spinning ^2  / CurrentBase =</t>
  </si>
  <si>
    <t>Ismax_tumbling ^2 / CurrentBase =</t>
  </si>
  <si>
    <t>Conversion Factors</t>
  </si>
  <si>
    <t>IndesitSpeedBase</t>
  </si>
  <si>
    <t>TorqueBaseFactor</t>
  </si>
  <si>
    <t xml:space="preserve">   Prop_Gain_Speed_Conversion</t>
  </si>
  <si>
    <t xml:space="preserve">   Integ_Gain_Speed_Conversion</t>
  </si>
  <si>
    <t>Base Torque Indesit / Base Torque DTC</t>
  </si>
  <si>
    <t>Base Torque/ Base Speed / 32768</t>
  </si>
  <si>
    <t>Base Torque/ Base Speed / 32768 / 32 * Control Freq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</si>
</sst>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25" x14ac:knownFonts="1">
    <font>
      <sz val="11"/>
      <color theme="1"/>
      <name val="Calibri"/>
      <family val="2"/>
      <scheme val="minor"/>
    </font>
    <font>
      <i/>
      <sz val="13"/>
      <name val="Calibri"/>
      <family val="2"/>
    </font>
    <font>
      <b/>
      <i/>
      <sz val="11"/>
      <name val="Calibri"/>
      <family val="2"/>
    </font>
    <font>
      <i/>
      <sz val="11"/>
      <name val="Calibri"/>
      <family val="2"/>
      <scheme val="minor"/>
    </font>
    <font>
      <i/>
      <sz val="13"/>
      <color theme="1"/>
      <name val="Calibri"/>
      <family val="2"/>
    </font>
    <font>
      <b/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i/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color indexed="10"/>
      <name val="Calibri"/>
      <family val="2"/>
    </font>
    <font>
      <b/>
      <sz val="11"/>
      <color indexed="8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3"/>
      <color indexed="8"/>
      <name val="Calibri"/>
      <family val="2"/>
    </font>
    <font>
      <b/>
      <i/>
      <sz val="13"/>
      <name val="Calibri"/>
      <family val="2"/>
    </font>
    <font>
      <b/>
      <sz val="20"/>
      <color rgb="FF000000"/>
      <name val="Calibri"/>
      <family val="2"/>
    </font>
    <font>
      <b/>
      <sz val="26"/>
      <color theme="1"/>
      <name val="Calibri"/>
      <family val="2"/>
      <scheme val="minor"/>
    </font>
    <font>
      <b/>
      <i/>
      <sz val="28"/>
      <color rgb="FFFF0000"/>
      <name val="Calibri"/>
      <family val="2"/>
      <scheme val="minor"/>
    </font>
    <font>
      <i/>
      <sz val="15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BE5F1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E4DFEC"/>
        <bgColor rgb="FF00000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5">
    <xf numFmtId="0" fontId="0" fillId="0" borderId="0" xfId="0"/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13" fillId="0" borderId="0" xfId="0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0" fontId="17" fillId="0" borderId="0" xfId="0" applyFont="1" applyFill="1" applyAlignment="1">
      <alignment horizontal="center" vertical="center" wrapText="1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left"/>
    </xf>
    <xf numFmtId="0" fontId="0" fillId="0" borderId="0" xfId="0" applyFill="1" applyAlignment="1">
      <alignment wrapText="1"/>
    </xf>
    <xf numFmtId="0" fontId="8" fillId="6" borderId="0" xfId="0" applyFont="1" applyFill="1" applyAlignment="1">
      <alignment horizontal="center" wrapText="1"/>
    </xf>
    <xf numFmtId="0" fontId="9" fillId="0" borderId="0" xfId="0" applyFont="1" applyFill="1" applyAlignment="1">
      <alignment vertical="center" wrapText="1"/>
    </xf>
    <xf numFmtId="0" fontId="0" fillId="0" borderId="0" xfId="0" applyFill="1" applyAlignment="1"/>
    <xf numFmtId="0" fontId="0" fillId="0" borderId="0" xfId="0" applyAlignment="1">
      <alignment horizontal="center" wrapText="1"/>
    </xf>
    <xf numFmtId="164" fontId="7" fillId="0" borderId="1" xfId="0" applyNumberFormat="1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0" fillId="0" borderId="0" xfId="0" applyFill="1" applyBorder="1"/>
    <xf numFmtId="0" fontId="10" fillId="0" borderId="0" xfId="0" applyFont="1" applyFill="1" applyBorder="1" applyAlignment="1">
      <alignment horizontal="right"/>
    </xf>
    <xf numFmtId="0" fontId="8" fillId="0" borderId="0" xfId="0" applyFont="1" applyFill="1" applyBorder="1" applyAlignment="1"/>
    <xf numFmtId="0" fontId="0" fillId="0" borderId="0" xfId="0" applyFill="1" applyBorder="1" applyAlignment="1">
      <alignment horizontal="center"/>
    </xf>
    <xf numFmtId="1" fontId="8" fillId="0" borderId="0" xfId="0" applyNumberFormat="1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0" fillId="0" borderId="0" xfId="0" applyFill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2" fontId="7" fillId="4" borderId="1" xfId="0" applyNumberFormat="1" applyFont="1" applyFill="1" applyBorder="1" applyAlignment="1">
      <alignment horizontal="center"/>
    </xf>
    <xf numFmtId="0" fontId="10" fillId="0" borderId="0" xfId="0" applyFont="1" applyAlignment="1">
      <alignment horizontal="right"/>
    </xf>
    <xf numFmtId="0" fontId="0" fillId="6" borderId="0" xfId="0" applyFill="1" applyAlignment="1">
      <alignment horizontal="center"/>
    </xf>
    <xf numFmtId="0" fontId="8" fillId="6" borderId="0" xfId="0" applyFont="1" applyFill="1" applyBorder="1" applyAlignment="1">
      <alignment horizontal="center"/>
    </xf>
    <xf numFmtId="0" fontId="0" fillId="0" borderId="0" xfId="0" applyAlignment="1"/>
    <xf numFmtId="0" fontId="17" fillId="0" borderId="0" xfId="0" applyFont="1" applyFill="1" applyAlignment="1">
      <alignment horizontal="right"/>
    </xf>
    <xf numFmtId="0" fontId="0" fillId="0" borderId="0" xfId="0" applyNumberFormat="1" applyFill="1" applyAlignment="1">
      <alignment horizontal="center"/>
    </xf>
    <xf numFmtId="0" fontId="0" fillId="0" borderId="0" xfId="0" applyAlignment="1">
      <alignment wrapText="1"/>
    </xf>
    <xf numFmtId="0" fontId="18" fillId="6" borderId="0" xfId="0" applyFont="1" applyFill="1" applyAlignment="1">
      <alignment horizontal="center" vertical="center" wrapText="1"/>
    </xf>
    <xf numFmtId="0" fontId="6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 wrapText="1"/>
    </xf>
    <xf numFmtId="0" fontId="0" fillId="0" borderId="0" xfId="0" applyNumberFormat="1" applyFill="1" applyBorder="1" applyAlignment="1">
      <alignment horizontal="center"/>
    </xf>
    <xf numFmtId="0" fontId="17" fillId="0" borderId="0" xfId="0" applyFont="1" applyFill="1" applyBorder="1" applyAlignment="1">
      <alignment horizontal="right"/>
    </xf>
    <xf numFmtId="0" fontId="0" fillId="0" borderId="0" xfId="0" applyFill="1" applyBorder="1" applyAlignment="1"/>
    <xf numFmtId="0" fontId="0" fillId="0" borderId="0" xfId="0" applyNumberFormat="1" applyFill="1" applyBorder="1" applyAlignment="1">
      <alignment horizontal="center" vertical="center"/>
    </xf>
    <xf numFmtId="0" fontId="17" fillId="0" borderId="0" xfId="0" applyFont="1" applyFill="1" applyBorder="1" applyAlignment="1"/>
    <xf numFmtId="0" fontId="15" fillId="0" borderId="0" xfId="0" applyFont="1" applyFill="1" applyBorder="1" applyAlignment="1">
      <alignment horizontal="right"/>
    </xf>
    <xf numFmtId="0" fontId="16" fillId="0" borderId="0" xfId="0" applyFont="1" applyFill="1" applyBorder="1" applyAlignment="1"/>
    <xf numFmtId="0" fontId="8" fillId="0" borderId="0" xfId="0" applyFont="1" applyFill="1" applyBorder="1" applyAlignment="1">
      <alignment horizontal="center"/>
    </xf>
    <xf numFmtId="0" fontId="6" fillId="0" borderId="0" xfId="0" applyFont="1" applyFill="1" applyBorder="1"/>
    <xf numFmtId="0" fontId="6" fillId="0" borderId="0" xfId="0" applyNumberFormat="1" applyFont="1" applyFill="1" applyBorder="1" applyAlignment="1">
      <alignment horizontal="center"/>
    </xf>
    <xf numFmtId="0" fontId="0" fillId="0" borderId="0" xfId="0" applyNumberFormat="1" applyFill="1" applyBorder="1"/>
    <xf numFmtId="0" fontId="14" fillId="0" borderId="0" xfId="0" applyFont="1" applyFill="1" applyBorder="1" applyAlignment="1">
      <alignment horizontal="center"/>
    </xf>
    <xf numFmtId="0" fontId="0" fillId="0" borderId="0" xfId="0" applyFont="1" applyFill="1" applyBorder="1" applyAlignment="1"/>
    <xf numFmtId="0" fontId="0" fillId="0" borderId="0" xfId="0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8" fillId="8" borderId="0" xfId="0" applyFont="1" applyFill="1" applyAlignment="1"/>
    <xf numFmtId="1" fontId="7" fillId="0" borderId="1" xfId="0" applyNumberFormat="1" applyFont="1" applyFill="1" applyBorder="1" applyAlignment="1">
      <alignment horizontal="center"/>
    </xf>
    <xf numFmtId="0" fontId="8" fillId="0" borderId="0" xfId="0" applyFont="1" applyAlignment="1"/>
    <xf numFmtId="165" fontId="7" fillId="0" borderId="1" xfId="0" applyNumberFormat="1" applyFont="1" applyFill="1" applyBorder="1" applyAlignment="1">
      <alignment horizontal="center"/>
    </xf>
    <xf numFmtId="0" fontId="8" fillId="0" borderId="0" xfId="0" applyFont="1" applyFill="1" applyAlignment="1"/>
    <xf numFmtId="0" fontId="0" fillId="0" borderId="0" xfId="0"/>
    <xf numFmtId="0" fontId="5" fillId="3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0" fontId="0" fillId="0" borderId="0" xfId="0" applyFill="1" applyBorder="1"/>
    <xf numFmtId="0" fontId="0" fillId="0" borderId="0" xfId="0" applyFill="1"/>
    <xf numFmtId="0" fontId="8" fillId="6" borderId="0" xfId="0" applyFont="1" applyFill="1" applyAlignment="1">
      <alignment horizontal="center"/>
    </xf>
    <xf numFmtId="0" fontId="6" fillId="6" borderId="0" xfId="0" applyFont="1" applyFill="1"/>
    <xf numFmtId="0" fontId="8" fillId="5" borderId="0" xfId="0" applyFont="1" applyFill="1" applyAlignment="1"/>
    <xf numFmtId="0" fontId="10" fillId="0" borderId="0" xfId="0" applyFont="1" applyFill="1" applyAlignment="1">
      <alignment horizontal="right"/>
    </xf>
    <xf numFmtId="0" fontId="0" fillId="0" borderId="0" xfId="0" applyNumberFormat="1" applyAlignment="1">
      <alignment horizontal="center"/>
    </xf>
    <xf numFmtId="0" fontId="0" fillId="0" borderId="0" xfId="0" applyNumberFormat="1"/>
    <xf numFmtId="0" fontId="12" fillId="7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0" xfId="0" applyFill="1"/>
    <xf numFmtId="0" fontId="8" fillId="6" borderId="0" xfId="0" applyFont="1" applyFill="1" applyAlignment="1">
      <alignment horizontal="center"/>
    </xf>
    <xf numFmtId="0" fontId="8" fillId="5" borderId="0" xfId="0" applyFont="1" applyFill="1" applyAlignment="1"/>
    <xf numFmtId="0" fontId="10" fillId="0" borderId="0" xfId="0" applyFont="1" applyFill="1" applyAlignment="1">
      <alignment horizontal="right"/>
    </xf>
    <xf numFmtId="0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left"/>
    </xf>
    <xf numFmtId="0" fontId="8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wrapText="1"/>
    </xf>
    <xf numFmtId="0" fontId="13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wrapText="1"/>
    </xf>
    <xf numFmtId="0" fontId="0" fillId="0" borderId="0" xfId="0" applyFill="1" applyBorder="1" applyAlignment="1">
      <alignment horizontal="right"/>
    </xf>
    <xf numFmtId="0" fontId="9" fillId="0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6" fillId="10" borderId="1" xfId="0" applyFont="1" applyFill="1" applyBorder="1" applyAlignment="1">
      <alignment horizontal="center"/>
    </xf>
    <xf numFmtId="1" fontId="7" fillId="10" borderId="1" xfId="0" applyNumberFormat="1" applyFon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8" fillId="0" borderId="0" xfId="0" applyFont="1"/>
    <xf numFmtId="0" fontId="0" fillId="0" borderId="0" xfId="0" quotePrefix="1"/>
    <xf numFmtId="0" fontId="17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9" fillId="10" borderId="0" xfId="0" applyFont="1" applyFill="1" applyAlignment="1">
      <alignment horizontal="center" vertical="center" wrapText="1"/>
    </xf>
    <xf numFmtId="2" fontId="7" fillId="0" borderId="0" xfId="0" applyNumberFormat="1" applyFont="1" applyFill="1" applyBorder="1" applyAlignment="1">
      <alignment horizontal="center"/>
    </xf>
    <xf numFmtId="0" fontId="11" fillId="7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right" vertical="center" wrapText="1"/>
    </xf>
    <xf numFmtId="0" fontId="24" fillId="0" borderId="0" xfId="0" applyFont="1" applyFill="1" applyAlignment="1">
      <alignment vertical="center" wrapText="1"/>
    </xf>
    <xf numFmtId="0" fontId="1" fillId="2" borderId="4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0" fillId="9" borderId="1" xfId="0" applyFont="1" applyFill="1" applyBorder="1" applyAlignment="1">
      <alignment horizontal="center"/>
    </xf>
    <xf numFmtId="0" fontId="24" fillId="0" borderId="0" xfId="0" applyFont="1" applyFill="1" applyAlignment="1">
      <alignment horizontal="right" vertical="center"/>
    </xf>
    <xf numFmtId="0" fontId="23" fillId="7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17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0" fontId="4" fillId="2" borderId="2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8" fillId="0" borderId="0" xfId="0" applyFont="1" applyFill="1"/>
    <xf numFmtId="1" fontId="7" fillId="0" borderId="0" xfId="0" applyNumberFormat="1" applyFont="1" applyFill="1" applyBorder="1" applyAlignment="1">
      <alignment horizontal="center"/>
    </xf>
    <xf numFmtId="165" fontId="7" fillId="0" borderId="1" xfId="0" applyNumberFormat="1" applyFont="1" applyFill="1" applyBorder="1" applyAlignment="1">
      <alignment horizontal="center"/>
    </xf>
    <xf numFmtId="165" fontId="7" fillId="0" borderId="1" xfId="0" applyNumberFormat="1" applyFont="1" applyFill="1" applyBorder="1" applyAlignment="1">
      <alignment horizontal="center"/>
    </xf>
    <xf numFmtId="0" fontId="0" fillId="0" borderId="0" xfId="0"/>
    <xf numFmtId="0" fontId="3" fillId="0" borderId="1" xfId="0" applyFont="1" applyFill="1" applyBorder="1" applyAlignment="1">
      <alignment horizontal="center"/>
    </xf>
    <xf numFmtId="0" fontId="6" fillId="6" borderId="0" xfId="0" applyFont="1" applyFill="1"/>
    <xf numFmtId="0" fontId="0" fillId="0" borderId="0" xfId="0" applyFill="1" applyAlignment="1">
      <alignment wrapText="1"/>
    </xf>
    <xf numFmtId="0" fontId="9" fillId="0" borderId="0" xfId="0" applyFont="1" applyFill="1" applyAlignment="1">
      <alignment vertical="center" wrapText="1"/>
    </xf>
    <xf numFmtId="0" fontId="6" fillId="0" borderId="0" xfId="0" applyNumberFormat="1" applyFont="1" applyAlignment="1">
      <alignment horizontal="center"/>
    </xf>
    <xf numFmtId="164" fontId="7" fillId="0" borderId="1" xfId="0" applyNumberFormat="1" applyFont="1" applyFill="1" applyBorder="1" applyAlignment="1">
      <alignment horizontal="center"/>
    </xf>
    <xf numFmtId="0" fontId="0" fillId="0" borderId="0" xfId="0" applyFill="1" applyBorder="1"/>
    <xf numFmtId="0" fontId="10" fillId="0" borderId="0" xfId="0" applyFont="1" applyFill="1" applyBorder="1" applyAlignment="1">
      <alignment horizontal="right"/>
    </xf>
    <xf numFmtId="0" fontId="8" fillId="0" borderId="0" xfId="0" applyFont="1" applyFill="1" applyBorder="1" applyAlignment="1"/>
    <xf numFmtId="0" fontId="0" fillId="0" borderId="0" xfId="0" applyFill="1" applyBorder="1" applyAlignment="1">
      <alignment horizontal="center"/>
    </xf>
    <xf numFmtId="1" fontId="8" fillId="0" borderId="0" xfId="0" applyNumberFormat="1" applyFont="1" applyFill="1" applyBorder="1" applyAlignment="1">
      <alignment horizontal="center"/>
    </xf>
    <xf numFmtId="0" fontId="0" fillId="0" borderId="0" xfId="0" applyFill="1"/>
    <xf numFmtId="0" fontId="8" fillId="6" borderId="0" xfId="0" applyFont="1" applyFill="1" applyAlignment="1">
      <alignment horizontal="center"/>
    </xf>
    <xf numFmtId="0" fontId="8" fillId="5" borderId="0" xfId="0" applyFont="1" applyFill="1" applyAlignment="1"/>
    <xf numFmtId="0" fontId="10" fillId="0" borderId="0" xfId="0" applyFont="1" applyFill="1" applyAlignment="1">
      <alignment horizontal="right"/>
    </xf>
    <xf numFmtId="0" fontId="8" fillId="0" borderId="0" xfId="0" applyFont="1" applyFill="1" applyAlignment="1"/>
    <xf numFmtId="0" fontId="8" fillId="0" borderId="0" xfId="0" applyFont="1" applyAlignment="1"/>
    <xf numFmtId="0" fontId="0" fillId="0" borderId="0" xfId="0" applyNumberFormat="1" applyAlignment="1">
      <alignment horizontal="center"/>
    </xf>
    <xf numFmtId="0" fontId="0" fillId="0" borderId="0" xfId="0" applyAlignment="1"/>
    <xf numFmtId="0" fontId="17" fillId="0" borderId="0" xfId="0" applyFon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NumberFormat="1"/>
    <xf numFmtId="0" fontId="6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 wrapText="1"/>
    </xf>
    <xf numFmtId="0" fontId="0" fillId="0" borderId="0" xfId="0" applyNumberFormat="1" applyFill="1" applyBorder="1" applyAlignment="1">
      <alignment horizontal="center"/>
    </xf>
    <xf numFmtId="0" fontId="17" fillId="0" borderId="0" xfId="0" applyFont="1" applyFill="1" applyBorder="1" applyAlignment="1">
      <alignment horizontal="right"/>
    </xf>
    <xf numFmtId="0" fontId="0" fillId="0" borderId="0" xfId="0" applyFill="1" applyBorder="1" applyAlignment="1"/>
    <xf numFmtId="0" fontId="0" fillId="0" borderId="0" xfId="0" applyNumberFormat="1" applyFill="1" applyBorder="1" applyAlignment="1">
      <alignment horizontal="center" vertical="center"/>
    </xf>
    <xf numFmtId="0" fontId="17" fillId="0" borderId="0" xfId="0" applyFont="1" applyFill="1" applyBorder="1" applyAlignment="1"/>
    <xf numFmtId="0" fontId="15" fillId="0" borderId="0" xfId="0" applyFont="1" applyFill="1" applyBorder="1" applyAlignment="1">
      <alignment horizontal="right"/>
    </xf>
    <xf numFmtId="0" fontId="16" fillId="0" borderId="0" xfId="0" applyFont="1" applyFill="1" applyBorder="1" applyAlignment="1"/>
    <xf numFmtId="0" fontId="8" fillId="0" borderId="0" xfId="0" applyFont="1" applyFill="1" applyBorder="1" applyAlignment="1">
      <alignment horizontal="center"/>
    </xf>
    <xf numFmtId="0" fontId="6" fillId="0" borderId="0" xfId="0" applyFont="1" applyFill="1" applyBorder="1"/>
    <xf numFmtId="0" fontId="6" fillId="0" borderId="0" xfId="0" applyNumberFormat="1" applyFont="1" applyFill="1" applyBorder="1" applyAlignment="1">
      <alignment horizontal="center"/>
    </xf>
    <xf numFmtId="0" fontId="0" fillId="0" borderId="0" xfId="0" applyNumberFormat="1" applyFill="1" applyBorder="1"/>
    <xf numFmtId="0" fontId="14" fillId="0" borderId="0" xfId="0" applyFont="1" applyFill="1" applyBorder="1" applyAlignment="1">
      <alignment horizontal="center"/>
    </xf>
    <xf numFmtId="0" fontId="0" fillId="0" borderId="0" xfId="0" applyFont="1" applyFill="1" applyBorder="1" applyAlignment="1"/>
    <xf numFmtId="0" fontId="0" fillId="0" borderId="0" xfId="0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9" fillId="0" borderId="0" xfId="0" applyFont="1" applyFill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8" fillId="5" borderId="0" xfId="0" applyFont="1" applyFill="1" applyAlignment="1">
      <alignment horizontal="left"/>
    </xf>
    <xf numFmtId="0" fontId="8" fillId="6" borderId="0" xfId="0" applyFont="1" applyFill="1"/>
    <xf numFmtId="0" fontId="6" fillId="0" borderId="1" xfId="0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0" fontId="9" fillId="1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right" vertical="center" wrapText="1"/>
    </xf>
    <xf numFmtId="0" fontId="24" fillId="0" borderId="0" xfId="0" applyFont="1" applyFill="1" applyAlignment="1">
      <alignment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161925</xdr:colOff>
      <xdr:row>1</xdr:row>
      <xdr:rowOff>38100</xdr:rowOff>
    </xdr:from>
    <xdr:to>
      <xdr:col>22</xdr:col>
      <xdr:colOff>38100</xdr:colOff>
      <xdr:row>32</xdr:row>
      <xdr:rowOff>76200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7125" y="228600"/>
          <a:ext cx="5972175" cy="594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1107281</xdr:colOff>
      <xdr:row>0</xdr:row>
      <xdr:rowOff>0</xdr:rowOff>
    </xdr:from>
    <xdr:to>
      <xdr:col>10</xdr:col>
      <xdr:colOff>235744</xdr:colOff>
      <xdr:row>35</xdr:row>
      <xdr:rowOff>120590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37344" y="0"/>
          <a:ext cx="6224588" cy="68651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333375</xdr:colOff>
      <xdr:row>0</xdr:row>
      <xdr:rowOff>0</xdr:rowOff>
    </xdr:from>
    <xdr:to>
      <xdr:col>18</xdr:col>
      <xdr:colOff>123013</xdr:colOff>
      <xdr:row>38</xdr:row>
      <xdr:rowOff>103836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34575" y="0"/>
          <a:ext cx="6495238" cy="7514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657225</xdr:colOff>
          <xdr:row>9</xdr:row>
          <xdr:rowOff>190500</xdr:rowOff>
        </xdr:from>
        <xdr:to>
          <xdr:col>15</xdr:col>
          <xdr:colOff>0</xdr:colOff>
          <xdr:row>14</xdr:row>
          <xdr:rowOff>180975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</a:rPr>
                <a:t>Make ApplicationParams_prv.h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2457450</xdr:colOff>
          <xdr:row>1</xdr:row>
          <xdr:rowOff>161925</xdr:rowOff>
        </xdr:from>
        <xdr:to>
          <xdr:col>4</xdr:col>
          <xdr:colOff>6067425</xdr:colOff>
          <xdr:row>3</xdr:row>
          <xdr:rowOff>428625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</a:rPr>
                <a:t>Make ApplicationParams_prv.h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ssio.beato/Lavoro/MCI2/Parametrization/Copy%20of%20Parameter_List_DD_TM2_VF_ClassA_and_ClassB_ETNA_release_0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igi.fagnano/Downloads/430806-%20GESE%20Mci%20parameters%20Class%20A%20ptr%20-%20DTC%20Variant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GESE%20Mci%20parameters%20Class%20A%20ptr%20-%20sBPM%20DTC%20Variant%20-%20sBPM%2027m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 List (Class A- ETNA)"/>
      <sheetName val="JANUS DD Mcl Params "/>
      <sheetName val="Motor Parameters List"/>
      <sheetName val="Motor Class B"/>
      <sheetName val="Plan4"/>
      <sheetName val="Param_Of_Motors"/>
      <sheetName val="IpmTemp Etna"/>
      <sheetName val="Dt etna"/>
      <sheetName val="draft mtpa lut"/>
      <sheetName val="draft lut ld"/>
      <sheetName val="draft lut lq"/>
      <sheetName val="draft lut ldq"/>
      <sheetName val="Test Plan"/>
      <sheetName val="Defines to be tested"/>
      <sheetName val="Plan3"/>
    </sheetNames>
    <sheetDataSet>
      <sheetData sheetId="0"/>
      <sheetData sheetId="1"/>
      <sheetData sheetId="2">
        <row r="1122">
          <cell r="G1122">
            <v>200</v>
          </cell>
        </row>
        <row r="1140">
          <cell r="G1140">
            <v>6.5668013106286649E-3</v>
          </cell>
        </row>
        <row r="1141">
          <cell r="G1141">
            <v>288</v>
          </cell>
        </row>
        <row r="1142">
          <cell r="G1142">
            <v>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 Instructions"/>
      <sheetName val="GUI forms"/>
      <sheetName val="Parameters definition"/>
      <sheetName val="Displ0"/>
      <sheetName val="Displ1"/>
      <sheetName val="Displ3"/>
      <sheetName val="Displ4"/>
      <sheetName val="Displ5"/>
      <sheetName val="Data validation entries"/>
      <sheetName val="Plan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8">
          <cell r="F8" t="str">
            <v>sint8</v>
          </cell>
        </row>
        <row r="9">
          <cell r="F9" t="str">
            <v>sint16</v>
          </cell>
        </row>
        <row r="10">
          <cell r="F10" t="str">
            <v>sint32</v>
          </cell>
        </row>
        <row r="11">
          <cell r="F11" t="str">
            <v>sint64</v>
          </cell>
        </row>
        <row r="12">
          <cell r="F12" t="str">
            <v>uint8</v>
          </cell>
        </row>
        <row r="13">
          <cell r="F13" t="str">
            <v>uint16</v>
          </cell>
        </row>
        <row r="14">
          <cell r="F14" t="str">
            <v>uint32</v>
          </cell>
        </row>
        <row r="15">
          <cell r="F15" t="str">
            <v>uint64</v>
          </cell>
        </row>
        <row r="16">
          <cell r="F16" t="str">
            <v>float32</v>
          </cell>
        </row>
        <row r="17">
          <cell r="F17" t="str">
            <v>double64</v>
          </cell>
        </row>
      </sheetData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 Instructions"/>
      <sheetName val="GUI forms"/>
      <sheetName val="Parameters definition"/>
      <sheetName val="Displ0"/>
      <sheetName val="Displ1"/>
      <sheetName val="Displ3"/>
      <sheetName val="Displ4"/>
      <sheetName val="Displ5"/>
      <sheetName val="Displ9"/>
      <sheetName val="Displ10"/>
      <sheetName val="Data validation entries"/>
    </sheetNames>
    <definedNames>
      <definedName name="BASE_CURRENT" refersTo="='Parameters definition'!$C$29"/>
      <definedName name="BASE_SPEED_RPM" refersTo="='Parameters definition'!$C$39"/>
      <definedName name="BASE_TORQ" refersTo="='Parameters definition'!$C$34"/>
      <definedName name="BASE_VOLTAGE" refersTo="='Parameters definition'!$C$27"/>
      <definedName name="BASE_VOLTAGE_BUS" refersTo="='Parameters definition'!$C$28"/>
      <definedName name="OBSERVER_TS" refersTo="='Parameters definition'!$C$59"/>
    </definedNames>
    <sheetDataSet>
      <sheetData sheetId="0"/>
      <sheetData sheetId="1"/>
      <sheetData sheetId="2">
        <row r="27">
          <cell r="C27">
            <v>256</v>
          </cell>
        </row>
        <row r="28">
          <cell r="C28">
            <v>444</v>
          </cell>
        </row>
        <row r="29">
          <cell r="C29">
            <v>8.2200000000000006</v>
          </cell>
        </row>
        <row r="34">
          <cell r="C34">
            <v>13.784940000000001</v>
          </cell>
        </row>
        <row r="39">
          <cell r="C39">
            <v>2186.6010070585976</v>
          </cell>
        </row>
        <row r="59">
          <cell r="C59">
            <v>1.25E-4</v>
          </cell>
        </row>
        <row r="150">
          <cell r="C150">
            <v>8.0000000000000002E-3</v>
          </cell>
        </row>
        <row r="151">
          <cell r="C151">
            <v>6.4999999999999997E-3</v>
          </cell>
        </row>
      </sheetData>
      <sheetData sheetId="3"/>
      <sheetData sheetId="4">
        <row r="29">
          <cell r="C29" t="str">
            <v>sint32</v>
          </cell>
        </row>
        <row r="34">
          <cell r="C34" t="str">
            <v>sint32</v>
          </cell>
        </row>
        <row r="39">
          <cell r="C39" t="str">
            <v>sint32</v>
          </cell>
        </row>
        <row r="59">
          <cell r="C59" t="str">
            <v>sint32</v>
          </cell>
        </row>
      </sheetData>
      <sheetData sheetId="5">
        <row r="27">
          <cell r="C27" t="str">
            <v>sint32</v>
          </cell>
        </row>
        <row r="28">
          <cell r="C28" t="str">
            <v>sint32</v>
          </cell>
        </row>
        <row r="29">
          <cell r="C29" t="str">
            <v>sint32</v>
          </cell>
        </row>
        <row r="34">
          <cell r="C34" t="str">
            <v>sint32</v>
          </cell>
        </row>
        <row r="59">
          <cell r="C59" t="str">
            <v>sint32</v>
          </cell>
        </row>
      </sheetData>
      <sheetData sheetId="6">
        <row r="27">
          <cell r="C27" t="str">
            <v>sint32</v>
          </cell>
        </row>
        <row r="28">
          <cell r="C28" t="str">
            <v>sint32</v>
          </cell>
        </row>
        <row r="29">
          <cell r="C29" t="str">
            <v>sint32</v>
          </cell>
        </row>
        <row r="34">
          <cell r="C34" t="str">
            <v>sint32</v>
          </cell>
        </row>
        <row r="39">
          <cell r="C39" t="str">
            <v>sint32</v>
          </cell>
        </row>
      </sheetData>
      <sheetData sheetId="7">
        <row r="27">
          <cell r="C27" t="str">
            <v>sint32</v>
          </cell>
        </row>
        <row r="28">
          <cell r="C28" t="str">
            <v>sint32</v>
          </cell>
        </row>
        <row r="29">
          <cell r="C29" t="str">
            <v>sint32</v>
          </cell>
        </row>
        <row r="34">
          <cell r="C34" t="str">
            <v>sint32</v>
          </cell>
        </row>
        <row r="39">
          <cell r="C39" t="str">
            <v>sint32</v>
          </cell>
        </row>
        <row r="59">
          <cell r="C59" t="str">
            <v>sint32</v>
          </cell>
        </row>
      </sheetData>
      <sheetData sheetId="8">
        <row r="27">
          <cell r="C27" t="str">
            <v>sint32</v>
          </cell>
        </row>
        <row r="28">
          <cell r="C28" t="str">
            <v>sint32</v>
          </cell>
        </row>
        <row r="29">
          <cell r="C29" t="str">
            <v>sint32</v>
          </cell>
        </row>
        <row r="34">
          <cell r="C34" t="str">
            <v>sint32</v>
          </cell>
        </row>
        <row r="39">
          <cell r="C39" t="str">
            <v>sint32</v>
          </cell>
        </row>
        <row r="59">
          <cell r="C59" t="str">
            <v>sint32</v>
          </cell>
        </row>
      </sheetData>
      <sheetData sheetId="9">
        <row r="27">
          <cell r="C27" t="str">
            <v>sint32</v>
          </cell>
        </row>
        <row r="28">
          <cell r="C28" t="str">
            <v>sint32</v>
          </cell>
        </row>
        <row r="29">
          <cell r="C29" t="str">
            <v>sint32</v>
          </cell>
        </row>
        <row r="34">
          <cell r="C34" t="str">
            <v>sint32</v>
          </cell>
        </row>
        <row r="39">
          <cell r="C39" t="str">
            <v>sint32</v>
          </cell>
        </row>
        <row r="59">
          <cell r="C59" t="str">
            <v>sint32</v>
          </cell>
        </row>
      </sheetData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C8"/>
  <sheetViews>
    <sheetView workbookViewId="0">
      <selection activeCell="Y9" sqref="Y9"/>
    </sheetView>
  </sheetViews>
  <sheetFormatPr defaultRowHeight="15" x14ac:dyDescent="0.25"/>
  <cols>
    <col min="1" max="16384" width="9.140625" style="57"/>
  </cols>
  <sheetData>
    <row r="3" spans="3:3" x14ac:dyDescent="0.25">
      <c r="C3" s="57" t="s">
        <v>209</v>
      </c>
    </row>
    <row r="5" spans="3:3" x14ac:dyDescent="0.25">
      <c r="C5" s="96" t="s">
        <v>210</v>
      </c>
    </row>
    <row r="6" spans="3:3" x14ac:dyDescent="0.25">
      <c r="C6" s="57" t="s">
        <v>229</v>
      </c>
    </row>
    <row r="7" spans="3:3" x14ac:dyDescent="0.25">
      <c r="C7" s="57" t="s">
        <v>228</v>
      </c>
    </row>
    <row r="8" spans="3:3" x14ac:dyDescent="0.25">
      <c r="C8" s="57" t="s">
        <v>230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F22"/>
  <sheetViews>
    <sheetView workbookViewId="0">
      <selection activeCell="A14" sqref="A14"/>
    </sheetView>
  </sheetViews>
  <sheetFormatPr defaultRowHeight="15" x14ac:dyDescent="0.25"/>
  <cols>
    <col min="1" max="1" width="31.28515625" customWidth="1"/>
    <col min="2" max="2" width="18.7109375" customWidth="1"/>
    <col min="3" max="3" width="20.140625" customWidth="1"/>
    <col min="4" max="4" width="18.42578125" customWidth="1"/>
    <col min="5" max="5" width="18.140625" customWidth="1"/>
    <col min="6" max="6" width="28.42578125" customWidth="1"/>
  </cols>
  <sheetData>
    <row r="2" spans="1:6" x14ac:dyDescent="0.25">
      <c r="A2" s="96" t="s">
        <v>203</v>
      </c>
      <c r="B2" s="57"/>
      <c r="C2" s="57"/>
      <c r="D2" s="57"/>
      <c r="E2" s="57"/>
    </row>
    <row r="3" spans="1:6" x14ac:dyDescent="0.25">
      <c r="A3" s="97" t="s">
        <v>204</v>
      </c>
      <c r="B3" s="57"/>
      <c r="C3" s="57"/>
      <c r="D3" s="57"/>
      <c r="E3" s="57"/>
    </row>
    <row r="4" spans="1:6" x14ac:dyDescent="0.25">
      <c r="A4" s="97" t="s">
        <v>205</v>
      </c>
      <c r="B4" s="57"/>
      <c r="C4" s="57"/>
      <c r="D4" s="57"/>
      <c r="E4" s="57"/>
    </row>
    <row r="5" spans="1:6" x14ac:dyDescent="0.25">
      <c r="A5" s="97" t="s">
        <v>206</v>
      </c>
      <c r="B5" s="57"/>
      <c r="C5" s="57"/>
      <c r="D5" s="57"/>
      <c r="E5" s="57"/>
    </row>
    <row r="8" spans="1:6" ht="17.25" x14ac:dyDescent="0.3">
      <c r="A8" s="107" t="s">
        <v>208</v>
      </c>
      <c r="B8" s="107"/>
      <c r="C8" s="107"/>
      <c r="D8" s="107"/>
      <c r="E8" s="107"/>
      <c r="F8" s="107"/>
    </row>
    <row r="9" spans="1:6" x14ac:dyDescent="0.25">
      <c r="A9" s="94" t="s">
        <v>197</v>
      </c>
      <c r="B9" s="94" t="s">
        <v>198</v>
      </c>
      <c r="C9" s="94" t="s">
        <v>199</v>
      </c>
      <c r="D9" s="94" t="s">
        <v>200</v>
      </c>
      <c r="E9" s="94" t="s">
        <v>201</v>
      </c>
      <c r="F9" s="94" t="s">
        <v>202</v>
      </c>
    </row>
    <row r="10" spans="1:6" x14ac:dyDescent="0.25">
      <c r="A10" s="95" t="s">
        <v>9</v>
      </c>
      <c r="B10" s="73" t="s">
        <v>13</v>
      </c>
      <c r="C10" s="53">
        <f>[3]!BASE_VOLTAGE</f>
        <v>256</v>
      </c>
      <c r="D10" s="73">
        <v>0</v>
      </c>
      <c r="E10" s="73">
        <v>500</v>
      </c>
      <c r="F10" s="73">
        <v>0</v>
      </c>
    </row>
    <row r="11" spans="1:6" x14ac:dyDescent="0.25">
      <c r="A11" s="73" t="s">
        <v>16</v>
      </c>
      <c r="B11" s="73" t="s">
        <v>10</v>
      </c>
      <c r="C11" s="55">
        <f>[3]!BASE_VOLTAGE_BUS</f>
        <v>444</v>
      </c>
      <c r="D11" s="73">
        <v>0</v>
      </c>
      <c r="E11" s="73">
        <v>1000</v>
      </c>
      <c r="F11" s="73">
        <v>1</v>
      </c>
    </row>
    <row r="12" spans="1:6" x14ac:dyDescent="0.25">
      <c r="A12" s="73" t="s">
        <v>8</v>
      </c>
      <c r="B12" s="73" t="s">
        <v>11</v>
      </c>
      <c r="C12" s="13">
        <f>[3]!BASE_CURRENT</f>
        <v>8.2200000000000006</v>
      </c>
      <c r="D12" s="73">
        <v>0</v>
      </c>
      <c r="E12" s="73">
        <v>20</v>
      </c>
      <c r="F12" s="73">
        <v>3</v>
      </c>
    </row>
    <row r="13" spans="1:6" x14ac:dyDescent="0.25">
      <c r="A13" s="73" t="s">
        <v>12</v>
      </c>
      <c r="B13" s="73" t="s">
        <v>27</v>
      </c>
      <c r="C13" s="13">
        <f>[3]!BASE_TORQ</f>
        <v>13.784940000000001</v>
      </c>
      <c r="D13" s="73">
        <v>0</v>
      </c>
      <c r="E13" s="73">
        <v>200</v>
      </c>
      <c r="F13" s="73">
        <v>3</v>
      </c>
    </row>
    <row r="14" spans="1:6" x14ac:dyDescent="0.25">
      <c r="A14" s="73" t="s">
        <v>7</v>
      </c>
      <c r="B14" s="73" t="s">
        <v>6</v>
      </c>
      <c r="C14" s="53">
        <f>[3]!BASE_SPEED_RPM</f>
        <v>2186.6010070585976</v>
      </c>
      <c r="D14" s="73">
        <v>0</v>
      </c>
      <c r="E14" s="73">
        <v>30000</v>
      </c>
      <c r="F14" s="73">
        <v>0</v>
      </c>
    </row>
    <row r="15" spans="1:6" x14ac:dyDescent="0.25">
      <c r="A15" s="73" t="s">
        <v>28</v>
      </c>
      <c r="B15" s="73" t="s">
        <v>29</v>
      </c>
      <c r="C15" s="13">
        <f>PI()</f>
        <v>3.1415926535897931</v>
      </c>
      <c r="D15" s="73">
        <v>0</v>
      </c>
      <c r="E15" s="73">
        <v>100</v>
      </c>
      <c r="F15" s="73">
        <v>3</v>
      </c>
    </row>
    <row r="18" spans="1:6" ht="17.25" x14ac:dyDescent="0.3">
      <c r="A18" s="108" t="s">
        <v>211</v>
      </c>
      <c r="B18" s="108"/>
      <c r="C18" s="108"/>
      <c r="D18" s="108"/>
      <c r="E18" s="108"/>
      <c r="F18" s="108"/>
    </row>
    <row r="19" spans="1:6" x14ac:dyDescent="0.25">
      <c r="A19" s="94" t="s">
        <v>197</v>
      </c>
      <c r="B19" s="94" t="s">
        <v>198</v>
      </c>
      <c r="C19" s="94" t="s">
        <v>199</v>
      </c>
      <c r="D19" s="94" t="s">
        <v>200</v>
      </c>
      <c r="E19" s="94" t="s">
        <v>201</v>
      </c>
      <c r="F19" s="94" t="s">
        <v>202</v>
      </c>
    </row>
    <row r="20" spans="1:6" x14ac:dyDescent="0.25">
      <c r="A20" s="2" t="s">
        <v>14</v>
      </c>
      <c r="B20" s="2" t="s">
        <v>15</v>
      </c>
      <c r="C20" s="53"/>
      <c r="D20" s="98">
        <v>0</v>
      </c>
      <c r="E20" s="2">
        <v>20000</v>
      </c>
      <c r="F20" s="2">
        <v>0</v>
      </c>
    </row>
    <row r="21" spans="1:6" x14ac:dyDescent="0.25">
      <c r="A21" s="2" t="s">
        <v>257</v>
      </c>
      <c r="B21" s="2" t="s">
        <v>15</v>
      </c>
      <c r="C21" s="53">
        <f>1/[3]!OBSERVER_TS</f>
        <v>8000</v>
      </c>
      <c r="D21" s="98">
        <v>0</v>
      </c>
      <c r="E21" s="2">
        <v>20000</v>
      </c>
      <c r="F21" s="2">
        <v>0</v>
      </c>
    </row>
    <row r="22" spans="1:6" x14ac:dyDescent="0.25">
      <c r="A22" s="2" t="s">
        <v>20</v>
      </c>
      <c r="B22" s="2" t="s">
        <v>15</v>
      </c>
      <c r="C22" s="14"/>
      <c r="D22" s="98">
        <v>0</v>
      </c>
      <c r="E22" s="2">
        <v>10000</v>
      </c>
      <c r="F22" s="2">
        <v>0</v>
      </c>
    </row>
  </sheetData>
  <mergeCells count="2">
    <mergeCell ref="A8:F8"/>
    <mergeCell ref="A18:F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K83"/>
  <sheetViews>
    <sheetView zoomScale="106" zoomScaleNormal="106" workbookViewId="0">
      <selection activeCell="C23" sqref="C23"/>
    </sheetView>
  </sheetViews>
  <sheetFormatPr defaultColWidth="26.5703125" defaultRowHeight="15" x14ac:dyDescent="0.25"/>
  <cols>
    <col min="1" max="1" width="45.85546875" customWidth="1"/>
  </cols>
  <sheetData>
    <row r="1" spans="1:8" ht="17.25" x14ac:dyDescent="0.3">
      <c r="A1" s="99" t="s">
        <v>227</v>
      </c>
      <c r="B1" s="99"/>
      <c r="C1" s="99"/>
      <c r="D1" s="99"/>
      <c r="E1" s="99"/>
      <c r="F1" s="99"/>
    </row>
    <row r="2" spans="1:8" x14ac:dyDescent="0.25">
      <c r="A2" s="58" t="s">
        <v>0</v>
      </c>
      <c r="B2" s="58" t="s">
        <v>1</v>
      </c>
      <c r="C2" s="58" t="s">
        <v>2</v>
      </c>
      <c r="D2" s="58" t="s">
        <v>3</v>
      </c>
      <c r="E2" s="58" t="s">
        <v>4</v>
      </c>
      <c r="F2" s="58" t="s">
        <v>5</v>
      </c>
    </row>
    <row r="3" spans="1:8" s="57" customFormat="1" x14ac:dyDescent="0.25">
      <c r="A3" s="91" t="s">
        <v>194</v>
      </c>
      <c r="B3" s="91" t="s">
        <v>15</v>
      </c>
      <c r="C3" s="92">
        <v>200</v>
      </c>
      <c r="D3" s="93">
        <v>0</v>
      </c>
      <c r="E3" s="91">
        <v>20000</v>
      </c>
      <c r="F3" s="91">
        <v>0</v>
      </c>
      <c r="G3" s="120"/>
    </row>
    <row r="4" spans="1:8" ht="17.25" x14ac:dyDescent="0.3">
      <c r="A4" s="109" t="s">
        <v>17</v>
      </c>
      <c r="B4" s="109"/>
      <c r="C4" s="109"/>
      <c r="D4" s="109"/>
      <c r="E4" s="109"/>
      <c r="F4" s="109"/>
    </row>
    <row r="5" spans="1:8" x14ac:dyDescent="0.25">
      <c r="A5" s="58" t="s">
        <v>0</v>
      </c>
      <c r="B5" s="58" t="s">
        <v>1</v>
      </c>
      <c r="C5" s="58" t="s">
        <v>2</v>
      </c>
      <c r="D5" s="58" t="s">
        <v>3</v>
      </c>
      <c r="E5" s="58" t="s">
        <v>4</v>
      </c>
      <c r="F5" s="58" t="s">
        <v>5</v>
      </c>
      <c r="G5" s="61"/>
      <c r="H5" s="61"/>
    </row>
    <row r="6" spans="1:8" x14ac:dyDescent="0.25">
      <c r="A6" s="73" t="s">
        <v>30</v>
      </c>
      <c r="B6" s="73" t="s">
        <v>31</v>
      </c>
      <c r="C6" s="24">
        <v>60</v>
      </c>
      <c r="D6" s="59">
        <v>0</v>
      </c>
      <c r="E6" s="22" t="s">
        <v>32</v>
      </c>
      <c r="F6" s="73">
        <v>0</v>
      </c>
      <c r="G6" s="61"/>
      <c r="H6" s="61"/>
    </row>
    <row r="7" spans="1:8" x14ac:dyDescent="0.25">
      <c r="A7" s="73" t="s">
        <v>33</v>
      </c>
      <c r="B7" s="73" t="s">
        <v>31</v>
      </c>
      <c r="C7" s="24">
        <v>88</v>
      </c>
      <c r="D7" s="59">
        <v>0</v>
      </c>
      <c r="E7" s="22" t="s">
        <v>32</v>
      </c>
      <c r="F7" s="73">
        <v>0</v>
      </c>
      <c r="G7" s="101"/>
      <c r="H7" s="61"/>
    </row>
    <row r="8" spans="1:8" x14ac:dyDescent="0.25">
      <c r="A8" s="73" t="s">
        <v>34</v>
      </c>
      <c r="B8" s="73" t="s">
        <v>31</v>
      </c>
      <c r="C8" s="24">
        <v>1280</v>
      </c>
      <c r="D8" s="59">
        <v>0</v>
      </c>
      <c r="E8" s="22" t="s">
        <v>32</v>
      </c>
      <c r="F8" s="73">
        <v>0</v>
      </c>
      <c r="G8" s="101"/>
      <c r="H8" s="61"/>
    </row>
    <row r="9" spans="1:8" x14ac:dyDescent="0.25">
      <c r="A9" s="72" t="s">
        <v>256</v>
      </c>
      <c r="B9" s="72" t="s">
        <v>6</v>
      </c>
      <c r="C9" s="24">
        <v>19800</v>
      </c>
      <c r="D9" s="1">
        <v>0</v>
      </c>
      <c r="E9" s="59">
        <v>30000</v>
      </c>
      <c r="F9" s="59">
        <v>0</v>
      </c>
      <c r="G9" s="101"/>
      <c r="H9" s="61"/>
    </row>
    <row r="10" spans="1:8" x14ac:dyDescent="0.25">
      <c r="A10" s="73" t="s">
        <v>18</v>
      </c>
      <c r="B10" s="73" t="s">
        <v>51</v>
      </c>
      <c r="C10" s="25">
        <v>8</v>
      </c>
      <c r="D10" s="59">
        <v>0</v>
      </c>
      <c r="E10" s="22">
        <v>1000</v>
      </c>
      <c r="F10" s="73">
        <v>2</v>
      </c>
      <c r="G10" s="101"/>
      <c r="H10" s="61"/>
    </row>
    <row r="11" spans="1:8" x14ac:dyDescent="0.25">
      <c r="A11" s="73" t="s">
        <v>19</v>
      </c>
      <c r="B11" s="73" t="s">
        <v>50</v>
      </c>
      <c r="C11" s="25">
        <v>6.5</v>
      </c>
      <c r="D11" s="59">
        <v>0</v>
      </c>
      <c r="E11" s="22">
        <v>1000</v>
      </c>
      <c r="F11" s="73">
        <v>2</v>
      </c>
      <c r="G11" s="101"/>
      <c r="H11" s="61"/>
    </row>
    <row r="12" spans="1:8" x14ac:dyDescent="0.25">
      <c r="A12" s="73" t="s">
        <v>35</v>
      </c>
      <c r="B12" s="73" t="s">
        <v>51</v>
      </c>
      <c r="C12" s="25">
        <v>1.3</v>
      </c>
      <c r="D12" s="59">
        <v>0</v>
      </c>
      <c r="E12" s="22">
        <v>1000</v>
      </c>
      <c r="F12" s="73">
        <v>2</v>
      </c>
      <c r="G12" s="101"/>
      <c r="H12" s="61"/>
    </row>
    <row r="13" spans="1:8" x14ac:dyDescent="0.25">
      <c r="A13" s="73" t="s">
        <v>36</v>
      </c>
      <c r="B13" s="73" t="s">
        <v>50</v>
      </c>
      <c r="C13" s="25">
        <v>5.9</v>
      </c>
      <c r="D13" s="59">
        <v>0</v>
      </c>
      <c r="E13" s="22">
        <v>1000</v>
      </c>
      <c r="F13" s="73">
        <v>2</v>
      </c>
      <c r="G13" s="101"/>
      <c r="H13" s="61"/>
    </row>
    <row r="14" spans="1:8" x14ac:dyDescent="0.25">
      <c r="A14" s="73" t="s">
        <v>37</v>
      </c>
      <c r="B14" s="73" t="s">
        <v>51</v>
      </c>
      <c r="C14" s="25">
        <v>1.3</v>
      </c>
      <c r="D14" s="59">
        <v>0</v>
      </c>
      <c r="E14" s="22">
        <v>1000</v>
      </c>
      <c r="F14" s="73">
        <v>2</v>
      </c>
      <c r="G14" s="101"/>
      <c r="H14" s="61"/>
    </row>
    <row r="15" spans="1:8" x14ac:dyDescent="0.25">
      <c r="A15" s="73" t="s">
        <v>38</v>
      </c>
      <c r="B15" s="73" t="s">
        <v>50</v>
      </c>
      <c r="C15" s="25">
        <v>5.9</v>
      </c>
      <c r="D15" s="59">
        <v>0</v>
      </c>
      <c r="E15" s="22">
        <v>1000</v>
      </c>
      <c r="F15" s="73">
        <v>2</v>
      </c>
      <c r="G15" s="61"/>
      <c r="H15" s="61"/>
    </row>
    <row r="16" spans="1:8" s="20" customFormat="1" x14ac:dyDescent="0.25">
      <c r="A16" s="73" t="s">
        <v>39</v>
      </c>
      <c r="B16" s="73" t="s">
        <v>51</v>
      </c>
      <c r="C16" s="25">
        <v>0.5</v>
      </c>
      <c r="D16" s="59">
        <v>0</v>
      </c>
      <c r="E16" s="22">
        <v>1000</v>
      </c>
      <c r="F16" s="73">
        <v>2</v>
      </c>
    </row>
    <row r="17" spans="1:11" s="20" customFormat="1" x14ac:dyDescent="0.25">
      <c r="A17" s="73" t="s">
        <v>40</v>
      </c>
      <c r="B17" s="73" t="s">
        <v>50</v>
      </c>
      <c r="C17" s="25">
        <v>1.9</v>
      </c>
      <c r="D17" s="59">
        <v>0</v>
      </c>
      <c r="E17" s="22">
        <v>1000</v>
      </c>
      <c r="F17" s="73">
        <v>2</v>
      </c>
    </row>
    <row r="18" spans="1:11" x14ac:dyDescent="0.25">
      <c r="A18" s="59" t="s">
        <v>41</v>
      </c>
      <c r="B18" s="59" t="s">
        <v>21</v>
      </c>
      <c r="C18" s="25">
        <v>11.7</v>
      </c>
      <c r="D18" s="59">
        <v>0</v>
      </c>
      <c r="E18" s="22">
        <v>100</v>
      </c>
      <c r="F18" s="59">
        <v>2</v>
      </c>
    </row>
    <row r="19" spans="1:11" ht="17.25" x14ac:dyDescent="0.3">
      <c r="A19" s="117" t="s">
        <v>207</v>
      </c>
      <c r="B19" s="118"/>
      <c r="C19" s="118"/>
      <c r="D19" s="118"/>
      <c r="E19" s="118"/>
      <c r="F19" s="119"/>
    </row>
    <row r="20" spans="1:11" x14ac:dyDescent="0.25">
      <c r="A20" s="58" t="s">
        <v>0</v>
      </c>
      <c r="B20" s="58" t="s">
        <v>1</v>
      </c>
      <c r="C20" s="58" t="s">
        <v>2</v>
      </c>
      <c r="D20" s="58" t="s">
        <v>3</v>
      </c>
      <c r="E20" s="58" t="s">
        <v>4</v>
      </c>
      <c r="F20" s="58" t="s">
        <v>5</v>
      </c>
    </row>
    <row r="21" spans="1:11" s="124" customFormat="1" x14ac:dyDescent="0.25">
      <c r="A21" s="169" t="s">
        <v>23</v>
      </c>
      <c r="B21" s="125" t="s">
        <v>11</v>
      </c>
      <c r="C21" s="130">
        <v>0</v>
      </c>
      <c r="D21" s="125">
        <v>0</v>
      </c>
      <c r="E21" s="169" t="s">
        <v>24</v>
      </c>
      <c r="F21" s="169">
        <v>3</v>
      </c>
      <c r="G21" s="131"/>
      <c r="H21" s="131"/>
      <c r="I21" s="131"/>
      <c r="J21" s="131"/>
      <c r="K21" s="131"/>
    </row>
    <row r="22" spans="1:11" x14ac:dyDescent="0.25">
      <c r="A22" s="73" t="s">
        <v>272</v>
      </c>
      <c r="B22" s="2" t="s">
        <v>11</v>
      </c>
      <c r="C22" s="13">
        <v>7</v>
      </c>
      <c r="D22" s="2">
        <v>0</v>
      </c>
      <c r="E22" s="73" t="s">
        <v>24</v>
      </c>
      <c r="F22" s="73">
        <v>3</v>
      </c>
      <c r="G22" s="15"/>
      <c r="H22" s="15"/>
      <c r="I22" s="15"/>
      <c r="J22" s="15"/>
      <c r="K22" s="15"/>
    </row>
    <row r="23" spans="1:11" x14ac:dyDescent="0.25">
      <c r="A23" s="73" t="s">
        <v>25</v>
      </c>
      <c r="B23" s="2" t="s">
        <v>6</v>
      </c>
      <c r="C23" s="14">
        <v>6000</v>
      </c>
      <c r="D23" s="2">
        <v>0</v>
      </c>
      <c r="E23" s="73" t="s">
        <v>26</v>
      </c>
      <c r="F23" s="73">
        <v>0</v>
      </c>
      <c r="G23" s="15"/>
      <c r="H23" s="15"/>
      <c r="I23" s="15"/>
      <c r="J23" s="15"/>
      <c r="K23" s="15"/>
    </row>
    <row r="24" spans="1:11" x14ac:dyDescent="0.25">
      <c r="G24" s="15"/>
      <c r="H24" s="15"/>
      <c r="I24" s="15"/>
      <c r="J24" s="15"/>
      <c r="K24" s="15"/>
    </row>
    <row r="25" spans="1:11" x14ac:dyDescent="0.25">
      <c r="G25" s="15"/>
      <c r="H25" s="15"/>
      <c r="I25" s="15"/>
      <c r="J25" s="15"/>
      <c r="K25" s="15"/>
    </row>
    <row r="26" spans="1:11" x14ac:dyDescent="0.25">
      <c r="G26" s="15"/>
      <c r="H26" s="15"/>
      <c r="I26" s="15"/>
      <c r="J26" s="15"/>
      <c r="K26" s="15"/>
    </row>
    <row r="27" spans="1:11" x14ac:dyDescent="0.25">
      <c r="G27" s="15"/>
      <c r="H27" s="15"/>
      <c r="I27" s="15"/>
      <c r="J27" s="15"/>
      <c r="K27" s="15"/>
    </row>
    <row r="28" spans="1:11" x14ac:dyDescent="0.25">
      <c r="G28" s="15"/>
      <c r="H28" s="15"/>
      <c r="I28" s="15"/>
      <c r="J28" s="15"/>
      <c r="K28" s="15"/>
    </row>
    <row r="29" spans="1:11" x14ac:dyDescent="0.25">
      <c r="G29" s="15"/>
      <c r="H29" s="15"/>
      <c r="I29" s="15"/>
      <c r="J29" s="15"/>
      <c r="K29" s="15"/>
    </row>
    <row r="30" spans="1:11" x14ac:dyDescent="0.25">
      <c r="G30" s="15"/>
      <c r="H30" s="15"/>
      <c r="I30" s="15"/>
      <c r="J30" s="15"/>
      <c r="K30" s="15"/>
    </row>
    <row r="31" spans="1:11" x14ac:dyDescent="0.25">
      <c r="G31" s="15"/>
      <c r="H31" s="15"/>
      <c r="I31" s="15"/>
      <c r="J31" s="15"/>
      <c r="K31" s="15"/>
    </row>
    <row r="32" spans="1:11" x14ac:dyDescent="0.25">
      <c r="G32" s="15"/>
      <c r="H32" s="15"/>
      <c r="I32" s="15"/>
      <c r="J32" s="15"/>
      <c r="K32" s="15"/>
    </row>
    <row r="33" spans="7:11" x14ac:dyDescent="0.25">
      <c r="G33" s="15"/>
      <c r="H33" s="15"/>
      <c r="I33" s="15"/>
      <c r="J33" s="15"/>
      <c r="K33" s="15"/>
    </row>
    <row r="34" spans="7:11" x14ac:dyDescent="0.25">
      <c r="G34" s="15"/>
      <c r="H34" s="15"/>
      <c r="I34" s="15"/>
      <c r="J34" s="15"/>
      <c r="K34" s="15"/>
    </row>
    <row r="35" spans="7:11" x14ac:dyDescent="0.25">
      <c r="G35" s="15"/>
      <c r="H35" s="15"/>
      <c r="I35" s="15"/>
      <c r="J35" s="15"/>
      <c r="K35" s="15"/>
    </row>
    <row r="36" spans="7:11" x14ac:dyDescent="0.25">
      <c r="G36" s="15"/>
      <c r="H36" s="15"/>
      <c r="I36" s="15"/>
      <c r="J36" s="15"/>
      <c r="K36" s="15"/>
    </row>
    <row r="37" spans="7:11" x14ac:dyDescent="0.25">
      <c r="G37" s="15"/>
      <c r="H37" s="15"/>
      <c r="I37" s="15"/>
      <c r="J37" s="15"/>
      <c r="K37" s="15"/>
    </row>
    <row r="38" spans="7:11" x14ac:dyDescent="0.25">
      <c r="G38" s="15"/>
      <c r="H38" s="15"/>
      <c r="I38" s="15"/>
      <c r="J38" s="15"/>
      <c r="K38" s="15"/>
    </row>
    <row r="39" spans="7:11" x14ac:dyDescent="0.25">
      <c r="G39" s="15"/>
      <c r="H39" s="15"/>
      <c r="I39" s="15"/>
      <c r="J39" s="15"/>
      <c r="K39" s="15"/>
    </row>
    <row r="40" spans="7:11" x14ac:dyDescent="0.25">
      <c r="G40" s="15"/>
      <c r="H40" s="15"/>
      <c r="I40" s="15"/>
      <c r="J40" s="15"/>
      <c r="K40" s="15"/>
    </row>
    <row r="41" spans="7:11" x14ac:dyDescent="0.25">
      <c r="G41" s="15"/>
      <c r="H41" s="15"/>
      <c r="I41" s="15"/>
      <c r="J41" s="15"/>
      <c r="K41" s="15"/>
    </row>
    <row r="42" spans="7:11" x14ac:dyDescent="0.25">
      <c r="G42" s="15"/>
      <c r="H42" s="15"/>
      <c r="I42" s="15"/>
      <c r="J42" s="15"/>
      <c r="K42" s="15"/>
    </row>
    <row r="43" spans="7:11" x14ac:dyDescent="0.25">
      <c r="G43" s="15"/>
      <c r="H43" s="15"/>
      <c r="I43" s="15"/>
      <c r="J43" s="15"/>
      <c r="K43" s="15"/>
    </row>
    <row r="44" spans="7:11" x14ac:dyDescent="0.25">
      <c r="G44" s="15"/>
      <c r="H44" s="15"/>
      <c r="I44" s="15"/>
      <c r="J44" s="15"/>
      <c r="K44" s="15"/>
    </row>
    <row r="45" spans="7:11" x14ac:dyDescent="0.25">
      <c r="G45" s="15"/>
      <c r="H45" s="15"/>
      <c r="I45" s="15"/>
      <c r="J45" s="15"/>
      <c r="K45" s="15"/>
    </row>
    <row r="46" spans="7:11" x14ac:dyDescent="0.25">
      <c r="G46" s="15"/>
      <c r="H46" s="15"/>
      <c r="I46" s="15"/>
      <c r="J46" s="15"/>
      <c r="K46" s="15"/>
    </row>
    <row r="47" spans="7:11" x14ac:dyDescent="0.25">
      <c r="G47" s="15"/>
      <c r="H47" s="15"/>
      <c r="I47" s="15"/>
      <c r="J47" s="15"/>
      <c r="K47" s="15"/>
    </row>
    <row r="48" spans="7:11" x14ac:dyDescent="0.25">
      <c r="G48" s="15"/>
      <c r="H48" s="15"/>
      <c r="I48" s="15"/>
      <c r="J48" s="15"/>
      <c r="K48" s="15"/>
    </row>
    <row r="49" spans="1:11" x14ac:dyDescent="0.25">
      <c r="G49" s="15"/>
      <c r="H49" s="15"/>
      <c r="I49" s="15"/>
      <c r="J49" s="15"/>
      <c r="K49" s="15"/>
    </row>
    <row r="50" spans="1:11" x14ac:dyDescent="0.25">
      <c r="G50" s="15"/>
      <c r="H50" s="15"/>
      <c r="I50" s="15"/>
      <c r="J50" s="15"/>
      <c r="K50" s="15"/>
    </row>
    <row r="51" spans="1:11" x14ac:dyDescent="0.25">
      <c r="G51" s="15"/>
      <c r="H51" s="15"/>
      <c r="I51" s="15"/>
      <c r="J51" s="15"/>
      <c r="K51" s="15"/>
    </row>
    <row r="52" spans="1:11" x14ac:dyDescent="0.25">
      <c r="G52" s="15"/>
      <c r="H52" s="15"/>
      <c r="I52" s="15"/>
      <c r="J52" s="15"/>
      <c r="K52" s="15"/>
    </row>
    <row r="53" spans="1:11" x14ac:dyDescent="0.25">
      <c r="G53" s="15"/>
      <c r="H53" s="15"/>
      <c r="I53" s="15"/>
      <c r="J53" s="15"/>
      <c r="K53" s="15"/>
    </row>
    <row r="54" spans="1:11" x14ac:dyDescent="0.25">
      <c r="G54" s="15"/>
      <c r="H54" s="15"/>
      <c r="I54" s="15"/>
      <c r="J54" s="15"/>
      <c r="K54" s="15"/>
    </row>
    <row r="55" spans="1:11" x14ac:dyDescent="0.25">
      <c r="G55" s="15"/>
      <c r="H55" s="15"/>
      <c r="I55" s="15"/>
      <c r="J55" s="15"/>
      <c r="K55" s="15"/>
    </row>
    <row r="56" spans="1:11" x14ac:dyDescent="0.25">
      <c r="G56" s="15"/>
      <c r="H56" s="15"/>
      <c r="I56" s="15"/>
      <c r="J56" s="15"/>
      <c r="K56" s="15"/>
    </row>
    <row r="57" spans="1:11" x14ac:dyDescent="0.25">
      <c r="G57" s="15"/>
      <c r="H57" s="15"/>
      <c r="I57" s="15"/>
      <c r="J57" s="15"/>
      <c r="K57" s="15"/>
    </row>
    <row r="58" spans="1:11" x14ac:dyDescent="0.25">
      <c r="G58" s="15"/>
      <c r="H58" s="15"/>
      <c r="I58" s="15"/>
      <c r="J58" s="15"/>
      <c r="K58" s="15"/>
    </row>
    <row r="59" spans="1:11" x14ac:dyDescent="0.25">
      <c r="G59" s="15"/>
      <c r="H59" s="15"/>
      <c r="I59" s="15"/>
      <c r="J59" s="15"/>
      <c r="K59" s="15"/>
    </row>
    <row r="60" spans="1:11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</row>
    <row r="61" spans="1:11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</row>
    <row r="62" spans="1:11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</row>
    <row r="63" spans="1:11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</row>
    <row r="64" spans="1:11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</row>
    <row r="65" spans="1:11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</row>
    <row r="66" spans="1:11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</row>
    <row r="67" spans="1:11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</row>
    <row r="68" spans="1:11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</row>
    <row r="69" spans="1:11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</row>
    <row r="70" spans="1:11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</row>
    <row r="71" spans="1:11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</row>
    <row r="72" spans="1:11" x14ac:dyDescent="0.25">
      <c r="A72" s="15"/>
      <c r="B72" s="15"/>
      <c r="C72" s="15"/>
      <c r="D72" s="15"/>
      <c r="E72" s="15"/>
      <c r="F72" s="15"/>
    </row>
    <row r="73" spans="1:11" x14ac:dyDescent="0.25">
      <c r="A73" s="15"/>
      <c r="B73" s="15"/>
      <c r="C73" s="15"/>
      <c r="D73" s="15"/>
      <c r="E73" s="15"/>
      <c r="F73" s="15"/>
    </row>
    <row r="74" spans="1:11" x14ac:dyDescent="0.25">
      <c r="A74" s="15"/>
      <c r="B74" s="15"/>
      <c r="C74" s="15"/>
      <c r="D74" s="15"/>
      <c r="E74" s="15"/>
      <c r="F74" s="15"/>
    </row>
    <row r="75" spans="1:11" x14ac:dyDescent="0.25">
      <c r="A75" s="15"/>
      <c r="B75" s="15"/>
      <c r="C75" s="15"/>
      <c r="D75" s="15"/>
      <c r="E75" s="15"/>
      <c r="F75" s="15"/>
    </row>
    <row r="76" spans="1:11" x14ac:dyDescent="0.25">
      <c r="A76" s="15"/>
      <c r="B76" s="15"/>
      <c r="C76" s="15"/>
      <c r="D76" s="15"/>
      <c r="E76" s="15"/>
      <c r="F76" s="15"/>
    </row>
    <row r="77" spans="1:11" x14ac:dyDescent="0.25">
      <c r="A77" s="15"/>
      <c r="B77" s="15"/>
      <c r="C77" s="15"/>
      <c r="D77" s="15"/>
      <c r="E77" s="15"/>
      <c r="F77" s="15"/>
    </row>
    <row r="78" spans="1:11" x14ac:dyDescent="0.25">
      <c r="A78" s="15"/>
      <c r="B78" s="15"/>
      <c r="C78" s="15"/>
      <c r="D78" s="15"/>
      <c r="E78" s="15"/>
      <c r="F78" s="15"/>
    </row>
    <row r="79" spans="1:11" x14ac:dyDescent="0.25">
      <c r="A79" s="15"/>
      <c r="B79" s="15"/>
      <c r="C79" s="15"/>
      <c r="D79" s="15"/>
      <c r="E79" s="15"/>
      <c r="F79" s="15"/>
    </row>
    <row r="80" spans="1:11" x14ac:dyDescent="0.25">
      <c r="A80" s="15"/>
      <c r="B80" s="15"/>
      <c r="C80" s="15"/>
      <c r="D80" s="15"/>
      <c r="E80" s="15"/>
      <c r="F80" s="15"/>
    </row>
    <row r="81" spans="1:6" x14ac:dyDescent="0.25">
      <c r="A81" s="15"/>
      <c r="B81" s="15"/>
      <c r="C81" s="15"/>
      <c r="D81" s="15"/>
      <c r="E81" s="15"/>
      <c r="F81" s="15"/>
    </row>
    <row r="82" spans="1:6" x14ac:dyDescent="0.25">
      <c r="A82" s="15"/>
      <c r="B82" s="15"/>
      <c r="C82" s="15"/>
      <c r="D82" s="15"/>
      <c r="E82" s="15"/>
      <c r="F82" s="15"/>
    </row>
    <row r="83" spans="1:6" x14ac:dyDescent="0.25">
      <c r="A83" s="15"/>
      <c r="B83" s="15"/>
      <c r="C83" s="15"/>
      <c r="D83" s="15"/>
      <c r="E83" s="15"/>
      <c r="F83" s="15"/>
    </row>
  </sheetData>
  <mergeCells count="2">
    <mergeCell ref="A4:F4"/>
    <mergeCell ref="A19:F19"/>
  </mergeCells>
  <pageMargins left="0.7" right="0.7" top="0.75" bottom="0.75" header="0.3" footer="0.3"/>
  <pageSetup paperSize="274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43"/>
  <sheetViews>
    <sheetView zoomScaleNormal="100" workbookViewId="0">
      <selection sqref="A1:F1"/>
    </sheetView>
  </sheetViews>
  <sheetFormatPr defaultRowHeight="15" x14ac:dyDescent="0.25"/>
  <cols>
    <col min="1" max="1" width="33.42578125" customWidth="1"/>
    <col min="2" max="2" width="20" customWidth="1"/>
    <col min="3" max="3" width="18.42578125" customWidth="1"/>
    <col min="4" max="4" width="16.7109375" customWidth="1"/>
    <col min="5" max="5" width="27.28515625" customWidth="1"/>
    <col min="6" max="6" width="19" customWidth="1"/>
  </cols>
  <sheetData>
    <row r="1" spans="1:6" ht="17.25" x14ac:dyDescent="0.3">
      <c r="A1" s="110" t="s">
        <v>145</v>
      </c>
      <c r="B1" s="110"/>
      <c r="C1" s="110"/>
      <c r="D1" s="110"/>
      <c r="E1" s="110"/>
      <c r="F1" s="110"/>
    </row>
    <row r="2" spans="1:6" ht="17.25" x14ac:dyDescent="0.3">
      <c r="A2" s="109" t="s">
        <v>100</v>
      </c>
      <c r="B2" s="109"/>
      <c r="C2" s="109"/>
      <c r="D2" s="109"/>
      <c r="E2" s="109"/>
      <c r="F2" s="109"/>
    </row>
    <row r="3" spans="1:6" x14ac:dyDescent="0.25">
      <c r="A3" s="58" t="s">
        <v>0</v>
      </c>
      <c r="B3" s="58" t="s">
        <v>1</v>
      </c>
      <c r="C3" s="58" t="s">
        <v>2</v>
      </c>
      <c r="D3" s="58" t="s">
        <v>3</v>
      </c>
      <c r="E3" s="58" t="s">
        <v>4</v>
      </c>
      <c r="F3" s="58" t="s">
        <v>5</v>
      </c>
    </row>
    <row r="4" spans="1:6" x14ac:dyDescent="0.25">
      <c r="A4" s="73" t="s">
        <v>101</v>
      </c>
      <c r="B4" s="73" t="s">
        <v>31</v>
      </c>
      <c r="C4" s="53">
        <v>350</v>
      </c>
      <c r="D4" s="73">
        <v>0</v>
      </c>
      <c r="E4" s="73" t="s">
        <v>32</v>
      </c>
      <c r="F4" s="73">
        <v>0</v>
      </c>
    </row>
    <row r="5" spans="1:6" x14ac:dyDescent="0.25">
      <c r="A5" s="73" t="s">
        <v>102</v>
      </c>
      <c r="B5" s="73" t="s">
        <v>31</v>
      </c>
      <c r="C5" s="53">
        <v>610</v>
      </c>
      <c r="D5" s="73">
        <v>0</v>
      </c>
      <c r="E5" s="73" t="s">
        <v>32</v>
      </c>
      <c r="F5" s="73">
        <v>0</v>
      </c>
    </row>
    <row r="6" spans="1:6" x14ac:dyDescent="0.25">
      <c r="A6" s="73" t="s">
        <v>103</v>
      </c>
      <c r="B6" s="73" t="s">
        <v>31</v>
      </c>
      <c r="C6" s="53">
        <v>1010</v>
      </c>
      <c r="D6" s="73">
        <v>0</v>
      </c>
      <c r="E6" s="73" t="s">
        <v>32</v>
      </c>
      <c r="F6" s="73">
        <v>0</v>
      </c>
    </row>
    <row r="7" spans="1:6" x14ac:dyDescent="0.25">
      <c r="A7" s="73" t="s">
        <v>104</v>
      </c>
      <c r="B7" s="73" t="s">
        <v>31</v>
      </c>
      <c r="C7" s="53">
        <v>1210</v>
      </c>
      <c r="D7" s="73">
        <v>0</v>
      </c>
      <c r="E7" s="73" t="s">
        <v>32</v>
      </c>
      <c r="F7" s="73">
        <v>0</v>
      </c>
    </row>
    <row r="8" spans="1:6" x14ac:dyDescent="0.25">
      <c r="A8" s="73" t="s">
        <v>105</v>
      </c>
      <c r="B8" s="73" t="s">
        <v>31</v>
      </c>
      <c r="C8" s="53">
        <v>1410</v>
      </c>
      <c r="D8" s="73">
        <v>0</v>
      </c>
      <c r="E8" s="73" t="s">
        <v>32</v>
      </c>
      <c r="F8" s="73">
        <v>0</v>
      </c>
    </row>
    <row r="9" spans="1:6" x14ac:dyDescent="0.25">
      <c r="A9" s="73" t="s">
        <v>106</v>
      </c>
      <c r="B9" s="73" t="s">
        <v>31</v>
      </c>
      <c r="C9" s="53">
        <v>0</v>
      </c>
      <c r="D9" s="73">
        <v>0</v>
      </c>
      <c r="E9" s="73" t="s">
        <v>32</v>
      </c>
      <c r="F9" s="73">
        <v>0</v>
      </c>
    </row>
    <row r="10" spans="1:6" x14ac:dyDescent="0.25">
      <c r="A10" s="73" t="s">
        <v>107</v>
      </c>
      <c r="B10" s="73" t="s">
        <v>31</v>
      </c>
      <c r="C10" s="53">
        <v>0</v>
      </c>
      <c r="D10" s="73">
        <v>0</v>
      </c>
      <c r="E10" s="73" t="s">
        <v>32</v>
      </c>
      <c r="F10" s="73">
        <v>0</v>
      </c>
    </row>
    <row r="11" spans="1:6" x14ac:dyDescent="0.25">
      <c r="A11" s="73" t="s">
        <v>108</v>
      </c>
      <c r="B11" s="73" t="s">
        <v>31</v>
      </c>
      <c r="C11" s="53">
        <v>0</v>
      </c>
      <c r="D11" s="73">
        <v>0</v>
      </c>
      <c r="E11" s="73" t="s">
        <v>32</v>
      </c>
      <c r="F11" s="73">
        <v>0</v>
      </c>
    </row>
    <row r="12" spans="1:6" ht="17.25" x14ac:dyDescent="0.3">
      <c r="A12" s="109" t="s">
        <v>109</v>
      </c>
      <c r="B12" s="109"/>
      <c r="C12" s="109"/>
      <c r="D12" s="109"/>
      <c r="E12" s="109"/>
      <c r="F12" s="109"/>
    </row>
    <row r="13" spans="1:6" x14ac:dyDescent="0.25">
      <c r="A13" s="58" t="s">
        <v>0</v>
      </c>
      <c r="B13" s="58" t="s">
        <v>1</v>
      </c>
      <c r="C13" s="58" t="s">
        <v>2</v>
      </c>
      <c r="D13" s="58" t="s">
        <v>3</v>
      </c>
      <c r="E13" s="58" t="s">
        <v>4</v>
      </c>
      <c r="F13" s="58" t="s">
        <v>5</v>
      </c>
    </row>
    <row r="14" spans="1:6" x14ac:dyDescent="0.25">
      <c r="A14" s="74" t="s">
        <v>110</v>
      </c>
      <c r="B14" s="74" t="s">
        <v>111</v>
      </c>
      <c r="C14" s="122">
        <v>52</v>
      </c>
      <c r="D14" s="74">
        <v>0</v>
      </c>
      <c r="E14" s="74" t="s">
        <v>112</v>
      </c>
      <c r="F14" s="74">
        <v>1</v>
      </c>
    </row>
    <row r="15" spans="1:6" x14ac:dyDescent="0.25">
      <c r="A15" s="74" t="s">
        <v>113</v>
      </c>
      <c r="B15" s="74" t="s">
        <v>111</v>
      </c>
      <c r="C15" s="122">
        <v>52</v>
      </c>
      <c r="D15" s="74">
        <v>0</v>
      </c>
      <c r="E15" s="74" t="s">
        <v>112</v>
      </c>
      <c r="F15" s="74">
        <v>1</v>
      </c>
    </row>
    <row r="16" spans="1:6" x14ac:dyDescent="0.25">
      <c r="A16" s="74" t="s">
        <v>114</v>
      </c>
      <c r="B16" s="74" t="s">
        <v>111</v>
      </c>
      <c r="C16" s="122">
        <v>37</v>
      </c>
      <c r="D16" s="74">
        <v>0</v>
      </c>
      <c r="E16" s="74" t="s">
        <v>112</v>
      </c>
      <c r="F16" s="74">
        <v>1</v>
      </c>
    </row>
    <row r="17" spans="1:6" x14ac:dyDescent="0.25">
      <c r="A17" s="74" t="s">
        <v>115</v>
      </c>
      <c r="B17" s="74" t="s">
        <v>111</v>
      </c>
      <c r="C17" s="122">
        <v>33.5</v>
      </c>
      <c r="D17" s="74">
        <v>0</v>
      </c>
      <c r="E17" s="74" t="s">
        <v>112</v>
      </c>
      <c r="F17" s="74">
        <v>1</v>
      </c>
    </row>
    <row r="18" spans="1:6" x14ac:dyDescent="0.25">
      <c r="A18" s="74" t="s">
        <v>116</v>
      </c>
      <c r="B18" s="74" t="s">
        <v>111</v>
      </c>
      <c r="C18" s="122">
        <v>41</v>
      </c>
      <c r="D18" s="74">
        <v>0</v>
      </c>
      <c r="E18" s="74" t="s">
        <v>112</v>
      </c>
      <c r="F18" s="74">
        <v>1</v>
      </c>
    </row>
    <row r="19" spans="1:6" x14ac:dyDescent="0.25">
      <c r="A19" s="74" t="s">
        <v>117</v>
      </c>
      <c r="B19" s="74" t="s">
        <v>111</v>
      </c>
      <c r="C19" s="122">
        <v>0</v>
      </c>
      <c r="D19" s="74">
        <v>0</v>
      </c>
      <c r="E19" s="74" t="s">
        <v>112</v>
      </c>
      <c r="F19" s="74">
        <v>1</v>
      </c>
    </row>
    <row r="20" spans="1:6" x14ac:dyDescent="0.25">
      <c r="A20" s="74" t="s">
        <v>118</v>
      </c>
      <c r="B20" s="74" t="s">
        <v>111</v>
      </c>
      <c r="C20" s="122">
        <v>0</v>
      </c>
      <c r="D20" s="74">
        <v>0</v>
      </c>
      <c r="E20" s="74" t="s">
        <v>112</v>
      </c>
      <c r="F20" s="74">
        <v>1</v>
      </c>
    </row>
    <row r="21" spans="1:6" x14ac:dyDescent="0.25">
      <c r="A21" s="74" t="s">
        <v>119</v>
      </c>
      <c r="B21" s="74" t="s">
        <v>111</v>
      </c>
      <c r="C21" s="122">
        <v>0</v>
      </c>
      <c r="D21" s="74">
        <v>0</v>
      </c>
      <c r="E21" s="74" t="s">
        <v>112</v>
      </c>
      <c r="F21" s="74">
        <v>1</v>
      </c>
    </row>
    <row r="22" spans="1:6" ht="17.25" x14ac:dyDescent="0.3">
      <c r="A22" s="109" t="s">
        <v>146</v>
      </c>
      <c r="B22" s="109"/>
      <c r="C22" s="109"/>
      <c r="D22" s="109"/>
      <c r="E22" s="109"/>
      <c r="F22" s="109"/>
    </row>
    <row r="23" spans="1:6" x14ac:dyDescent="0.25">
      <c r="A23" s="58" t="s">
        <v>0</v>
      </c>
      <c r="B23" s="58" t="s">
        <v>1</v>
      </c>
      <c r="C23" s="58" t="s">
        <v>2</v>
      </c>
      <c r="D23" s="58" t="s">
        <v>3</v>
      </c>
      <c r="E23" s="58" t="s">
        <v>4</v>
      </c>
      <c r="F23" s="58" t="s">
        <v>5</v>
      </c>
    </row>
    <row r="24" spans="1:6" x14ac:dyDescent="0.25">
      <c r="A24" s="73" t="s">
        <v>147</v>
      </c>
      <c r="B24" s="73" t="s">
        <v>111</v>
      </c>
      <c r="C24" s="123">
        <v>52</v>
      </c>
      <c r="D24" s="73">
        <v>0</v>
      </c>
      <c r="E24" s="73" t="s">
        <v>112</v>
      </c>
      <c r="F24" s="73">
        <v>1</v>
      </c>
    </row>
    <row r="25" spans="1:6" x14ac:dyDescent="0.25">
      <c r="A25" s="73" t="s">
        <v>148</v>
      </c>
      <c r="B25" s="73" t="s">
        <v>111</v>
      </c>
      <c r="C25" s="123">
        <v>52</v>
      </c>
      <c r="D25" s="73">
        <v>0</v>
      </c>
      <c r="E25" s="73" t="s">
        <v>112</v>
      </c>
      <c r="F25" s="73">
        <v>1</v>
      </c>
    </row>
    <row r="26" spans="1:6" x14ac:dyDescent="0.25">
      <c r="A26" s="73" t="s">
        <v>149</v>
      </c>
      <c r="B26" s="73" t="s">
        <v>111</v>
      </c>
      <c r="C26" s="123">
        <v>37</v>
      </c>
      <c r="D26" s="73">
        <v>0</v>
      </c>
      <c r="E26" s="73" t="s">
        <v>112</v>
      </c>
      <c r="F26" s="73">
        <v>1</v>
      </c>
    </row>
    <row r="27" spans="1:6" x14ac:dyDescent="0.25">
      <c r="A27" s="73" t="s">
        <v>150</v>
      </c>
      <c r="B27" s="73" t="s">
        <v>111</v>
      </c>
      <c r="C27" s="123">
        <v>33.5</v>
      </c>
      <c r="D27" s="73">
        <v>0</v>
      </c>
      <c r="E27" s="73" t="s">
        <v>112</v>
      </c>
      <c r="F27" s="73">
        <v>1</v>
      </c>
    </row>
    <row r="28" spans="1:6" x14ac:dyDescent="0.25">
      <c r="A28" s="73" t="s">
        <v>151</v>
      </c>
      <c r="B28" s="73" t="s">
        <v>111</v>
      </c>
      <c r="C28" s="123">
        <v>41</v>
      </c>
      <c r="D28" s="73">
        <v>0</v>
      </c>
      <c r="E28" s="73" t="s">
        <v>112</v>
      </c>
      <c r="F28" s="73">
        <v>1</v>
      </c>
    </row>
    <row r="29" spans="1:6" x14ac:dyDescent="0.25">
      <c r="A29" s="73" t="s">
        <v>152</v>
      </c>
      <c r="B29" s="73" t="s">
        <v>111</v>
      </c>
      <c r="C29" s="123">
        <v>0</v>
      </c>
      <c r="D29" s="73">
        <v>0</v>
      </c>
      <c r="E29" s="73" t="s">
        <v>112</v>
      </c>
      <c r="F29" s="73">
        <v>1</v>
      </c>
    </row>
    <row r="30" spans="1:6" x14ac:dyDescent="0.25">
      <c r="A30" s="73" t="s">
        <v>153</v>
      </c>
      <c r="B30" s="73" t="s">
        <v>111</v>
      </c>
      <c r="C30" s="123">
        <v>0</v>
      </c>
      <c r="D30" s="73">
        <v>0</v>
      </c>
      <c r="E30" s="73" t="s">
        <v>112</v>
      </c>
      <c r="F30" s="73">
        <v>1</v>
      </c>
    </row>
    <row r="31" spans="1:6" x14ac:dyDescent="0.25">
      <c r="A31" s="73" t="s">
        <v>154</v>
      </c>
      <c r="B31" s="73" t="s">
        <v>111</v>
      </c>
      <c r="C31" s="123">
        <v>0</v>
      </c>
      <c r="D31" s="73">
        <v>0</v>
      </c>
      <c r="E31" s="73" t="s">
        <v>112</v>
      </c>
      <c r="F31" s="73">
        <v>1</v>
      </c>
    </row>
    <row r="32" spans="1:6" ht="17.25" x14ac:dyDescent="0.3">
      <c r="A32" s="109" t="s">
        <v>155</v>
      </c>
      <c r="B32" s="109"/>
      <c r="C32" s="109"/>
      <c r="D32" s="109"/>
      <c r="E32" s="109"/>
      <c r="F32" s="109"/>
    </row>
    <row r="33" spans="1:6" x14ac:dyDescent="0.25">
      <c r="A33" s="58" t="s">
        <v>0</v>
      </c>
      <c r="B33" s="58" t="s">
        <v>1</v>
      </c>
      <c r="C33" s="58" t="s">
        <v>2</v>
      </c>
      <c r="D33" s="58" t="s">
        <v>3</v>
      </c>
      <c r="E33" s="58" t="s">
        <v>4</v>
      </c>
      <c r="F33" s="58" t="s">
        <v>5</v>
      </c>
    </row>
    <row r="34" spans="1:6" x14ac:dyDescent="0.25">
      <c r="A34" s="73" t="s">
        <v>156</v>
      </c>
      <c r="B34" s="73" t="s">
        <v>157</v>
      </c>
      <c r="C34" s="53">
        <v>220</v>
      </c>
      <c r="D34" s="73">
        <v>0</v>
      </c>
      <c r="E34" s="73" t="s">
        <v>158</v>
      </c>
      <c r="F34" s="73">
        <v>0</v>
      </c>
    </row>
    <row r="35" spans="1:6" ht="17.25" x14ac:dyDescent="0.3">
      <c r="A35" s="109" t="s">
        <v>42</v>
      </c>
      <c r="B35" s="109"/>
      <c r="C35" s="109"/>
      <c r="D35" s="109"/>
      <c r="E35" s="109"/>
      <c r="F35" s="109"/>
    </row>
    <row r="36" spans="1:6" x14ac:dyDescent="0.25">
      <c r="A36" s="58" t="s">
        <v>0</v>
      </c>
      <c r="B36" s="58" t="s">
        <v>1</v>
      </c>
      <c r="C36" s="58" t="s">
        <v>2</v>
      </c>
      <c r="D36" s="58" t="s">
        <v>3</v>
      </c>
      <c r="E36" s="58" t="s">
        <v>4</v>
      </c>
      <c r="F36" s="58" t="s">
        <v>5</v>
      </c>
    </row>
    <row r="37" spans="1:6" x14ac:dyDescent="0.25">
      <c r="A37" s="73" t="s">
        <v>43</v>
      </c>
      <c r="B37" s="73" t="s">
        <v>44</v>
      </c>
      <c r="C37" s="53">
        <v>132</v>
      </c>
      <c r="D37" s="73">
        <v>0</v>
      </c>
      <c r="E37" s="73" t="s">
        <v>32</v>
      </c>
      <c r="F37" s="73">
        <v>0</v>
      </c>
    </row>
    <row r="38" spans="1:6" x14ac:dyDescent="0.25">
      <c r="A38" s="73" t="s">
        <v>45</v>
      </c>
      <c r="B38" s="73" t="s">
        <v>44</v>
      </c>
      <c r="C38" s="53">
        <v>25</v>
      </c>
      <c r="D38" s="73">
        <v>0</v>
      </c>
      <c r="E38" s="73" t="s">
        <v>32</v>
      </c>
      <c r="F38" s="73">
        <v>0</v>
      </c>
    </row>
    <row r="39" spans="1:6" x14ac:dyDescent="0.25">
      <c r="A39" s="59" t="s">
        <v>46</v>
      </c>
      <c r="B39" s="73" t="s">
        <v>44</v>
      </c>
      <c r="C39" s="60">
        <v>50</v>
      </c>
      <c r="D39" s="73">
        <v>0</v>
      </c>
      <c r="E39" s="73" t="s">
        <v>32</v>
      </c>
      <c r="F39" s="73">
        <v>0</v>
      </c>
    </row>
    <row r="40" spans="1:6" x14ac:dyDescent="0.25">
      <c r="A40" s="59" t="s">
        <v>47</v>
      </c>
      <c r="B40" s="73" t="s">
        <v>44</v>
      </c>
      <c r="C40" s="60">
        <v>15</v>
      </c>
      <c r="D40" s="73">
        <v>0</v>
      </c>
      <c r="E40" s="73" t="s">
        <v>32</v>
      </c>
      <c r="F40" s="73">
        <v>0</v>
      </c>
    </row>
    <row r="42" spans="1:6" x14ac:dyDescent="0.25">
      <c r="A42" s="34" t="s">
        <v>269</v>
      </c>
      <c r="B42" s="34" t="s">
        <v>6</v>
      </c>
      <c r="C42" s="121">
        <v>19800</v>
      </c>
    </row>
    <row r="43" spans="1:6" x14ac:dyDescent="0.25">
      <c r="A43" s="34" t="s">
        <v>270</v>
      </c>
      <c r="B43" s="34" t="s">
        <v>271</v>
      </c>
      <c r="C43" s="121">
        <v>4</v>
      </c>
    </row>
  </sheetData>
  <mergeCells count="6">
    <mergeCell ref="A1:F1"/>
    <mergeCell ref="A35:F35"/>
    <mergeCell ref="A2:F2"/>
    <mergeCell ref="A32:F32"/>
    <mergeCell ref="A22:F22"/>
    <mergeCell ref="A12:F1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Y240"/>
  <sheetViews>
    <sheetView topLeftCell="C1" zoomScale="60" zoomScaleNormal="60" workbookViewId="0">
      <pane ySplit="5" topLeftCell="A6" activePane="bottomLeft" state="frozen"/>
      <selection pane="bottomLeft" activeCell="D3" sqref="B3:D3"/>
    </sheetView>
  </sheetViews>
  <sheetFormatPr defaultRowHeight="15" x14ac:dyDescent="0.25"/>
  <cols>
    <col min="1" max="1" width="13.28515625" style="62" customWidth="1"/>
    <col min="2" max="2" width="56.42578125" style="57" customWidth="1"/>
    <col min="3" max="3" width="20.7109375" style="57" customWidth="1"/>
    <col min="4" max="4" width="15.85546875" style="57" customWidth="1"/>
    <col min="5" max="5" width="193" style="57" customWidth="1"/>
    <col min="6" max="6" width="34.85546875" style="57" customWidth="1"/>
    <col min="7" max="7" width="17.7109375" style="57" bestFit="1" customWidth="1"/>
    <col min="8" max="8" width="42" style="32" customWidth="1"/>
    <col min="9" max="9" width="19.7109375" style="32" customWidth="1"/>
    <col min="10" max="10" width="20.42578125" style="32" customWidth="1"/>
    <col min="11" max="25" width="9.140625" style="32"/>
    <col min="26" max="16384" width="9.140625" style="57"/>
  </cols>
  <sheetData>
    <row r="1" spans="1:25" ht="31.5" customHeight="1" x14ac:dyDescent="0.25">
      <c r="B1" s="112" t="s">
        <v>215</v>
      </c>
      <c r="C1" s="112"/>
      <c r="D1" s="112"/>
      <c r="E1" s="112"/>
      <c r="F1" s="112"/>
      <c r="G1" s="112"/>
      <c r="H1" s="112"/>
      <c r="I1" s="10"/>
      <c r="J1" s="10"/>
      <c r="K1" s="10"/>
      <c r="L1" s="10"/>
      <c r="M1" s="10"/>
      <c r="N1" s="10"/>
      <c r="O1" s="10"/>
      <c r="P1" s="10"/>
    </row>
    <row r="2" spans="1:25" ht="15" customHeight="1" x14ac:dyDescent="0.25"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</row>
    <row r="3" spans="1:25" ht="39" customHeight="1" x14ac:dyDescent="0.25">
      <c r="B3" s="111" t="s">
        <v>234</v>
      </c>
      <c r="C3" s="111"/>
      <c r="D3" s="104">
        <f>SUM(D7:D1613)</f>
        <v>20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</row>
    <row r="4" spans="1:25" s="62" customFormat="1" ht="54" customHeight="1" x14ac:dyDescent="0.25">
      <c r="B4" s="70"/>
      <c r="C4" s="103"/>
      <c r="D4" s="103"/>
      <c r="E4" s="70"/>
      <c r="F4" s="70"/>
      <c r="G4" s="89" t="s">
        <v>212</v>
      </c>
      <c r="H4" s="8"/>
      <c r="I4" s="70"/>
      <c r="J4" s="70"/>
      <c r="K4" s="70"/>
      <c r="L4" s="70"/>
      <c r="M4" s="70"/>
      <c r="N4" s="70"/>
      <c r="O4" s="70"/>
      <c r="P4" s="70"/>
      <c r="Q4" s="8"/>
      <c r="R4" s="8"/>
      <c r="S4" s="8"/>
      <c r="T4" s="8"/>
      <c r="U4" s="8"/>
      <c r="V4" s="8"/>
      <c r="W4" s="8"/>
      <c r="X4" s="8"/>
      <c r="Y4" s="8"/>
    </row>
    <row r="5" spans="1:25" s="75" customFormat="1" ht="44.25" customHeight="1" x14ac:dyDescent="0.25">
      <c r="A5" s="104" t="s">
        <v>231</v>
      </c>
      <c r="B5" s="105" t="s">
        <v>213</v>
      </c>
      <c r="C5" s="104" t="s">
        <v>232</v>
      </c>
      <c r="D5" s="104" t="s">
        <v>233</v>
      </c>
      <c r="E5" s="104" t="s">
        <v>214</v>
      </c>
      <c r="F5" s="106" t="s">
        <v>226</v>
      </c>
      <c r="G5" s="106" t="s">
        <v>238</v>
      </c>
      <c r="H5" s="106" t="s">
        <v>237</v>
      </c>
      <c r="K5" s="103"/>
      <c r="L5" s="103"/>
      <c r="M5" s="103"/>
      <c r="N5" s="103"/>
      <c r="O5" s="103"/>
      <c r="P5" s="8"/>
      <c r="Q5" s="8"/>
      <c r="R5" s="8"/>
      <c r="S5" s="8"/>
      <c r="T5" s="8"/>
      <c r="U5" s="8"/>
      <c r="V5" s="8"/>
      <c r="W5" s="8"/>
      <c r="X5" s="8"/>
    </row>
    <row r="6" spans="1:25" s="62" customFormat="1" ht="26.25" x14ac:dyDescent="0.25">
      <c r="A6" s="75"/>
      <c r="B6" s="71"/>
      <c r="C6" s="102"/>
      <c r="D6" s="102"/>
      <c r="E6" s="69" t="s">
        <v>56</v>
      </c>
      <c r="G6" s="64"/>
      <c r="H6" s="100" t="str">
        <f t="shared" ref="H6:H16" si="0">IF(G6&lt;&gt;"",DEC2HEX(G6,4),"")</f>
        <v/>
      </c>
      <c r="I6" s="3"/>
      <c r="J6" s="70"/>
      <c r="K6" s="70"/>
      <c r="L6" s="70"/>
      <c r="M6" s="70"/>
      <c r="N6" s="70"/>
      <c r="O6" s="70"/>
      <c r="P6" s="70"/>
      <c r="Q6" s="8"/>
      <c r="R6" s="8"/>
      <c r="S6" s="8"/>
      <c r="T6" s="8"/>
      <c r="U6" s="8"/>
      <c r="V6" s="8"/>
      <c r="W6" s="8"/>
      <c r="X6" s="8"/>
      <c r="Y6" s="8"/>
    </row>
    <row r="7" spans="1:25" ht="23.25" x14ac:dyDescent="0.25">
      <c r="A7" s="75">
        <v>0</v>
      </c>
      <c r="B7" s="26" t="s">
        <v>57</v>
      </c>
      <c r="C7" s="57" t="s">
        <v>235</v>
      </c>
      <c r="D7" s="57">
        <f>IF(OR(C7="sint64",C7="uint64",C7="double64"), 8, IF(OR(C7="sint32",C7="uint32",C7="float32"),4,IF(OR(C7="sint16",C7="uint16"),2,  IF(OR(C7="sint8",C7="uint8"),1,""))))</f>
        <v>2</v>
      </c>
      <c r="E7" s="65" t="s">
        <v>58</v>
      </c>
      <c r="F7" s="12"/>
      <c r="G7" s="9">
        <f>ROUND(('Setting Table'!C18*256),0)</f>
        <v>2995</v>
      </c>
      <c r="H7" s="100" t="str">
        <f t="shared" si="0"/>
        <v>0BB3</v>
      </c>
      <c r="I7" s="70"/>
    </row>
    <row r="8" spans="1:25" ht="23.25" x14ac:dyDescent="0.25">
      <c r="A8" s="75">
        <f>IF(G8&lt;&gt;"",MAX(A$1:A7)+1,"")</f>
        <v>1</v>
      </c>
      <c r="B8" s="66" t="s">
        <v>60</v>
      </c>
      <c r="C8" s="57" t="s">
        <v>235</v>
      </c>
      <c r="D8" s="57">
        <f>IF(OR(C8="sint64",C8="uint64",C8="double64"), 8, IF(OR(C8="sint32",C8="uint32",C8="float32"),4,IF(OR(C8="sint16",C8="uint16"),2,  IF(OR(C8="sint8",C8="uint8"),1,""))))</f>
        <v>2</v>
      </c>
      <c r="E8" s="52" t="s">
        <v>195</v>
      </c>
      <c r="F8" s="67">
        <f>'Setting Table'!C3/('Setting Table'!C6*'Setting Table'!C18)*32768</f>
        <v>9335.6125356125358</v>
      </c>
      <c r="G8" s="63">
        <f t="shared" ref="G8:G9" si="1">ROUND(F8,0)</f>
        <v>9336</v>
      </c>
      <c r="H8" s="100" t="str">
        <f t="shared" si="0"/>
        <v>2478</v>
      </c>
      <c r="I8" s="57"/>
      <c r="J8" s="57"/>
      <c r="K8" s="57"/>
      <c r="L8" s="57"/>
    </row>
    <row r="9" spans="1:25" ht="23.25" x14ac:dyDescent="0.25">
      <c r="A9" s="75">
        <f>IF(G9&lt;&gt;"",MAX(A$1:A8)+1,"")</f>
        <v>2</v>
      </c>
      <c r="B9" s="26" t="s">
        <v>61</v>
      </c>
      <c r="C9" s="57" t="s">
        <v>235</v>
      </c>
      <c r="D9" s="57">
        <f>IF(OR(C9="sint64",C9="uint64",C9="double64"), 8, IF(OR(C9="sint32",C9="uint32",C9="float32"),4,IF(OR(C9="sint16",C9="uint16"),2,  IF(OR(C9="sint8",C9="uint8"),1,""))))</f>
        <v>2</v>
      </c>
      <c r="E9" s="65" t="s">
        <v>48</v>
      </c>
      <c r="F9" s="67">
        <f>0.93*'Board Configuration Table'!C14/'Setting Table'!C18</f>
        <v>173.80674671491417</v>
      </c>
      <c r="G9" s="63">
        <f t="shared" si="1"/>
        <v>174</v>
      </c>
      <c r="H9" s="100" t="str">
        <f t="shared" si="0"/>
        <v>00AE</v>
      </c>
      <c r="I9" s="57"/>
      <c r="J9" s="57"/>
      <c r="K9" s="57"/>
      <c r="L9" s="57"/>
    </row>
    <row r="10" spans="1:25" ht="23.25" x14ac:dyDescent="0.25">
      <c r="A10" s="75" t="str">
        <f>IF(G10&lt;&gt;"",MAX(A$1:A9)+1,"")</f>
        <v/>
      </c>
      <c r="B10" s="26"/>
      <c r="C10" s="26"/>
      <c r="D10" s="57" t="str">
        <f>IF(OR(C10="sint64",C10="uint64",C10="double64"), 8, IF(OR(C10="sint32",C10="uint32",C10="float32"),4,IF(OR(C10="sint16",C10="uint16"),2,  IF(OR(C10="sint8",C10="uint8"),1,""))))</f>
        <v/>
      </c>
      <c r="E10" s="56"/>
      <c r="F10" s="21"/>
      <c r="G10" s="9"/>
      <c r="H10" s="100" t="str">
        <f t="shared" si="0"/>
        <v/>
      </c>
      <c r="I10" s="6"/>
      <c r="J10" s="7"/>
      <c r="K10" s="57"/>
      <c r="L10" s="57"/>
    </row>
    <row r="11" spans="1:25" ht="23.25" x14ac:dyDescent="0.25">
      <c r="A11" s="75" t="str">
        <f>IF(G11&lt;&gt;"",MAX(A$1:A10)+1,"")</f>
        <v/>
      </c>
      <c r="B11" s="113" t="s">
        <v>22</v>
      </c>
      <c r="C11" s="113"/>
      <c r="D11" s="113"/>
      <c r="E11" s="113"/>
      <c r="F11" s="68"/>
      <c r="G11" s="27"/>
      <c r="H11" s="100" t="str">
        <f t="shared" si="0"/>
        <v/>
      </c>
      <c r="I11" s="57"/>
      <c r="J11" s="21"/>
      <c r="K11" s="21"/>
      <c r="L11" s="21"/>
    </row>
    <row r="12" spans="1:25" ht="23.25" x14ac:dyDescent="0.25">
      <c r="A12" s="75" t="str">
        <f>IF(G12&lt;&gt;"",MAX(A$1:A11)+1,"")</f>
        <v/>
      </c>
      <c r="B12" s="113"/>
      <c r="C12" s="113"/>
      <c r="D12" s="113"/>
      <c r="E12" s="113"/>
      <c r="F12" s="67"/>
      <c r="G12" s="63"/>
      <c r="H12" s="100" t="str">
        <f t="shared" si="0"/>
        <v/>
      </c>
      <c r="I12" s="21"/>
      <c r="J12" s="4"/>
      <c r="K12" s="57"/>
      <c r="L12" s="57"/>
    </row>
    <row r="13" spans="1:25" ht="23.25" x14ac:dyDescent="0.25">
      <c r="A13" s="75">
        <f>IF(G13&lt;&gt;"",MAX(A$1:A12)+1,"")</f>
        <v>3</v>
      </c>
      <c r="B13" s="66" t="s">
        <v>70</v>
      </c>
      <c r="C13" s="57" t="s">
        <v>235</v>
      </c>
      <c r="D13" s="57">
        <f>IF(OR(C13="sint64",C13="uint64",C13="double64"), 8, IF(OR(C13="sint32",C13="uint32",C13="float32"),4,IF(OR(C13="sint16",C13="uint16"),2,  IF(OR(C13="sint8",C13="uint8"),1,""))))</f>
        <v>2</v>
      </c>
      <c r="E13" s="65" t="s">
        <v>71</v>
      </c>
      <c r="F13" s="67">
        <f>'Setting Table'!C6*'Setting Table'!C18</f>
        <v>702</v>
      </c>
      <c r="G13" s="63">
        <f>ROUND(F13,0)</f>
        <v>702</v>
      </c>
      <c r="H13" s="100" t="str">
        <f t="shared" si="0"/>
        <v>02BE</v>
      </c>
      <c r="I13" s="6"/>
      <c r="J13" s="57"/>
      <c r="K13" s="57"/>
      <c r="L13" s="57"/>
    </row>
    <row r="14" spans="1:25" ht="23.25" x14ac:dyDescent="0.25">
      <c r="A14" s="75">
        <f>IF(G14&lt;&gt;"",MAX(A$1:A13)+1,"")</f>
        <v>4</v>
      </c>
      <c r="B14" s="66" t="s">
        <v>72</v>
      </c>
      <c r="C14" s="57" t="s">
        <v>235</v>
      </c>
      <c r="D14" s="57">
        <f>IF(OR(C14="sint64",C14="uint64",C14="double64"), 8, IF(OR(C14="sint32",C14="uint32",C14="float32"),4,IF(OR(C14="sint16",C14="uint16"),2,  IF(OR(C14="sint8",C14="uint8"),1,""))))</f>
        <v>2</v>
      </c>
      <c r="E14" s="65" t="s">
        <v>73</v>
      </c>
      <c r="F14" s="67">
        <f>'Setting Table'!C7*'Setting Table'!C18</f>
        <v>1029.5999999999999</v>
      </c>
      <c r="G14" s="63">
        <f>ROUND(F14,0)</f>
        <v>1030</v>
      </c>
      <c r="H14" s="100" t="str">
        <f t="shared" si="0"/>
        <v>0406</v>
      </c>
      <c r="I14" s="57"/>
      <c r="J14" s="57"/>
      <c r="K14" s="57"/>
      <c r="L14" s="57"/>
    </row>
    <row r="15" spans="1:25" ht="23.25" x14ac:dyDescent="0.25">
      <c r="A15" s="75">
        <f>IF(G15&lt;&gt;"",MAX(A$1:A14)+1,"")</f>
        <v>5</v>
      </c>
      <c r="B15" s="66" t="s">
        <v>74</v>
      </c>
      <c r="C15" s="57" t="s">
        <v>235</v>
      </c>
      <c r="D15" s="57">
        <f>IF(OR(C15="sint64",C15="uint64",C15="double64"), 8, IF(OR(C15="sint32",C15="uint32",C15="float32"),4,IF(OR(C15="sint16",C15="uint16"),2,  IF(OR(C15="sint8",C15="uint8"),1,""))))</f>
        <v>2</v>
      </c>
      <c r="E15" s="65" t="s">
        <v>75</v>
      </c>
      <c r="F15" s="67">
        <f>'Setting Table'!C8*'Setting Table'!C18</f>
        <v>14976</v>
      </c>
      <c r="G15" s="63">
        <f>ROUND(F15,0)</f>
        <v>14976</v>
      </c>
      <c r="H15" s="100" t="str">
        <f t="shared" si="0"/>
        <v>3A80</v>
      </c>
      <c r="I15" s="57"/>
      <c r="J15" s="57"/>
      <c r="K15" s="57"/>
      <c r="L15" s="57"/>
    </row>
    <row r="16" spans="1:25" ht="23.25" x14ac:dyDescent="0.25">
      <c r="A16" s="75" t="str">
        <f>IF(G16&lt;&gt;"",MAX(A$1:A15)+1,"")</f>
        <v/>
      </c>
      <c r="B16" s="66"/>
      <c r="C16" s="78"/>
      <c r="D16" s="57" t="str">
        <f>IF(OR(C16="sint64",C16="uint64",C16="double64"), 8, IF(OR(C16="sint32",C16="uint32",C16="float32"),4,IF(OR(C16="sint16",C16="uint16"),2,  IF(OR(C16="sint8",C16="uint8"),1,""))))</f>
        <v/>
      </c>
      <c r="E16" s="54"/>
      <c r="F16" s="67"/>
      <c r="G16" s="63"/>
      <c r="H16" s="100" t="str">
        <f t="shared" si="0"/>
        <v/>
      </c>
      <c r="I16" s="57"/>
      <c r="J16" s="57"/>
      <c r="K16" s="57"/>
      <c r="L16" s="57"/>
    </row>
    <row r="17" spans="1:25" ht="23.25" x14ac:dyDescent="0.25">
      <c r="A17" s="75" t="str">
        <f>IF(G17&lt;&gt;"",MAX(A$1:A16)+1,"")</f>
        <v/>
      </c>
      <c r="B17" s="113" t="s">
        <v>120</v>
      </c>
      <c r="C17" s="113"/>
      <c r="D17" s="113"/>
      <c r="E17" s="113"/>
      <c r="F17" s="67"/>
      <c r="G17" s="63"/>
      <c r="H17" s="100" t="str">
        <f t="shared" ref="H17:H22" si="2">IF(G17&lt;&gt;"",DEC2HEX(G17,4),"")</f>
        <v/>
      </c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</row>
    <row r="18" spans="1:25" ht="23.25" x14ac:dyDescent="0.25">
      <c r="A18" s="75" t="str">
        <f>IF(G18&lt;&gt;"",MAX(A$1:A17)+1,"")</f>
        <v/>
      </c>
      <c r="B18" s="113"/>
      <c r="C18" s="113"/>
      <c r="D18" s="113"/>
      <c r="E18" s="113"/>
      <c r="F18" s="21"/>
      <c r="G18" s="63"/>
      <c r="H18" s="100" t="str">
        <f t="shared" si="2"/>
        <v/>
      </c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</row>
    <row r="19" spans="1:25" ht="23.25" x14ac:dyDescent="0.25">
      <c r="A19" s="75">
        <f>IF(G19&lt;&gt;"",MAX(A$1:A18)+1,"")</f>
        <v>6</v>
      </c>
      <c r="B19" s="26" t="s">
        <v>62</v>
      </c>
      <c r="C19" s="57" t="s">
        <v>235</v>
      </c>
      <c r="D19" s="57">
        <f>IF(OR(C19="sint64",C19="uint64",C19="double64"), 8, IF(OR(C19="sint32",C19="uint32",C19="float32"),4,IF(OR(C19="sint16",C19="uint16"),2,  IF(OR(C19="sint8",C19="uint8"),1,""))))</f>
        <v>2</v>
      </c>
      <c r="E19" s="65" t="s">
        <v>63</v>
      </c>
      <c r="F19" s="23">
        <f>'Dynamic Torque Limit'!C39*'Setting Table'!C18</f>
        <v>585</v>
      </c>
      <c r="G19" s="63">
        <f>ROUND(F19,0)</f>
        <v>585</v>
      </c>
      <c r="H19" s="100" t="str">
        <f t="shared" si="2"/>
        <v>0249</v>
      </c>
      <c r="I19" s="57"/>
      <c r="J19" s="62"/>
      <c r="K19" s="62"/>
      <c r="L19" s="62"/>
    </row>
    <row r="20" spans="1:25" ht="23.25" x14ac:dyDescent="0.25">
      <c r="A20" s="75">
        <f>IF(G20&lt;&gt;"",MAX(A$1:A19)+1,"")</f>
        <v>7</v>
      </c>
      <c r="B20" s="26" t="s">
        <v>64</v>
      </c>
      <c r="C20" s="57" t="s">
        <v>235</v>
      </c>
      <c r="D20" s="57">
        <f>IF(OR(C20="sint64",C20="uint64",C20="double64"), 8, IF(OR(C20="sint32",C20="uint32",C20="float32"),4,IF(OR(C20="sint16",C20="uint16"),2,  IF(OR(C20="sint8",C20="uint8"),1,""))))</f>
        <v>2</v>
      </c>
      <c r="E20" s="65" t="s">
        <v>65</v>
      </c>
      <c r="F20" s="23">
        <f>'Dynamic Torque Limit'!C40*'Setting Table'!C18</f>
        <v>175.5</v>
      </c>
      <c r="G20" s="33">
        <f>ROUND(F20,0)</f>
        <v>176</v>
      </c>
      <c r="H20" s="100" t="str">
        <f t="shared" si="2"/>
        <v>00B0</v>
      </c>
      <c r="I20" s="62"/>
      <c r="J20" s="62"/>
      <c r="K20" s="62"/>
      <c r="L20" s="62"/>
    </row>
    <row r="21" spans="1:25" ht="23.25" x14ac:dyDescent="0.25">
      <c r="A21" s="75">
        <f>IF(G21&lt;&gt;"",MAX(A$1:A20)+1,"")</f>
        <v>8</v>
      </c>
      <c r="B21" s="26" t="s">
        <v>66</v>
      </c>
      <c r="C21" s="57" t="s">
        <v>235</v>
      </c>
      <c r="D21" s="57">
        <f>IF(OR(C21="sint64",C21="uint64",C21="double64"), 8, IF(OR(C21="sint32",C21="uint32",C21="float32"),4,IF(OR(C21="sint16",C21="uint16"),2,  IF(OR(C21="sint8",C21="uint8"),1,""))))</f>
        <v>2</v>
      </c>
      <c r="E21" s="65" t="s">
        <v>67</v>
      </c>
      <c r="F21" s="5">
        <f>'Dynamic Torque Limit'!C37*'Setting Table'!C18</f>
        <v>1544.3999999999999</v>
      </c>
      <c r="G21" s="9">
        <f>ROUND(F21,0)</f>
        <v>1544</v>
      </c>
      <c r="H21" s="100" t="str">
        <f t="shared" si="2"/>
        <v>0608</v>
      </c>
      <c r="I21" s="62"/>
      <c r="J21" s="57"/>
      <c r="K21" s="57"/>
      <c r="L21" s="57"/>
    </row>
    <row r="22" spans="1:25" ht="23.25" x14ac:dyDescent="0.25">
      <c r="A22" s="75">
        <f>IF(G22&lt;&gt;"",MAX(A$1:A21)+1,"")</f>
        <v>9</v>
      </c>
      <c r="B22" s="26" t="s">
        <v>68</v>
      </c>
      <c r="C22" s="57" t="s">
        <v>235</v>
      </c>
      <c r="D22" s="57">
        <f>IF(OR(C22="sint64",C22="uint64",C22="double64"), 8, IF(OR(C22="sint32",C22="uint32",C22="float32"),4,IF(OR(C22="sint16",C22="uint16"),2,  IF(OR(C22="sint8",C22="uint8"),1,""))))</f>
        <v>2</v>
      </c>
      <c r="E22" s="65" t="s">
        <v>69</v>
      </c>
      <c r="F22" s="21">
        <f>'Dynamic Torque Limit'!C38*'Setting Table'!C18</f>
        <v>292.5</v>
      </c>
      <c r="G22" s="9">
        <f>ROUND(F22,0)</f>
        <v>293</v>
      </c>
      <c r="H22" s="100" t="str">
        <f t="shared" si="2"/>
        <v>0125</v>
      </c>
      <c r="I22" s="6"/>
      <c r="J22" s="7"/>
      <c r="K22" s="57"/>
      <c r="L22" s="57"/>
    </row>
    <row r="23" spans="1:25" s="61" customFormat="1" ht="36.75" customHeight="1" x14ac:dyDescent="0.25">
      <c r="F23" s="36"/>
      <c r="G23" s="43"/>
      <c r="H23" s="35"/>
    </row>
    <row r="24" spans="1:25" s="61" customFormat="1" ht="23.25" x14ac:dyDescent="0.25">
      <c r="B24" s="37"/>
      <c r="C24" s="37"/>
      <c r="D24" s="37"/>
      <c r="E24" s="38"/>
      <c r="F24" s="36"/>
      <c r="G24" s="43"/>
      <c r="H24" s="35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</row>
    <row r="25" spans="1:25" s="61" customFormat="1" ht="23.25" x14ac:dyDescent="0.25">
      <c r="B25" s="37"/>
      <c r="C25" s="37"/>
      <c r="D25" s="37"/>
      <c r="E25" s="40"/>
      <c r="F25" s="18"/>
      <c r="G25" s="43"/>
      <c r="H25" s="35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</row>
    <row r="26" spans="1:25" s="61" customFormat="1" ht="23.25" x14ac:dyDescent="0.25">
      <c r="B26" s="16"/>
      <c r="C26" s="16"/>
      <c r="D26" s="16"/>
      <c r="E26" s="17"/>
      <c r="F26" s="18"/>
      <c r="G26" s="43"/>
      <c r="H26" s="35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</row>
    <row r="27" spans="1:25" s="61" customFormat="1" ht="23.25" x14ac:dyDescent="0.25">
      <c r="B27" s="16"/>
      <c r="C27" s="16"/>
      <c r="D27" s="16"/>
      <c r="E27" s="17"/>
      <c r="F27" s="18"/>
      <c r="G27" s="43"/>
      <c r="H27" s="35"/>
      <c r="I27" s="84"/>
      <c r="J27" s="85"/>
      <c r="K27" s="85"/>
      <c r="L27" s="85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</row>
    <row r="28" spans="1:25" s="61" customFormat="1" ht="23.25" x14ac:dyDescent="0.25">
      <c r="B28" s="16"/>
      <c r="C28" s="16"/>
      <c r="D28" s="16"/>
      <c r="E28" s="17"/>
      <c r="F28" s="18"/>
      <c r="G28" s="43"/>
      <c r="H28" s="35"/>
      <c r="I28" s="85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</row>
    <row r="29" spans="1:25" s="61" customFormat="1" ht="23.25" x14ac:dyDescent="0.25">
      <c r="B29" s="37"/>
      <c r="C29" s="37"/>
      <c r="D29" s="37"/>
      <c r="E29" s="40"/>
      <c r="F29" s="18"/>
      <c r="G29" s="43"/>
      <c r="H29" s="35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</row>
    <row r="30" spans="1:25" s="61" customFormat="1" ht="23.25" x14ac:dyDescent="0.25">
      <c r="B30" s="16"/>
      <c r="C30" s="16"/>
      <c r="D30" s="16"/>
      <c r="E30" s="17"/>
      <c r="F30" s="18"/>
      <c r="G30" s="43"/>
      <c r="H30" s="35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</row>
    <row r="31" spans="1:25" s="61" customFormat="1" ht="23.25" x14ac:dyDescent="0.25">
      <c r="B31" s="16"/>
      <c r="C31" s="16"/>
      <c r="D31" s="16"/>
      <c r="E31" s="17"/>
      <c r="F31" s="18"/>
      <c r="G31" s="43"/>
      <c r="H31" s="35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</row>
    <row r="32" spans="1:25" s="61" customFormat="1" ht="23.25" x14ac:dyDescent="0.25">
      <c r="B32" s="37"/>
      <c r="C32" s="37"/>
      <c r="D32" s="37"/>
      <c r="E32" s="48"/>
      <c r="F32" s="18"/>
      <c r="G32" s="47"/>
      <c r="H32" s="35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</row>
    <row r="33" spans="2:25" s="61" customFormat="1" ht="23.25" x14ac:dyDescent="0.25">
      <c r="B33" s="37"/>
      <c r="C33" s="37"/>
      <c r="D33" s="37"/>
      <c r="E33" s="48"/>
      <c r="F33" s="18"/>
      <c r="G33" s="47"/>
      <c r="H33" s="35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</row>
    <row r="34" spans="2:25" s="61" customFormat="1" ht="23.25" x14ac:dyDescent="0.25">
      <c r="B34" s="16"/>
      <c r="C34" s="16"/>
      <c r="D34" s="16"/>
      <c r="E34" s="17"/>
      <c r="F34" s="36"/>
      <c r="G34" s="43"/>
      <c r="H34" s="35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</row>
    <row r="35" spans="2:25" s="61" customFormat="1" ht="23.25" x14ac:dyDescent="0.25">
      <c r="B35" s="37"/>
      <c r="C35" s="37"/>
      <c r="D35" s="37"/>
      <c r="E35" s="38"/>
      <c r="F35" s="36"/>
      <c r="G35" s="43"/>
      <c r="H35" s="35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</row>
    <row r="36" spans="2:25" s="61" customFormat="1" ht="23.25" x14ac:dyDescent="0.25">
      <c r="B36" s="37"/>
      <c r="C36" s="37"/>
      <c r="D36" s="37"/>
      <c r="E36" s="38"/>
      <c r="F36" s="36"/>
      <c r="G36" s="43"/>
      <c r="H36" s="35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</row>
    <row r="37" spans="2:25" s="61" customFormat="1" ht="23.25" x14ac:dyDescent="0.25">
      <c r="B37" s="37"/>
      <c r="C37" s="37"/>
      <c r="D37" s="37"/>
      <c r="E37" s="38"/>
      <c r="F37" s="36"/>
      <c r="G37" s="43"/>
      <c r="H37" s="35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</row>
    <row r="38" spans="2:25" s="61" customFormat="1" ht="23.25" x14ac:dyDescent="0.25">
      <c r="B38" s="37"/>
      <c r="C38" s="37"/>
      <c r="D38" s="37"/>
      <c r="E38" s="40"/>
      <c r="F38" s="18"/>
      <c r="G38" s="43"/>
      <c r="H38" s="35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</row>
    <row r="39" spans="2:25" s="61" customFormat="1" ht="23.25" x14ac:dyDescent="0.25">
      <c r="B39" s="16"/>
      <c r="C39" s="16"/>
      <c r="D39" s="16"/>
      <c r="E39" s="17"/>
      <c r="F39" s="18"/>
      <c r="G39" s="43"/>
      <c r="H39" s="35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</row>
    <row r="40" spans="2:25" s="61" customFormat="1" ht="23.25" x14ac:dyDescent="0.25">
      <c r="B40" s="16"/>
      <c r="C40" s="16"/>
      <c r="D40" s="16"/>
      <c r="E40" s="17"/>
      <c r="F40" s="18"/>
      <c r="G40" s="43"/>
      <c r="H40" s="35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</row>
    <row r="41" spans="2:25" s="61" customFormat="1" ht="23.25" x14ac:dyDescent="0.25">
      <c r="B41" s="16"/>
      <c r="C41" s="16"/>
      <c r="D41" s="16"/>
      <c r="E41" s="17"/>
      <c r="F41" s="18"/>
      <c r="G41" s="43"/>
      <c r="H41" s="35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</row>
    <row r="42" spans="2:25" s="61" customFormat="1" ht="23.25" x14ac:dyDescent="0.25">
      <c r="B42" s="37"/>
      <c r="C42" s="37"/>
      <c r="D42" s="37"/>
      <c r="E42" s="40"/>
      <c r="F42" s="18"/>
      <c r="G42" s="43"/>
      <c r="H42" s="35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</row>
    <row r="43" spans="2:25" s="61" customFormat="1" ht="23.25" x14ac:dyDescent="0.25">
      <c r="B43" s="16"/>
      <c r="C43" s="16"/>
      <c r="D43" s="16"/>
      <c r="E43" s="17"/>
      <c r="F43" s="18"/>
      <c r="G43" s="43"/>
      <c r="H43" s="35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</row>
    <row r="44" spans="2:25" s="61" customFormat="1" ht="23.25" x14ac:dyDescent="0.25">
      <c r="B44" s="16"/>
      <c r="C44" s="16"/>
      <c r="D44" s="16"/>
      <c r="E44" s="17"/>
      <c r="F44" s="18"/>
      <c r="G44" s="43"/>
      <c r="H44" s="35"/>
    </row>
    <row r="45" spans="2:25" s="61" customFormat="1" ht="23.25" x14ac:dyDescent="0.25">
      <c r="B45" s="37"/>
      <c r="C45" s="37"/>
      <c r="D45" s="37"/>
      <c r="E45" s="38"/>
      <c r="F45" s="18"/>
      <c r="G45" s="47"/>
      <c r="H45" s="35"/>
    </row>
    <row r="46" spans="2:25" s="61" customFormat="1" ht="23.25" x14ac:dyDescent="0.25">
      <c r="B46" s="37"/>
      <c r="C46" s="37"/>
      <c r="D46" s="37"/>
      <c r="E46" s="38"/>
      <c r="F46" s="18"/>
      <c r="G46" s="47"/>
      <c r="H46" s="35"/>
    </row>
    <row r="47" spans="2:25" s="61" customFormat="1" ht="23.25" x14ac:dyDescent="0.25">
      <c r="B47" s="16"/>
      <c r="C47" s="16"/>
      <c r="D47" s="16"/>
      <c r="E47" s="17"/>
      <c r="F47" s="36"/>
      <c r="G47" s="43"/>
      <c r="H47" s="35"/>
    </row>
    <row r="48" spans="2:25" s="61" customFormat="1" ht="23.25" x14ac:dyDescent="0.25">
      <c r="B48" s="37"/>
      <c r="C48" s="37"/>
      <c r="D48" s="37"/>
      <c r="E48" s="38"/>
      <c r="F48" s="36"/>
      <c r="G48" s="43"/>
      <c r="H48" s="35"/>
    </row>
    <row r="49" spans="2:25" s="61" customFormat="1" ht="23.25" x14ac:dyDescent="0.25">
      <c r="B49" s="37"/>
      <c r="C49" s="37"/>
      <c r="D49" s="37"/>
      <c r="E49" s="38"/>
      <c r="F49" s="36"/>
      <c r="G49" s="43"/>
      <c r="H49" s="35"/>
    </row>
    <row r="50" spans="2:25" s="61" customFormat="1" ht="23.25" x14ac:dyDescent="0.25">
      <c r="B50" s="37"/>
      <c r="C50" s="37"/>
      <c r="D50" s="37"/>
      <c r="E50" s="38"/>
      <c r="F50" s="36"/>
      <c r="G50" s="43"/>
      <c r="H50" s="35"/>
    </row>
    <row r="51" spans="2:25" s="61" customFormat="1" ht="23.25" x14ac:dyDescent="0.25">
      <c r="B51" s="37"/>
      <c r="C51" s="37"/>
      <c r="D51" s="37"/>
      <c r="E51" s="40"/>
      <c r="F51" s="18"/>
      <c r="G51" s="43"/>
      <c r="H51" s="35"/>
    </row>
    <row r="52" spans="2:25" s="61" customFormat="1" ht="23.25" x14ac:dyDescent="0.25">
      <c r="B52" s="16"/>
      <c r="C52" s="16"/>
      <c r="D52" s="16"/>
      <c r="E52" s="17"/>
      <c r="F52" s="18"/>
      <c r="G52" s="43"/>
      <c r="H52" s="35"/>
    </row>
    <row r="53" spans="2:25" s="61" customFormat="1" ht="23.25" x14ac:dyDescent="0.25">
      <c r="B53" s="16"/>
      <c r="C53" s="16"/>
      <c r="D53" s="16"/>
      <c r="E53" s="17"/>
      <c r="F53" s="18"/>
      <c r="G53" s="43"/>
      <c r="H53" s="35"/>
    </row>
    <row r="54" spans="2:25" s="61" customFormat="1" ht="23.25" x14ac:dyDescent="0.25">
      <c r="B54" s="16"/>
      <c r="C54" s="16"/>
      <c r="D54" s="16"/>
      <c r="E54" s="17"/>
      <c r="F54" s="18"/>
      <c r="G54" s="43"/>
      <c r="H54" s="35"/>
    </row>
    <row r="55" spans="2:25" s="61" customFormat="1" ht="23.25" x14ac:dyDescent="0.25">
      <c r="B55" s="37"/>
      <c r="C55" s="37"/>
      <c r="D55" s="37"/>
      <c r="E55" s="40"/>
      <c r="F55" s="18"/>
      <c r="G55" s="43"/>
      <c r="H55" s="35"/>
    </row>
    <row r="56" spans="2:25" s="61" customFormat="1" ht="23.25" x14ac:dyDescent="0.25">
      <c r="B56" s="16"/>
      <c r="C56" s="16"/>
      <c r="D56" s="16"/>
      <c r="E56" s="17"/>
      <c r="F56" s="18"/>
      <c r="G56" s="43"/>
      <c r="H56" s="35"/>
    </row>
    <row r="57" spans="2:25" s="61" customFormat="1" ht="23.25" x14ac:dyDescent="0.25">
      <c r="B57" s="16"/>
      <c r="C57" s="16"/>
      <c r="D57" s="16"/>
      <c r="E57" s="17"/>
      <c r="F57" s="18"/>
      <c r="G57" s="43"/>
      <c r="H57" s="35"/>
    </row>
    <row r="58" spans="2:25" s="61" customFormat="1" ht="23.25" x14ac:dyDescent="0.25">
      <c r="B58" s="37"/>
      <c r="C58" s="37"/>
      <c r="D58" s="37"/>
      <c r="E58" s="38"/>
      <c r="F58" s="18"/>
      <c r="G58" s="47"/>
      <c r="H58" s="35"/>
    </row>
    <row r="59" spans="2:25" s="61" customFormat="1" ht="23.25" x14ac:dyDescent="0.25">
      <c r="B59" s="37"/>
      <c r="C59" s="37"/>
      <c r="D59" s="37"/>
      <c r="E59" s="38"/>
      <c r="F59" s="18"/>
      <c r="G59" s="47"/>
      <c r="H59" s="35"/>
    </row>
    <row r="60" spans="2:25" s="61" customFormat="1" ht="23.25" x14ac:dyDescent="0.25">
      <c r="B60" s="16"/>
      <c r="C60" s="16"/>
      <c r="D60" s="16"/>
      <c r="E60" s="17"/>
      <c r="F60" s="36"/>
      <c r="G60" s="43"/>
      <c r="H60" s="35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</row>
    <row r="61" spans="2:25" s="61" customFormat="1" ht="23.25" x14ac:dyDescent="0.25">
      <c r="B61" s="37"/>
      <c r="C61" s="37"/>
      <c r="D61" s="37"/>
      <c r="E61" s="38"/>
      <c r="F61" s="36"/>
      <c r="G61" s="43"/>
      <c r="H61" s="35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</row>
    <row r="62" spans="2:25" s="61" customFormat="1" ht="23.25" x14ac:dyDescent="0.25">
      <c r="B62" s="37"/>
      <c r="C62" s="37"/>
      <c r="D62" s="37"/>
      <c r="E62" s="38"/>
      <c r="F62" s="36"/>
      <c r="G62" s="43"/>
      <c r="H62" s="35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</row>
    <row r="63" spans="2:25" s="61" customFormat="1" ht="23.25" x14ac:dyDescent="0.25">
      <c r="B63" s="16"/>
      <c r="C63" s="16"/>
      <c r="D63" s="16"/>
      <c r="E63" s="17"/>
      <c r="F63" s="36"/>
      <c r="G63" s="43"/>
      <c r="H63" s="35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</row>
    <row r="64" spans="2:25" s="61" customFormat="1" ht="23.25" x14ac:dyDescent="0.25">
      <c r="B64" s="37"/>
      <c r="C64" s="37"/>
      <c r="D64" s="37"/>
      <c r="E64" s="38"/>
      <c r="F64" s="36"/>
      <c r="G64" s="43"/>
      <c r="H64" s="35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</row>
    <row r="65" spans="2:25" s="61" customFormat="1" ht="23.25" x14ac:dyDescent="0.25">
      <c r="B65" s="37"/>
      <c r="C65" s="37"/>
      <c r="D65" s="37"/>
      <c r="E65" s="40"/>
      <c r="F65" s="18"/>
      <c r="G65" s="43"/>
      <c r="H65" s="35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</row>
    <row r="66" spans="2:25" s="61" customFormat="1" ht="23.25" x14ac:dyDescent="0.25">
      <c r="B66" s="16"/>
      <c r="C66" s="16"/>
      <c r="D66" s="16"/>
      <c r="E66" s="17"/>
      <c r="F66" s="18"/>
      <c r="G66" s="43"/>
      <c r="H66" s="35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</row>
    <row r="67" spans="2:25" s="61" customFormat="1" ht="23.25" x14ac:dyDescent="0.25">
      <c r="B67" s="16"/>
      <c r="C67" s="16"/>
      <c r="D67" s="16"/>
      <c r="E67" s="17"/>
      <c r="F67" s="18"/>
      <c r="G67" s="43"/>
      <c r="H67" s="35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</row>
    <row r="68" spans="2:25" s="61" customFormat="1" ht="23.25" x14ac:dyDescent="0.25">
      <c r="B68" s="16"/>
      <c r="C68" s="16"/>
      <c r="D68" s="16"/>
      <c r="E68" s="17"/>
      <c r="F68" s="18"/>
      <c r="G68" s="43"/>
      <c r="H68" s="35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</row>
    <row r="69" spans="2:25" s="61" customFormat="1" ht="23.25" x14ac:dyDescent="0.25">
      <c r="B69" s="37"/>
      <c r="C69" s="37"/>
      <c r="D69" s="37"/>
      <c r="E69" s="40"/>
      <c r="F69" s="18"/>
      <c r="G69" s="43"/>
      <c r="H69" s="35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</row>
    <row r="70" spans="2:25" s="61" customFormat="1" ht="23.25" x14ac:dyDescent="0.25">
      <c r="B70" s="16"/>
      <c r="C70" s="16"/>
      <c r="D70" s="16"/>
      <c r="E70" s="17"/>
      <c r="F70" s="18"/>
      <c r="G70" s="43"/>
      <c r="H70" s="35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</row>
    <row r="71" spans="2:25" s="61" customFormat="1" ht="23.25" x14ac:dyDescent="0.25">
      <c r="B71" s="16"/>
      <c r="C71" s="16"/>
      <c r="D71" s="16"/>
      <c r="E71" s="17"/>
      <c r="F71" s="18"/>
      <c r="G71" s="43"/>
      <c r="H71" s="35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</row>
    <row r="72" spans="2:25" s="61" customFormat="1" ht="23.25" x14ac:dyDescent="0.25">
      <c r="B72" s="37"/>
      <c r="C72" s="37"/>
      <c r="D72" s="37"/>
      <c r="E72" s="38"/>
      <c r="F72" s="18"/>
      <c r="G72" s="47"/>
      <c r="H72" s="35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</row>
    <row r="73" spans="2:25" s="61" customFormat="1" ht="23.25" x14ac:dyDescent="0.25">
      <c r="B73" s="37"/>
      <c r="C73" s="37"/>
      <c r="D73" s="37"/>
      <c r="E73" s="38"/>
      <c r="F73" s="18"/>
      <c r="G73" s="47"/>
      <c r="H73" s="35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</row>
    <row r="74" spans="2:25" s="61" customFormat="1" ht="23.25" x14ac:dyDescent="0.25">
      <c r="B74" s="16"/>
      <c r="C74" s="16"/>
      <c r="D74" s="16"/>
      <c r="E74" s="17"/>
      <c r="F74" s="36"/>
      <c r="G74" s="43"/>
      <c r="H74" s="35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</row>
    <row r="75" spans="2:25" s="61" customFormat="1" ht="23.25" x14ac:dyDescent="0.25">
      <c r="B75" s="37"/>
      <c r="C75" s="37"/>
      <c r="D75" s="37"/>
      <c r="E75" s="38"/>
      <c r="F75" s="36"/>
      <c r="G75" s="43"/>
      <c r="H75" s="35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</row>
    <row r="76" spans="2:25" s="61" customFormat="1" ht="23.25" x14ac:dyDescent="0.25">
      <c r="B76" s="37"/>
      <c r="C76" s="37"/>
      <c r="D76" s="37"/>
      <c r="E76" s="38"/>
      <c r="F76" s="36"/>
      <c r="G76" s="43"/>
      <c r="H76" s="35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</row>
    <row r="77" spans="2:25" s="61" customFormat="1" ht="23.25" x14ac:dyDescent="0.25">
      <c r="B77" s="115"/>
      <c r="C77" s="115"/>
      <c r="D77" s="115"/>
      <c r="E77" s="115"/>
      <c r="F77" s="36"/>
      <c r="G77" s="43"/>
      <c r="H77" s="35"/>
    </row>
    <row r="78" spans="2:25" s="61" customFormat="1" ht="23.25" x14ac:dyDescent="0.25">
      <c r="B78" s="115"/>
      <c r="C78" s="115"/>
      <c r="D78" s="115"/>
      <c r="E78" s="115"/>
      <c r="F78" s="18"/>
      <c r="G78" s="43"/>
      <c r="H78" s="35"/>
    </row>
    <row r="79" spans="2:25" s="61" customFormat="1" ht="23.25" x14ac:dyDescent="0.25">
      <c r="B79" s="16"/>
      <c r="C79" s="16"/>
      <c r="D79" s="16"/>
      <c r="E79" s="17"/>
      <c r="F79" s="86"/>
      <c r="G79" s="87"/>
      <c r="H79" s="35"/>
      <c r="I79" s="88"/>
      <c r="J79" s="80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</row>
    <row r="80" spans="2:25" s="61" customFormat="1" ht="23.25" x14ac:dyDescent="0.25">
      <c r="B80" s="114"/>
      <c r="C80" s="114"/>
      <c r="D80" s="114"/>
      <c r="E80" s="114"/>
      <c r="F80" s="18"/>
      <c r="G80" s="43"/>
      <c r="H80" s="35"/>
    </row>
    <row r="81" spans="1:25" s="61" customFormat="1" ht="23.25" x14ac:dyDescent="0.25">
      <c r="B81" s="16"/>
      <c r="C81" s="16"/>
      <c r="D81" s="16"/>
      <c r="E81" s="17"/>
      <c r="F81" s="49"/>
      <c r="G81" s="43"/>
      <c r="H81" s="35"/>
    </row>
    <row r="82" spans="1:25" s="61" customFormat="1" ht="23.25" x14ac:dyDescent="0.25">
      <c r="B82" s="16"/>
      <c r="C82" s="16"/>
      <c r="D82" s="16"/>
      <c r="E82" s="17"/>
      <c r="F82" s="36"/>
      <c r="G82" s="43"/>
      <c r="H82" s="35"/>
    </row>
    <row r="83" spans="1:25" s="61" customFormat="1" ht="23.25" x14ac:dyDescent="0.25">
      <c r="B83" s="115"/>
      <c r="C83" s="115"/>
      <c r="D83" s="115"/>
      <c r="E83" s="115"/>
      <c r="F83" s="36"/>
      <c r="G83" s="43"/>
      <c r="H83" s="35"/>
    </row>
    <row r="84" spans="1:25" s="61" customFormat="1" ht="23.25" x14ac:dyDescent="0.25">
      <c r="B84" s="115"/>
      <c r="C84" s="115"/>
      <c r="D84" s="115"/>
      <c r="E84" s="115"/>
      <c r="F84" s="18"/>
      <c r="G84" s="43"/>
      <c r="H84" s="35"/>
    </row>
    <row r="85" spans="1:25" s="61" customFormat="1" ht="23.25" x14ac:dyDescent="0.25">
      <c r="B85" s="114"/>
      <c r="C85" s="114"/>
      <c r="D85" s="114"/>
      <c r="E85" s="114"/>
      <c r="F85" s="18"/>
      <c r="G85" s="43"/>
      <c r="H85" s="35"/>
    </row>
    <row r="86" spans="1:25" s="61" customFormat="1" ht="23.25" x14ac:dyDescent="0.25">
      <c r="B86" s="16"/>
      <c r="C86" s="16"/>
      <c r="D86" s="16"/>
      <c r="E86" s="17"/>
      <c r="F86" s="18"/>
      <c r="G86" s="43"/>
      <c r="H86" s="35"/>
    </row>
    <row r="87" spans="1:25" s="61" customFormat="1" ht="23.25" x14ac:dyDescent="0.25">
      <c r="B87" s="16"/>
      <c r="C87" s="16"/>
      <c r="D87" s="16"/>
      <c r="E87" s="17"/>
      <c r="F87" s="18"/>
      <c r="G87" s="43"/>
      <c r="H87" s="35"/>
    </row>
    <row r="88" spans="1:25" s="61" customFormat="1" ht="23.25" x14ac:dyDescent="0.25">
      <c r="B88" s="16"/>
      <c r="C88" s="16"/>
      <c r="D88" s="16"/>
      <c r="E88" s="17"/>
      <c r="F88" s="34"/>
      <c r="G88" s="43"/>
      <c r="H88" s="35"/>
    </row>
    <row r="89" spans="1:25" s="61" customFormat="1" ht="23.25" x14ac:dyDescent="0.25">
      <c r="B89" s="16"/>
      <c r="C89" s="16"/>
      <c r="D89" s="16"/>
      <c r="E89" s="17"/>
      <c r="F89" s="34"/>
      <c r="G89" s="43"/>
      <c r="H89" s="35"/>
    </row>
    <row r="90" spans="1:25" s="61" customFormat="1" ht="23.25" x14ac:dyDescent="0.25">
      <c r="B90" s="16"/>
      <c r="C90" s="16"/>
      <c r="D90" s="16"/>
      <c r="E90" s="17"/>
      <c r="F90" s="36"/>
      <c r="G90" s="43"/>
      <c r="H90" s="35"/>
    </row>
    <row r="91" spans="1:25" s="61" customFormat="1" ht="23.25" x14ac:dyDescent="0.25">
      <c r="B91" s="37"/>
      <c r="C91" s="37"/>
      <c r="D91" s="37"/>
      <c r="E91" s="38"/>
      <c r="F91" s="46"/>
      <c r="G91" s="43"/>
      <c r="H91" s="35"/>
    </row>
    <row r="92" spans="1:25" s="61" customFormat="1" ht="23.25" x14ac:dyDescent="0.25">
      <c r="F92" s="45"/>
      <c r="G92" s="44"/>
      <c r="H92" s="35"/>
    </row>
    <row r="93" spans="1:25" s="61" customFormat="1" ht="23.25" x14ac:dyDescent="0.25">
      <c r="B93" s="51"/>
      <c r="C93" s="51"/>
      <c r="D93" s="51"/>
      <c r="E93" s="51"/>
      <c r="F93" s="46"/>
      <c r="G93" s="18"/>
      <c r="H93" s="35"/>
    </row>
    <row r="94" spans="1:25" s="61" customFormat="1" ht="23.25" x14ac:dyDescent="0.25">
      <c r="B94" s="51"/>
      <c r="C94" s="51"/>
      <c r="D94" s="51"/>
      <c r="E94" s="51"/>
      <c r="F94" s="36"/>
      <c r="G94" s="43"/>
      <c r="H94" s="35"/>
    </row>
    <row r="95" spans="1:25" s="61" customFormat="1" ht="23.25" x14ac:dyDescent="0.25">
      <c r="B95" s="37"/>
      <c r="C95" s="37"/>
      <c r="D95" s="37"/>
      <c r="E95" s="38"/>
      <c r="F95" s="18"/>
      <c r="G95" s="43"/>
      <c r="H95" s="35"/>
    </row>
    <row r="96" spans="1:25" ht="23.25" x14ac:dyDescent="0.25">
      <c r="A96" s="61"/>
      <c r="B96" s="37"/>
      <c r="C96" s="37"/>
      <c r="D96" s="37"/>
      <c r="E96" s="40"/>
      <c r="F96" s="18"/>
      <c r="G96" s="43"/>
      <c r="H96" s="35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</row>
    <row r="97" spans="1:25" ht="23.25" x14ac:dyDescent="0.25">
      <c r="A97" s="61"/>
      <c r="B97" s="16"/>
      <c r="C97" s="16"/>
      <c r="D97" s="16"/>
      <c r="E97" s="17"/>
      <c r="F97" s="18"/>
      <c r="G97" s="43"/>
      <c r="H97" s="35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</row>
    <row r="98" spans="1:25" ht="23.25" x14ac:dyDescent="0.25">
      <c r="A98" s="61"/>
      <c r="B98" s="16"/>
      <c r="C98" s="16"/>
      <c r="D98" s="16"/>
      <c r="E98" s="17"/>
      <c r="F98" s="18"/>
      <c r="G98" s="43"/>
      <c r="H98" s="35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</row>
    <row r="99" spans="1:25" ht="23.25" x14ac:dyDescent="0.25">
      <c r="A99" s="61"/>
      <c r="B99" s="16"/>
      <c r="C99" s="16"/>
      <c r="D99" s="16"/>
      <c r="E99" s="17"/>
      <c r="F99" s="18"/>
      <c r="G99" s="43"/>
      <c r="H99" s="35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</row>
    <row r="100" spans="1:25" ht="23.25" x14ac:dyDescent="0.25">
      <c r="A100" s="61"/>
      <c r="B100" s="37"/>
      <c r="C100" s="37"/>
      <c r="D100" s="37"/>
      <c r="E100" s="40"/>
      <c r="F100" s="18"/>
      <c r="G100" s="43"/>
      <c r="H100" s="35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</row>
    <row r="101" spans="1:25" ht="23.25" x14ac:dyDescent="0.25">
      <c r="A101" s="61"/>
      <c r="B101" s="16"/>
      <c r="C101" s="16"/>
      <c r="D101" s="16"/>
      <c r="E101" s="17"/>
      <c r="F101" s="18"/>
      <c r="G101" s="43"/>
      <c r="H101" s="35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</row>
    <row r="102" spans="1:25" ht="23.25" x14ac:dyDescent="0.25">
      <c r="A102" s="61"/>
      <c r="B102" s="16"/>
      <c r="C102" s="16"/>
      <c r="D102" s="16"/>
      <c r="E102" s="17"/>
      <c r="F102" s="18"/>
      <c r="G102" s="47"/>
      <c r="H102" s="35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</row>
    <row r="103" spans="1:25" ht="23.25" x14ac:dyDescent="0.25">
      <c r="A103" s="61"/>
      <c r="B103" s="37"/>
      <c r="C103" s="37"/>
      <c r="D103" s="37"/>
      <c r="E103" s="38"/>
      <c r="F103" s="18"/>
      <c r="G103" s="47"/>
      <c r="H103" s="35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</row>
    <row r="104" spans="1:25" ht="23.25" x14ac:dyDescent="0.25">
      <c r="A104" s="61"/>
      <c r="B104" s="37"/>
      <c r="C104" s="37"/>
      <c r="D104" s="37"/>
      <c r="E104" s="38"/>
      <c r="F104" s="36"/>
      <c r="G104" s="43"/>
      <c r="H104" s="35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</row>
    <row r="105" spans="1:25" ht="23.25" x14ac:dyDescent="0.25">
      <c r="A105" s="61"/>
      <c r="B105" s="16"/>
      <c r="C105" s="16"/>
      <c r="D105" s="16"/>
      <c r="E105" s="17"/>
      <c r="F105" s="36"/>
      <c r="G105" s="43"/>
      <c r="H105" s="35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</row>
    <row r="106" spans="1:25" ht="23.25" x14ac:dyDescent="0.25">
      <c r="A106" s="61"/>
      <c r="B106" s="37"/>
      <c r="C106" s="37"/>
      <c r="D106" s="37"/>
      <c r="E106" s="38"/>
      <c r="F106" s="46"/>
      <c r="G106" s="43"/>
      <c r="H106" s="35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</row>
    <row r="107" spans="1:25" ht="23.25" x14ac:dyDescent="0.25">
      <c r="A107" s="61"/>
      <c r="B107" s="61"/>
      <c r="C107" s="61"/>
      <c r="D107" s="61"/>
      <c r="E107" s="61"/>
      <c r="F107" s="36"/>
      <c r="G107" s="43"/>
      <c r="H107" s="35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</row>
    <row r="108" spans="1:25" ht="23.25" x14ac:dyDescent="0.25">
      <c r="A108" s="61"/>
      <c r="B108" s="41"/>
      <c r="C108" s="41"/>
      <c r="D108" s="41"/>
      <c r="E108" s="42"/>
      <c r="F108" s="36"/>
      <c r="G108" s="47"/>
      <c r="H108" s="35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</row>
    <row r="109" spans="1:25" ht="23.25" x14ac:dyDescent="0.25">
      <c r="A109" s="61"/>
      <c r="B109" s="41"/>
      <c r="C109" s="41"/>
      <c r="D109" s="41"/>
      <c r="E109" s="42"/>
      <c r="F109" s="45"/>
      <c r="G109" s="44"/>
      <c r="H109" s="35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</row>
    <row r="110" spans="1:25" ht="23.25" x14ac:dyDescent="0.25">
      <c r="A110" s="61"/>
      <c r="B110" s="50"/>
      <c r="C110" s="50"/>
      <c r="D110" s="50"/>
      <c r="E110" s="50"/>
      <c r="F110" s="46"/>
      <c r="G110" s="18"/>
      <c r="H110" s="35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</row>
    <row r="111" spans="1:25" ht="23.25" x14ac:dyDescent="0.25">
      <c r="A111" s="61"/>
      <c r="B111" s="50"/>
      <c r="C111" s="50"/>
      <c r="D111" s="50"/>
      <c r="E111" s="50"/>
      <c r="F111" s="36"/>
      <c r="G111" s="43"/>
      <c r="H111" s="35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</row>
    <row r="112" spans="1:25" ht="23.25" x14ac:dyDescent="0.25">
      <c r="A112" s="61"/>
      <c r="B112" s="37"/>
      <c r="C112" s="37"/>
      <c r="D112" s="37"/>
      <c r="E112" s="38"/>
      <c r="F112" s="18"/>
      <c r="G112" s="43"/>
      <c r="H112" s="35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</row>
    <row r="113" spans="1:25" ht="23.25" x14ac:dyDescent="0.25">
      <c r="A113" s="61"/>
      <c r="B113" s="37"/>
      <c r="C113" s="37"/>
      <c r="D113" s="37"/>
      <c r="E113" s="40"/>
      <c r="F113" s="18"/>
      <c r="G113" s="43"/>
      <c r="H113" s="35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</row>
    <row r="114" spans="1:25" ht="23.25" x14ac:dyDescent="0.25">
      <c r="A114" s="61"/>
      <c r="B114" s="16"/>
      <c r="C114" s="16"/>
      <c r="D114" s="16"/>
      <c r="E114" s="17"/>
      <c r="F114" s="18"/>
      <c r="G114" s="43"/>
      <c r="H114" s="35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</row>
    <row r="115" spans="1:25" ht="23.25" x14ac:dyDescent="0.25">
      <c r="A115" s="61"/>
      <c r="B115" s="16"/>
      <c r="C115" s="16"/>
      <c r="D115" s="16"/>
      <c r="E115" s="17"/>
      <c r="F115" s="18"/>
      <c r="G115" s="43"/>
      <c r="H115" s="35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</row>
    <row r="116" spans="1:25" ht="23.25" x14ac:dyDescent="0.25">
      <c r="A116" s="61"/>
      <c r="B116" s="16"/>
      <c r="C116" s="16"/>
      <c r="D116" s="16"/>
      <c r="E116" s="17"/>
      <c r="F116" s="18"/>
      <c r="G116" s="43"/>
      <c r="H116" s="35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</row>
    <row r="117" spans="1:25" ht="23.25" x14ac:dyDescent="0.25">
      <c r="A117" s="61"/>
      <c r="B117" s="37"/>
      <c r="C117" s="37"/>
      <c r="D117" s="37"/>
      <c r="E117" s="40"/>
      <c r="F117" s="18"/>
      <c r="G117" s="43"/>
      <c r="H117" s="35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</row>
    <row r="118" spans="1:25" ht="23.25" x14ac:dyDescent="0.25">
      <c r="A118" s="61"/>
      <c r="B118" s="16"/>
      <c r="C118" s="16"/>
      <c r="D118" s="16"/>
      <c r="E118" s="17"/>
      <c r="F118" s="18"/>
      <c r="G118" s="43"/>
      <c r="H118" s="35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</row>
    <row r="119" spans="1:25" ht="23.25" x14ac:dyDescent="0.25">
      <c r="A119" s="61"/>
      <c r="B119" s="16"/>
      <c r="C119" s="16"/>
      <c r="D119" s="16"/>
      <c r="E119" s="17"/>
      <c r="F119" s="18"/>
      <c r="G119" s="47"/>
      <c r="H119" s="35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</row>
    <row r="120" spans="1:25" ht="23.25" x14ac:dyDescent="0.25">
      <c r="A120" s="61"/>
      <c r="B120" s="37"/>
      <c r="C120" s="37"/>
      <c r="D120" s="37"/>
      <c r="E120" s="48"/>
      <c r="F120" s="18"/>
      <c r="G120" s="47"/>
      <c r="H120" s="35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</row>
    <row r="121" spans="1:25" ht="23.25" x14ac:dyDescent="0.25">
      <c r="A121" s="61"/>
      <c r="B121" s="37"/>
      <c r="C121" s="37"/>
      <c r="D121" s="37"/>
      <c r="E121" s="48"/>
      <c r="F121" s="36"/>
      <c r="G121" s="43"/>
      <c r="H121" s="35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</row>
    <row r="122" spans="1:25" ht="23.25" x14ac:dyDescent="0.25">
      <c r="A122" s="61"/>
      <c r="B122" s="16"/>
      <c r="C122" s="16"/>
      <c r="D122" s="16"/>
      <c r="E122" s="17"/>
      <c r="F122" s="36"/>
      <c r="G122" s="43"/>
      <c r="H122" s="35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</row>
    <row r="123" spans="1:25" ht="23.25" x14ac:dyDescent="0.25">
      <c r="A123" s="61"/>
      <c r="B123" s="37"/>
      <c r="C123" s="37"/>
      <c r="D123" s="37"/>
      <c r="E123" s="38"/>
      <c r="F123" s="36"/>
      <c r="G123" s="43"/>
      <c r="H123" s="35"/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</row>
    <row r="124" spans="1:25" ht="23.25" x14ac:dyDescent="0.25">
      <c r="A124" s="61"/>
      <c r="B124" s="37"/>
      <c r="C124" s="37"/>
      <c r="D124" s="37"/>
      <c r="E124" s="38"/>
      <c r="F124" s="36"/>
      <c r="G124" s="43"/>
      <c r="H124" s="35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</row>
    <row r="125" spans="1:25" ht="23.25" x14ac:dyDescent="0.25">
      <c r="A125" s="61"/>
      <c r="B125" s="16"/>
      <c r="C125" s="16"/>
      <c r="D125" s="16"/>
      <c r="E125" s="17"/>
      <c r="F125" s="36"/>
      <c r="G125" s="43"/>
      <c r="H125" s="35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</row>
    <row r="126" spans="1:25" ht="23.25" x14ac:dyDescent="0.25">
      <c r="A126" s="61"/>
      <c r="B126" s="16"/>
      <c r="C126" s="16"/>
      <c r="D126" s="16"/>
      <c r="E126" s="17"/>
      <c r="F126" s="36"/>
      <c r="G126" s="43"/>
      <c r="H126" s="35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</row>
    <row r="127" spans="1:25" ht="23.25" x14ac:dyDescent="0.25">
      <c r="A127" s="61"/>
      <c r="B127" s="16"/>
      <c r="C127" s="16"/>
      <c r="D127" s="16"/>
      <c r="E127" s="17"/>
      <c r="F127" s="36"/>
      <c r="G127" s="43"/>
      <c r="H127" s="35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</row>
    <row r="128" spans="1:25" ht="23.25" x14ac:dyDescent="0.25">
      <c r="A128" s="61"/>
      <c r="B128" s="50"/>
      <c r="C128" s="50"/>
      <c r="D128" s="50"/>
      <c r="E128" s="50"/>
      <c r="F128" s="36"/>
      <c r="G128" s="43"/>
      <c r="H128" s="35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</row>
    <row r="129" spans="1:25" ht="23.25" x14ac:dyDescent="0.25">
      <c r="A129" s="61"/>
      <c r="B129" s="50"/>
      <c r="C129" s="50"/>
      <c r="D129" s="50"/>
      <c r="E129" s="50"/>
      <c r="F129" s="18"/>
      <c r="G129" s="43"/>
      <c r="H129" s="35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</row>
    <row r="130" spans="1:25" ht="23.25" x14ac:dyDescent="0.25">
      <c r="A130" s="61"/>
      <c r="B130" s="40"/>
      <c r="C130" s="40"/>
      <c r="D130" s="40"/>
      <c r="E130" s="40"/>
      <c r="F130" s="18"/>
      <c r="G130" s="43"/>
      <c r="H130" s="35"/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</row>
    <row r="131" spans="1:25" ht="23.25" x14ac:dyDescent="0.25">
      <c r="A131" s="61"/>
      <c r="B131" s="16"/>
      <c r="C131" s="16"/>
      <c r="D131" s="16"/>
      <c r="E131" s="17"/>
      <c r="F131" s="39"/>
      <c r="G131" s="43"/>
      <c r="H131" s="35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</row>
    <row r="132" spans="1:25" ht="23.25" x14ac:dyDescent="0.25">
      <c r="A132" s="61"/>
      <c r="B132" s="16"/>
      <c r="C132" s="16"/>
      <c r="D132" s="16"/>
      <c r="E132" s="17"/>
      <c r="F132" s="34"/>
      <c r="G132" s="44"/>
      <c r="H132" s="35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</row>
    <row r="133" spans="1:25" ht="23.25" x14ac:dyDescent="0.25">
      <c r="A133" s="61"/>
      <c r="B133" s="50"/>
      <c r="C133" s="50"/>
      <c r="D133" s="50"/>
      <c r="E133" s="50"/>
      <c r="F133" s="61"/>
      <c r="G133" s="43"/>
      <c r="H133" s="35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</row>
    <row r="134" spans="1:25" ht="23.25" x14ac:dyDescent="0.25">
      <c r="A134" s="61"/>
      <c r="B134" s="50"/>
      <c r="C134" s="50"/>
      <c r="D134" s="50"/>
      <c r="E134" s="50"/>
      <c r="F134" s="18"/>
      <c r="G134" s="19"/>
      <c r="H134" s="35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</row>
    <row r="135" spans="1:25" ht="23.25" x14ac:dyDescent="0.25">
      <c r="A135" s="61"/>
      <c r="B135" s="16"/>
      <c r="C135" s="16"/>
      <c r="D135" s="16"/>
      <c r="E135" s="17"/>
      <c r="F135" s="49"/>
      <c r="G135" s="43"/>
      <c r="H135" s="35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</row>
    <row r="136" spans="1:25" ht="23.25" x14ac:dyDescent="0.25">
      <c r="A136" s="61"/>
      <c r="B136" s="16"/>
      <c r="C136" s="16"/>
      <c r="D136" s="16"/>
      <c r="E136" s="17"/>
      <c r="F136" s="18"/>
      <c r="G136" s="19"/>
      <c r="H136" s="35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</row>
    <row r="137" spans="1:25" ht="23.25" x14ac:dyDescent="0.25">
      <c r="A137" s="61"/>
      <c r="B137" s="16"/>
      <c r="C137" s="16"/>
      <c r="D137" s="16"/>
      <c r="E137" s="17"/>
      <c r="F137" s="18"/>
      <c r="G137" s="19"/>
      <c r="H137" s="35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</row>
    <row r="138" spans="1:25" ht="23.25" x14ac:dyDescent="0.25">
      <c r="A138" s="61"/>
      <c r="B138" s="16"/>
      <c r="C138" s="16"/>
      <c r="D138" s="16"/>
      <c r="E138" s="17"/>
      <c r="F138" s="45"/>
      <c r="G138" s="44"/>
      <c r="H138" s="35"/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</row>
    <row r="139" spans="1:25" ht="23.25" x14ac:dyDescent="0.25">
      <c r="A139" s="61"/>
      <c r="B139" s="50"/>
      <c r="C139" s="50"/>
      <c r="D139" s="50"/>
      <c r="E139" s="50"/>
      <c r="F139" s="46"/>
      <c r="G139" s="43"/>
      <c r="H139" s="35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</row>
    <row r="140" spans="1:25" ht="23.25" x14ac:dyDescent="0.25">
      <c r="B140" s="50"/>
      <c r="C140" s="50"/>
      <c r="D140" s="50"/>
      <c r="E140" s="50"/>
      <c r="F140" s="36"/>
      <c r="G140" s="43"/>
      <c r="H140" s="35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</row>
    <row r="141" spans="1:25" x14ac:dyDescent="0.25">
      <c r="A141" s="62" t="e">
        <f>IF(#REF!&lt;&gt;#REF!,#REF!,"")</f>
        <v>#REF!</v>
      </c>
      <c r="B141" s="16"/>
      <c r="C141" s="16"/>
      <c r="D141" s="16"/>
      <c r="E141" s="17"/>
      <c r="F141" s="36"/>
      <c r="G141" s="43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</row>
    <row r="142" spans="1:25" x14ac:dyDescent="0.25">
      <c r="B142" s="16"/>
      <c r="C142" s="16"/>
      <c r="D142" s="16"/>
      <c r="E142" s="17"/>
      <c r="F142" s="36"/>
      <c r="G142" s="43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</row>
    <row r="143" spans="1:25" x14ac:dyDescent="0.25">
      <c r="B143" s="16"/>
      <c r="C143" s="16"/>
      <c r="D143" s="16"/>
      <c r="E143" s="17"/>
      <c r="F143" s="61"/>
      <c r="G143" s="61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</row>
    <row r="144" spans="1:25" x14ac:dyDescent="0.25">
      <c r="B144" s="61"/>
      <c r="C144" s="61"/>
      <c r="D144" s="61"/>
      <c r="E144" s="61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</row>
    <row r="145" spans="9:25" x14ac:dyDescent="0.25"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</row>
    <row r="146" spans="9:25" x14ac:dyDescent="0.25"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</row>
    <row r="147" spans="9:25" x14ac:dyDescent="0.25"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</row>
    <row r="148" spans="9:25" x14ac:dyDescent="0.25"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</row>
    <row r="149" spans="9:25" x14ac:dyDescent="0.25"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</row>
    <row r="150" spans="9:25" x14ac:dyDescent="0.25"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</row>
    <row r="151" spans="9:25" x14ac:dyDescent="0.25"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</row>
    <row r="152" spans="9:25" x14ac:dyDescent="0.25"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</row>
    <row r="153" spans="9:25" x14ac:dyDescent="0.25"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</row>
    <row r="154" spans="9:25" x14ac:dyDescent="0.25"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</row>
    <row r="155" spans="9:25" x14ac:dyDescent="0.25"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</row>
    <row r="156" spans="9:25" x14ac:dyDescent="0.25"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</row>
    <row r="157" spans="9:25" x14ac:dyDescent="0.25"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</row>
    <row r="158" spans="9:25" x14ac:dyDescent="0.25"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</row>
    <row r="159" spans="9:25" x14ac:dyDescent="0.25"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</row>
    <row r="160" spans="9:25" x14ac:dyDescent="0.25"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</row>
    <row r="161" spans="9:25" x14ac:dyDescent="0.25"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</row>
    <row r="162" spans="9:25" x14ac:dyDescent="0.25"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</row>
    <row r="163" spans="9:25" x14ac:dyDescent="0.25"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</row>
    <row r="164" spans="9:25" x14ac:dyDescent="0.25"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</row>
    <row r="165" spans="9:25" x14ac:dyDescent="0.25"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</row>
    <row r="166" spans="9:25" x14ac:dyDescent="0.25"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</row>
    <row r="167" spans="9:25" x14ac:dyDescent="0.25"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</row>
    <row r="168" spans="9:25" x14ac:dyDescent="0.25"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</row>
    <row r="169" spans="9:25" x14ac:dyDescent="0.25"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</row>
    <row r="170" spans="9:25" x14ac:dyDescent="0.25"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</row>
    <row r="171" spans="9:25" x14ac:dyDescent="0.25"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</row>
    <row r="172" spans="9:25" x14ac:dyDescent="0.25"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</row>
    <row r="173" spans="9:25" x14ac:dyDescent="0.25"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</row>
    <row r="174" spans="9:25" x14ac:dyDescent="0.25"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</row>
    <row r="175" spans="9:25" x14ac:dyDescent="0.25"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</row>
    <row r="176" spans="9:25" x14ac:dyDescent="0.25"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</row>
    <row r="177" spans="9:25" x14ac:dyDescent="0.25"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</row>
    <row r="178" spans="9:25" x14ac:dyDescent="0.25"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</row>
    <row r="179" spans="9:25" x14ac:dyDescent="0.25"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</row>
    <row r="180" spans="9:25" x14ac:dyDescent="0.25"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</row>
    <row r="181" spans="9:25" x14ac:dyDescent="0.25"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</row>
    <row r="182" spans="9:25" x14ac:dyDescent="0.25"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</row>
    <row r="183" spans="9:25" x14ac:dyDescent="0.25"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</row>
    <row r="184" spans="9:25" x14ac:dyDescent="0.25"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</row>
    <row r="185" spans="9:25" x14ac:dyDescent="0.25"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</row>
    <row r="186" spans="9:25" x14ac:dyDescent="0.25"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</row>
    <row r="187" spans="9:25" x14ac:dyDescent="0.25"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</row>
    <row r="188" spans="9:25" x14ac:dyDescent="0.25"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</row>
    <row r="189" spans="9:25" x14ac:dyDescent="0.25"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</row>
    <row r="190" spans="9:25" x14ac:dyDescent="0.25"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</row>
    <row r="191" spans="9:25" x14ac:dyDescent="0.25"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</row>
    <row r="192" spans="9:25" x14ac:dyDescent="0.25"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</row>
    <row r="193" spans="9:25" x14ac:dyDescent="0.25"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</row>
    <row r="194" spans="9:25" x14ac:dyDescent="0.25"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</row>
    <row r="195" spans="9:25" x14ac:dyDescent="0.25"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</row>
    <row r="196" spans="9:25" x14ac:dyDescent="0.25"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</row>
    <row r="197" spans="9:25" x14ac:dyDescent="0.25"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</row>
    <row r="198" spans="9:25" x14ac:dyDescent="0.25"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</row>
    <row r="199" spans="9:25" x14ac:dyDescent="0.25"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</row>
    <row r="200" spans="9:25" x14ac:dyDescent="0.25"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</row>
    <row r="201" spans="9:25" x14ac:dyDescent="0.25"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</row>
    <row r="202" spans="9:25" x14ac:dyDescent="0.25"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</row>
    <row r="203" spans="9:25" x14ac:dyDescent="0.25"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</row>
    <row r="204" spans="9:25" x14ac:dyDescent="0.25"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</row>
    <row r="205" spans="9:25" x14ac:dyDescent="0.25"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</row>
    <row r="206" spans="9:25" x14ac:dyDescent="0.25"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</row>
    <row r="207" spans="9:25" x14ac:dyDescent="0.25"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</row>
    <row r="208" spans="9:25" x14ac:dyDescent="0.25"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</row>
    <row r="209" spans="9:25" x14ac:dyDescent="0.25"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</row>
    <row r="210" spans="9:25" x14ac:dyDescent="0.25"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</row>
    <row r="211" spans="9:25" x14ac:dyDescent="0.25"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</row>
    <row r="212" spans="9:25" x14ac:dyDescent="0.25"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</row>
    <row r="213" spans="9:25" x14ac:dyDescent="0.25"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</row>
    <row r="214" spans="9:25" x14ac:dyDescent="0.25"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</row>
    <row r="215" spans="9:25" x14ac:dyDescent="0.25"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</row>
    <row r="216" spans="9:25" x14ac:dyDescent="0.25">
      <c r="I216" s="57"/>
      <c r="J216" s="57"/>
      <c r="K216" s="57"/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</row>
    <row r="217" spans="9:25" x14ac:dyDescent="0.25">
      <c r="I217" s="57"/>
      <c r="J217" s="57"/>
      <c r="K217" s="57"/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</row>
    <row r="218" spans="9:25" x14ac:dyDescent="0.25">
      <c r="I218" s="57"/>
      <c r="J218" s="57"/>
      <c r="K218" s="57"/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</row>
    <row r="219" spans="9:25" x14ac:dyDescent="0.25">
      <c r="I219" s="57"/>
      <c r="J219" s="57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</row>
    <row r="220" spans="9:25" x14ac:dyDescent="0.25"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</row>
    <row r="221" spans="9:25" x14ac:dyDescent="0.25">
      <c r="I221" s="57"/>
      <c r="J221" s="57"/>
      <c r="K221" s="57"/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</row>
    <row r="222" spans="9:25" x14ac:dyDescent="0.25">
      <c r="I222" s="57"/>
      <c r="J222" s="57"/>
      <c r="K222" s="57"/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</row>
    <row r="223" spans="9:25" x14ac:dyDescent="0.25">
      <c r="I223" s="57"/>
      <c r="J223" s="57"/>
      <c r="K223" s="57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</row>
    <row r="224" spans="9:25" x14ac:dyDescent="0.25">
      <c r="I224" s="57"/>
      <c r="J224" s="57"/>
      <c r="K224" s="57"/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</row>
    <row r="225" spans="9:25" x14ac:dyDescent="0.25">
      <c r="I225" s="57"/>
      <c r="J225" s="57"/>
      <c r="K225" s="57"/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</row>
    <row r="226" spans="9:25" x14ac:dyDescent="0.25">
      <c r="I226" s="57"/>
      <c r="J226" s="57"/>
      <c r="K226" s="57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</row>
    <row r="227" spans="9:25" x14ac:dyDescent="0.25">
      <c r="I227" s="57"/>
      <c r="J227" s="57"/>
      <c r="K227" s="57"/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</row>
    <row r="228" spans="9:25" x14ac:dyDescent="0.25">
      <c r="I228" s="57"/>
      <c r="J228" s="57"/>
      <c r="K228" s="57"/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</row>
    <row r="229" spans="9:25" x14ac:dyDescent="0.25">
      <c r="I229" s="57"/>
      <c r="J229" s="57"/>
      <c r="K229" s="57"/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</row>
    <row r="230" spans="9:25" x14ac:dyDescent="0.25">
      <c r="I230" s="57"/>
      <c r="J230" s="57"/>
      <c r="K230" s="57"/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</row>
    <row r="231" spans="9:25" x14ac:dyDescent="0.25"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</row>
    <row r="232" spans="9:25" x14ac:dyDescent="0.25">
      <c r="I232" s="57"/>
      <c r="J232" s="57"/>
      <c r="K232" s="57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</row>
    <row r="233" spans="9:25" x14ac:dyDescent="0.25">
      <c r="I233" s="57"/>
      <c r="J233" s="57"/>
      <c r="K233" s="57"/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</row>
    <row r="234" spans="9:25" x14ac:dyDescent="0.25">
      <c r="I234" s="57"/>
      <c r="J234" s="57"/>
      <c r="K234" s="57"/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</row>
    <row r="235" spans="9:25" x14ac:dyDescent="0.25">
      <c r="I235" s="57"/>
      <c r="J235" s="57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</row>
    <row r="236" spans="9:25" x14ac:dyDescent="0.25">
      <c r="I236" s="57"/>
      <c r="J236" s="57"/>
      <c r="K236" s="57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</row>
    <row r="237" spans="9:25" x14ac:dyDescent="0.25">
      <c r="I237" s="57"/>
      <c r="J237" s="57"/>
      <c r="K237" s="57"/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</row>
    <row r="238" spans="9:25" x14ac:dyDescent="0.25">
      <c r="I238" s="57"/>
      <c r="J238" s="57"/>
      <c r="K238" s="57"/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</row>
    <row r="239" spans="9:25" x14ac:dyDescent="0.25">
      <c r="I239" s="57"/>
      <c r="J239" s="57"/>
      <c r="K239" s="57"/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</row>
    <row r="240" spans="9:25" x14ac:dyDescent="0.25">
      <c r="I240" s="57"/>
      <c r="J240" s="57"/>
      <c r="K240" s="57"/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</row>
  </sheetData>
  <mergeCells count="8">
    <mergeCell ref="B85:E85"/>
    <mergeCell ref="B17:E18"/>
    <mergeCell ref="B77:E78"/>
    <mergeCell ref="B1:H1"/>
    <mergeCell ref="B3:C3"/>
    <mergeCell ref="B11:E12"/>
    <mergeCell ref="B80:E80"/>
    <mergeCell ref="B83:E84"/>
  </mergeCells>
  <dataValidations count="1">
    <dataValidation type="list" allowBlank="1" showInputMessage="1" showErrorMessage="1" sqref="C7:C9 C13:C15 C19:C22">
      <formula1>List_Variable_Sizes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6"/>
  <dimension ref="A1:AV205"/>
  <sheetViews>
    <sheetView topLeftCell="C1" zoomScale="70" zoomScaleNormal="70" workbookViewId="0">
      <pane ySplit="5" topLeftCell="A30" activePane="bottomLeft" state="frozen"/>
      <selection pane="bottomLeft" activeCell="F53" sqref="F53"/>
    </sheetView>
  </sheetViews>
  <sheetFormatPr defaultRowHeight="15" x14ac:dyDescent="0.25"/>
  <cols>
    <col min="1" max="1" width="13.28515625" style="75" customWidth="1"/>
    <col min="2" max="2" width="65.7109375" style="57" customWidth="1"/>
    <col min="3" max="3" width="22.85546875" style="57" customWidth="1"/>
    <col min="4" max="4" width="17.42578125" style="57" customWidth="1"/>
    <col min="5" max="5" width="227.28515625" style="57" customWidth="1"/>
    <col min="6" max="6" width="34.85546875" style="57" customWidth="1"/>
    <col min="7" max="7" width="17.7109375" style="57" bestFit="1" customWidth="1"/>
    <col min="8" max="8" width="42" style="32" customWidth="1"/>
    <col min="9" max="9" width="19.7109375" style="32" customWidth="1"/>
    <col min="10" max="10" width="20.42578125" style="32" customWidth="1"/>
    <col min="11" max="25" width="9.140625" style="32"/>
    <col min="26" max="16384" width="9.140625" style="57"/>
  </cols>
  <sheetData>
    <row r="1" spans="1:48" ht="39" customHeight="1" x14ac:dyDescent="0.25">
      <c r="B1" s="112" t="s">
        <v>216</v>
      </c>
      <c r="C1" s="112"/>
      <c r="D1" s="112"/>
      <c r="E1" s="112"/>
      <c r="F1" s="112"/>
      <c r="G1" s="112"/>
      <c r="H1" s="112"/>
      <c r="I1" s="10"/>
      <c r="J1" s="10"/>
      <c r="K1" s="10"/>
      <c r="L1" s="10"/>
      <c r="M1" s="10"/>
      <c r="N1" s="10"/>
      <c r="O1" s="10"/>
      <c r="P1" s="10"/>
    </row>
    <row r="2" spans="1:48" ht="15" customHeight="1" x14ac:dyDescent="0.25"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</row>
    <row r="3" spans="1:48" ht="28.5" customHeight="1" x14ac:dyDescent="0.25">
      <c r="B3" s="111" t="s">
        <v>234</v>
      </c>
      <c r="C3" s="111"/>
      <c r="D3" s="104">
        <f>SUM(D7:D1534)</f>
        <v>76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</row>
    <row r="4" spans="1:48" s="75" customFormat="1" ht="46.5" x14ac:dyDescent="0.25">
      <c r="B4" s="89"/>
      <c r="C4" s="103"/>
      <c r="D4" s="103"/>
      <c r="E4" s="89"/>
      <c r="F4" s="89"/>
      <c r="G4" s="89" t="s">
        <v>212</v>
      </c>
      <c r="H4" s="8"/>
      <c r="I4" s="82"/>
      <c r="J4" s="82"/>
      <c r="K4" s="82"/>
      <c r="L4" s="82"/>
      <c r="M4" s="82"/>
      <c r="N4" s="82"/>
      <c r="O4" s="82"/>
      <c r="P4" s="82"/>
      <c r="Q4" s="8"/>
      <c r="R4" s="8"/>
      <c r="S4" s="8"/>
      <c r="T4" s="8"/>
      <c r="U4" s="8"/>
      <c r="V4" s="8"/>
      <c r="W4" s="8"/>
      <c r="X4" s="8"/>
      <c r="Y4" s="8"/>
    </row>
    <row r="5" spans="1:48" s="75" customFormat="1" ht="45.75" customHeight="1" x14ac:dyDescent="0.25">
      <c r="A5" s="104" t="s">
        <v>231</v>
      </c>
      <c r="B5" s="105" t="s">
        <v>213</v>
      </c>
      <c r="C5" s="104" t="s">
        <v>232</v>
      </c>
      <c r="D5" s="104" t="s">
        <v>233</v>
      </c>
      <c r="E5" s="104" t="s">
        <v>214</v>
      </c>
      <c r="F5" s="106" t="s">
        <v>226</v>
      </c>
      <c r="G5" s="106" t="s">
        <v>238</v>
      </c>
      <c r="H5" s="106" t="s">
        <v>237</v>
      </c>
      <c r="K5" s="103"/>
      <c r="L5" s="103"/>
      <c r="M5" s="103"/>
      <c r="N5" s="103"/>
      <c r="O5" s="103"/>
      <c r="P5" s="8"/>
      <c r="Q5" s="8"/>
      <c r="R5" s="8"/>
      <c r="S5" s="8"/>
      <c r="T5" s="8"/>
      <c r="U5" s="8"/>
      <c r="V5" s="8"/>
      <c r="W5" s="8"/>
      <c r="X5" s="8"/>
    </row>
    <row r="6" spans="1:48" ht="23.25" x14ac:dyDescent="0.25">
      <c r="B6" s="113" t="s">
        <v>22</v>
      </c>
      <c r="C6" s="113"/>
      <c r="D6" s="113"/>
      <c r="E6" s="113"/>
      <c r="F6" s="68"/>
      <c r="G6" s="27"/>
      <c r="H6" s="100" t="str">
        <f t="shared" ref="H6:H7" si="0">IF(G6&lt;&gt;"",DEC2HEX(G6,4),"")</f>
        <v/>
      </c>
      <c r="I6" s="57"/>
      <c r="J6" s="83"/>
      <c r="K6" s="83"/>
      <c r="L6" s="83"/>
    </row>
    <row r="7" spans="1:48" ht="23.25" x14ac:dyDescent="0.25">
      <c r="B7" s="113"/>
      <c r="C7" s="113"/>
      <c r="D7" s="113"/>
      <c r="E7" s="113"/>
      <c r="F7" s="79"/>
      <c r="G7" s="76"/>
      <c r="H7" s="100" t="str">
        <f t="shared" si="0"/>
        <v/>
      </c>
      <c r="I7" s="83"/>
      <c r="J7" s="4"/>
      <c r="K7" s="57"/>
      <c r="L7" s="57"/>
    </row>
    <row r="8" spans="1:48" ht="23.25" x14ac:dyDescent="0.25">
      <c r="A8" s="75">
        <v>0</v>
      </c>
      <c r="B8" s="78" t="s">
        <v>70</v>
      </c>
      <c r="C8" s="57" t="s">
        <v>241</v>
      </c>
      <c r="D8" s="57">
        <f>IF(OR(C8="sint64",C8="uint64",C8="double64"), 8, IF(OR(C8="sint32",C8="uint32",C8="float32"),4,IF(OR(C8="sint16",C8="uint16"),2,  IF(OR(C8="sint8",C8="uint8"),1,""))))</f>
        <v>4</v>
      </c>
      <c r="E8" s="77" t="s">
        <v>262</v>
      </c>
      <c r="F8" s="79">
        <f>'Setting Table'!C6*'Setting Table'!C18/'Board Configuration Table'!C14</f>
        <v>0.32104622550427075</v>
      </c>
      <c r="G8" s="76">
        <f>ROUND((F8*32768),0)</f>
        <v>10520</v>
      </c>
      <c r="H8" s="100" t="str">
        <f>IF(G8&lt;&gt;"",DEC2HEX(G8,8),"")</f>
        <v>00002918</v>
      </c>
      <c r="I8" s="6"/>
      <c r="J8" s="57"/>
      <c r="K8" s="57"/>
      <c r="L8" s="57"/>
    </row>
    <row r="9" spans="1:48" ht="23.25" x14ac:dyDescent="0.25">
      <c r="A9" s="75">
        <f>IF(G9&lt;&gt;"",MAX(A$1:A8)+1,"")</f>
        <v>1</v>
      </c>
      <c r="B9" s="78" t="s">
        <v>72</v>
      </c>
      <c r="C9" s="57" t="s">
        <v>241</v>
      </c>
      <c r="D9" s="57">
        <f t="shared" ref="D9:D39" si="1">IF(OR(C9="sint64",C9="uint64",C9="double64"), 8, IF(OR(C9="sint32",C9="uint32",C9="float32"),4,IF(OR(C9="sint16",C9="uint16"),2,  IF(OR(C9="sint8",C9="uint8"),1,""))))</f>
        <v>4</v>
      </c>
      <c r="E9" s="77" t="s">
        <v>263</v>
      </c>
      <c r="F9" s="79">
        <f>'Setting Table'!C7*'Setting Table'!C18/'Board Configuration Table'!C14</f>
        <v>0.47086779740626372</v>
      </c>
      <c r="G9" s="76">
        <f t="shared" ref="G9:G11" si="2">ROUND((F9*32768),0)</f>
        <v>15429</v>
      </c>
      <c r="H9" s="100" t="str">
        <f t="shared" ref="H9:H38" si="3">IF(G9&lt;&gt;"",DEC2HEX(G9,8),"")</f>
        <v>00003C45</v>
      </c>
      <c r="I9" s="57"/>
      <c r="J9" s="57"/>
      <c r="K9" s="57"/>
      <c r="L9" s="57"/>
    </row>
    <row r="10" spans="1:48" ht="23.25" x14ac:dyDescent="0.25">
      <c r="A10" s="75">
        <f>IF(G10&lt;&gt;"",MAX(A$1:A9)+1,"")</f>
        <v>2</v>
      </c>
      <c r="B10" s="78" t="s">
        <v>74</v>
      </c>
      <c r="C10" s="57" t="s">
        <v>241</v>
      </c>
      <c r="D10" s="57">
        <f t="shared" si="1"/>
        <v>4</v>
      </c>
      <c r="E10" s="77" t="s">
        <v>264</v>
      </c>
      <c r="F10" s="79">
        <f>'Setting Table'!C8*'Setting Table'!C18/'Board Configuration Table'!C14</f>
        <v>6.8489861440911088</v>
      </c>
      <c r="G10" s="76">
        <f t="shared" si="2"/>
        <v>224428</v>
      </c>
      <c r="H10" s="100" t="str">
        <f t="shared" si="3"/>
        <v>00036CAC</v>
      </c>
      <c r="I10" s="57"/>
      <c r="J10" s="57"/>
      <c r="K10" s="57"/>
      <c r="L10" s="57"/>
    </row>
    <row r="11" spans="1:48" ht="23.25" x14ac:dyDescent="0.25">
      <c r="A11" s="75">
        <f>IF(G11&lt;&gt;"",MAX(A$1:A10)+1,"")</f>
        <v>3</v>
      </c>
      <c r="B11" s="78" t="s">
        <v>265</v>
      </c>
      <c r="C11" s="57" t="s">
        <v>241</v>
      </c>
      <c r="D11" s="57">
        <f t="shared" ref="D11" si="4">IF(OR(C11="sint64",C11="uint64",C11="double64"), 8, IF(OR(C11="sint32",C11="uint32",C11="float32"),4,IF(OR(C11="sint16",C11="uint16"),2,  IF(OR(C11="sint8",C11="uint8"),1,""))))</f>
        <v>4</v>
      </c>
      <c r="E11" s="77" t="s">
        <v>266</v>
      </c>
      <c r="F11" s="79">
        <f>'Setting Table'!C9/'Board Configuration Table'!C14</f>
        <v>9.0551499501204571</v>
      </c>
      <c r="G11" s="76">
        <f t="shared" si="2"/>
        <v>296719</v>
      </c>
      <c r="H11" s="100" t="str">
        <f t="shared" si="3"/>
        <v>0004870F</v>
      </c>
      <c r="I11" s="57"/>
      <c r="J11" s="57"/>
      <c r="K11" s="57"/>
      <c r="L11" s="57"/>
    </row>
    <row r="12" spans="1:48" ht="23.25" x14ac:dyDescent="0.25">
      <c r="A12" s="75" t="str">
        <f>IF(G12&lt;&gt;"",MAX(A$1:A11)+1,"")</f>
        <v/>
      </c>
      <c r="B12" s="78"/>
      <c r="C12" s="78"/>
      <c r="D12" s="57" t="str">
        <f t="shared" si="1"/>
        <v/>
      </c>
      <c r="E12" s="54"/>
      <c r="F12" s="79"/>
      <c r="G12" s="76"/>
      <c r="H12" s="100" t="str">
        <f t="shared" si="3"/>
        <v/>
      </c>
      <c r="I12" s="57"/>
      <c r="J12" s="57"/>
      <c r="K12" s="57"/>
      <c r="L12" s="57"/>
      <c r="AP12" s="75"/>
      <c r="AQ12" s="75"/>
      <c r="AR12" s="75"/>
      <c r="AS12" s="75"/>
      <c r="AT12" s="75"/>
      <c r="AU12" s="75"/>
      <c r="AV12" s="75"/>
    </row>
    <row r="13" spans="1:48" s="75" customFormat="1" ht="23.25" x14ac:dyDescent="0.25">
      <c r="A13" s="75" t="str">
        <f>IF(G13&lt;&gt;"",MAX(A$1:A12)+1,"")</f>
        <v/>
      </c>
      <c r="B13" s="30" t="s">
        <v>217</v>
      </c>
      <c r="C13" s="30"/>
      <c r="D13" s="57" t="str">
        <f t="shared" si="1"/>
        <v/>
      </c>
      <c r="E13" s="29" t="s">
        <v>52</v>
      </c>
      <c r="F13" s="79">
        <f>'Setting Table'!C10/1000*'Board Configuration Table'!C14/'Board Configuration Table'!C13</f>
        <v>1.2689796296878173</v>
      </c>
      <c r="G13" s="76"/>
      <c r="H13" s="100" t="str">
        <f t="shared" si="3"/>
        <v/>
      </c>
      <c r="I13" s="57"/>
      <c r="J13" s="32"/>
      <c r="K13" s="32"/>
      <c r="L13" s="32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</row>
    <row r="14" spans="1:48" ht="23.25" x14ac:dyDescent="0.25">
      <c r="A14" s="75">
        <f>IF(G14&lt;&gt;"",MAX(A$1:A13)+1,"")</f>
        <v>4</v>
      </c>
      <c r="B14" s="78" t="s">
        <v>243</v>
      </c>
      <c r="C14" s="57" t="s">
        <v>241</v>
      </c>
      <c r="D14" s="57">
        <f t="shared" si="1"/>
        <v>4</v>
      </c>
      <c r="E14" s="77" t="s">
        <v>242</v>
      </c>
      <c r="F14" s="83">
        <f>F13</f>
        <v>1.2689796296878173</v>
      </c>
      <c r="G14" s="76">
        <f>ROUND((F14*32768),0)</f>
        <v>41582</v>
      </c>
      <c r="H14" s="100" t="str">
        <f t="shared" si="3"/>
        <v>0000A26E</v>
      </c>
      <c r="AP14" s="75"/>
      <c r="AQ14" s="75"/>
      <c r="AR14" s="75"/>
      <c r="AS14" s="75"/>
      <c r="AT14" s="75"/>
      <c r="AU14" s="75"/>
      <c r="AV14" s="75"/>
    </row>
    <row r="15" spans="1:48" ht="23.25" x14ac:dyDescent="0.25">
      <c r="A15" s="75" t="str">
        <f>IF(G15&lt;&gt;"",MAX(A$1:A14)+1,"")</f>
        <v/>
      </c>
      <c r="B15" s="78"/>
      <c r="C15" s="78"/>
      <c r="D15" s="57" t="str">
        <f t="shared" si="1"/>
        <v/>
      </c>
      <c r="E15" s="56"/>
      <c r="F15" s="83"/>
      <c r="G15" s="76"/>
      <c r="H15" s="100" t="str">
        <f t="shared" si="3"/>
        <v/>
      </c>
      <c r="I15" s="3"/>
      <c r="J15" s="30"/>
      <c r="K15" s="29"/>
      <c r="AP15" s="75"/>
      <c r="AQ15" s="75"/>
      <c r="AR15" s="75"/>
      <c r="AS15" s="75"/>
      <c r="AT15" s="75"/>
      <c r="AU15" s="75"/>
      <c r="AV15" s="75"/>
    </row>
    <row r="16" spans="1:48" ht="23.25" x14ac:dyDescent="0.25">
      <c r="A16" s="75" t="str">
        <f>IF(G16&lt;&gt;"",MAX(A$1:A15)+1,"")</f>
        <v/>
      </c>
      <c r="B16" s="30" t="s">
        <v>218</v>
      </c>
      <c r="C16" s="30"/>
      <c r="D16" s="57" t="str">
        <f t="shared" si="1"/>
        <v/>
      </c>
      <c r="E16" s="29" t="s">
        <v>252</v>
      </c>
      <c r="F16" s="79">
        <f>'Setting Table'!C11/1000*'Board Configuration Table'!C14/'Board Configuration Table'!C13/'Board Configuration Table'!C21</f>
        <v>1.2888074364016895E-4</v>
      </c>
      <c r="G16" s="76"/>
      <c r="H16" s="100" t="str">
        <f t="shared" si="3"/>
        <v/>
      </c>
      <c r="J16" s="30"/>
      <c r="K16" s="11"/>
      <c r="AP16" s="75"/>
      <c r="AQ16" s="75"/>
      <c r="AR16" s="75"/>
      <c r="AS16" s="75"/>
      <c r="AT16" s="75"/>
      <c r="AU16" s="75"/>
      <c r="AV16" s="75"/>
    </row>
    <row r="17" spans="1:48" ht="23.25" x14ac:dyDescent="0.25">
      <c r="A17" s="75">
        <f>IF(G17&lt;&gt;"",MAX(A$1:A16)+1,"")</f>
        <v>5</v>
      </c>
      <c r="B17" s="78" t="s">
        <v>244</v>
      </c>
      <c r="C17" s="57" t="s">
        <v>241</v>
      </c>
      <c r="D17" s="57">
        <f t="shared" si="1"/>
        <v>4</v>
      </c>
      <c r="E17" s="77" t="s">
        <v>258</v>
      </c>
      <c r="F17" s="83">
        <f>F16</f>
        <v>1.2888074364016895E-4</v>
      </c>
      <c r="G17" s="76">
        <f>ROUND((F17*2^20),0)</f>
        <v>135</v>
      </c>
      <c r="H17" s="100" t="str">
        <f t="shared" si="3"/>
        <v>00000087</v>
      </c>
      <c r="J17" s="78"/>
      <c r="K17" s="56"/>
      <c r="AP17" s="75"/>
      <c r="AQ17" s="75"/>
      <c r="AR17" s="75"/>
      <c r="AS17" s="75"/>
      <c r="AT17" s="75"/>
      <c r="AU17" s="75"/>
      <c r="AV17" s="75"/>
    </row>
    <row r="18" spans="1:48" ht="23.25" x14ac:dyDescent="0.25">
      <c r="A18" s="75" t="str">
        <f>IF(G18&lt;&gt;"",MAX(A$1:A17)+1,"")</f>
        <v/>
      </c>
      <c r="B18" s="78"/>
      <c r="C18" s="78"/>
      <c r="D18" s="57" t="str">
        <f t="shared" si="1"/>
        <v/>
      </c>
      <c r="E18" s="56"/>
      <c r="F18" s="90"/>
      <c r="G18" s="76"/>
      <c r="H18" s="100" t="str">
        <f t="shared" si="3"/>
        <v/>
      </c>
      <c r="AP18" s="75"/>
      <c r="AQ18" s="75"/>
      <c r="AR18" s="75"/>
      <c r="AS18" s="75"/>
      <c r="AT18" s="75"/>
      <c r="AU18" s="75"/>
      <c r="AV18" s="75"/>
    </row>
    <row r="19" spans="1:48" s="75" customFormat="1" ht="23.25" x14ac:dyDescent="0.25">
      <c r="A19" s="75" t="str">
        <f>IF(G19&lt;&gt;"",MAX(A$1:A18)+1,"")</f>
        <v/>
      </c>
      <c r="B19" s="30"/>
      <c r="C19" s="30"/>
      <c r="D19" s="57" t="str">
        <f t="shared" si="1"/>
        <v/>
      </c>
      <c r="E19" s="29"/>
      <c r="F19" s="79"/>
      <c r="G19" s="76"/>
      <c r="H19" s="100" t="str">
        <f t="shared" si="3"/>
        <v/>
      </c>
      <c r="I19" s="32"/>
      <c r="J19" s="32"/>
      <c r="K19" s="32"/>
      <c r="L19" s="32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</row>
    <row r="20" spans="1:48" s="75" customFormat="1" ht="23.25" x14ac:dyDescent="0.25">
      <c r="A20" s="75" t="str">
        <f>IF(G20&lt;&gt;"",MAX(A$1:A19)+1,"")</f>
        <v/>
      </c>
      <c r="B20" s="30" t="s">
        <v>219</v>
      </c>
      <c r="C20" s="30"/>
      <c r="D20" s="57" t="str">
        <f t="shared" si="1"/>
        <v/>
      </c>
      <c r="E20" s="29" t="s">
        <v>53</v>
      </c>
      <c r="F20" s="79">
        <f>'Setting Table'!C12/1000*'Board Configuration Table'!C14/'Board Configuration Table'!C13</f>
        <v>0.20620918982427031</v>
      </c>
      <c r="G20" s="76"/>
      <c r="H20" s="100" t="str">
        <f t="shared" si="3"/>
        <v/>
      </c>
      <c r="I20" s="32"/>
      <c r="J20" s="32"/>
      <c r="K20" s="32"/>
      <c r="L20" s="32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</row>
    <row r="21" spans="1:48" ht="23.25" x14ac:dyDescent="0.25">
      <c r="A21" s="75">
        <f>IF(G21&lt;&gt;"",MAX(A$1:A20)+1,"")</f>
        <v>6</v>
      </c>
      <c r="B21" s="78" t="s">
        <v>246</v>
      </c>
      <c r="C21" s="57" t="s">
        <v>241</v>
      </c>
      <c r="D21" s="57">
        <f t="shared" si="1"/>
        <v>4</v>
      </c>
      <c r="E21" s="77" t="s">
        <v>245</v>
      </c>
      <c r="F21" s="83">
        <f>F20</f>
        <v>0.20620918982427031</v>
      </c>
      <c r="G21" s="76">
        <f>ROUND((F21*32768),0)</f>
        <v>6757</v>
      </c>
      <c r="H21" s="100" t="str">
        <f t="shared" si="3"/>
        <v>00001A65</v>
      </c>
      <c r="AP21" s="75"/>
      <c r="AQ21" s="75"/>
      <c r="AR21" s="75"/>
      <c r="AS21" s="75"/>
      <c r="AT21" s="75"/>
      <c r="AU21" s="75"/>
      <c r="AV21" s="75"/>
    </row>
    <row r="22" spans="1:48" ht="23.25" x14ac:dyDescent="0.25">
      <c r="A22" s="75" t="str">
        <f>IF(G22&lt;&gt;"",MAX(A$1:A21)+1,"")</f>
        <v/>
      </c>
      <c r="B22" s="78"/>
      <c r="C22" s="78"/>
      <c r="D22" s="57" t="str">
        <f t="shared" si="1"/>
        <v/>
      </c>
      <c r="E22" s="56"/>
      <c r="F22" s="83"/>
      <c r="G22" s="76"/>
      <c r="H22" s="100" t="str">
        <f t="shared" si="3"/>
        <v/>
      </c>
      <c r="AP22" s="75"/>
      <c r="AQ22" s="75"/>
      <c r="AR22" s="75"/>
      <c r="AS22" s="75"/>
      <c r="AT22" s="75"/>
      <c r="AU22" s="75"/>
      <c r="AV22" s="75"/>
    </row>
    <row r="23" spans="1:48" ht="23.25" x14ac:dyDescent="0.25">
      <c r="A23" s="75" t="str">
        <f>IF(G23&lt;&gt;"",MAX(A$1:A22)+1,"")</f>
        <v/>
      </c>
      <c r="B23" s="30" t="s">
        <v>220</v>
      </c>
      <c r="C23" s="30"/>
      <c r="D23" s="57" t="str">
        <f t="shared" si="1"/>
        <v/>
      </c>
      <c r="E23" s="29" t="s">
        <v>253</v>
      </c>
      <c r="F23" s="79">
        <f>'Setting Table'!C13/1000*'Board Configuration Table'!C14/'Board Configuration Table'!C13/'Board Configuration Table'!C21</f>
        <v>1.1698405961184566E-4</v>
      </c>
      <c r="G23" s="76"/>
      <c r="H23" s="100" t="str">
        <f t="shared" si="3"/>
        <v/>
      </c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AP23" s="75"/>
      <c r="AQ23" s="75"/>
      <c r="AR23" s="75"/>
      <c r="AS23" s="75"/>
      <c r="AT23" s="75"/>
      <c r="AU23" s="75"/>
      <c r="AV23" s="75"/>
    </row>
    <row r="24" spans="1:48" ht="23.25" x14ac:dyDescent="0.25">
      <c r="A24" s="75">
        <f>IF(G24&lt;&gt;"",MAX(A$1:A23)+1,"")</f>
        <v>7</v>
      </c>
      <c r="B24" s="78" t="s">
        <v>247</v>
      </c>
      <c r="C24" s="57" t="s">
        <v>241</v>
      </c>
      <c r="D24" s="57">
        <f t="shared" si="1"/>
        <v>4</v>
      </c>
      <c r="E24" s="77" t="s">
        <v>259</v>
      </c>
      <c r="F24" s="83">
        <f>F23</f>
        <v>1.1698405961184566E-4</v>
      </c>
      <c r="G24" s="76">
        <f>ROUND((F24*2^20),0)</f>
        <v>123</v>
      </c>
      <c r="H24" s="100" t="str">
        <f t="shared" si="3"/>
        <v>0000007B</v>
      </c>
    </row>
    <row r="25" spans="1:48" ht="23.25" x14ac:dyDescent="0.25">
      <c r="A25" s="75" t="str">
        <f>IF(G25&lt;&gt;"",MAX(A$1:A24)+1,"")</f>
        <v/>
      </c>
      <c r="B25" s="78"/>
      <c r="C25" s="78"/>
      <c r="D25" s="57" t="str">
        <f t="shared" si="1"/>
        <v/>
      </c>
      <c r="E25" s="56"/>
      <c r="F25" s="90"/>
      <c r="G25" s="76"/>
      <c r="H25" s="100" t="str">
        <f t="shared" si="3"/>
        <v/>
      </c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</row>
    <row r="26" spans="1:48" ht="23.25" x14ac:dyDescent="0.25">
      <c r="A26" s="75" t="str">
        <f>IF(G26&lt;&gt;"",MAX(A$1:A25)+1,"")</f>
        <v/>
      </c>
      <c r="B26" s="30"/>
      <c r="C26" s="30"/>
      <c r="D26" s="57" t="str">
        <f t="shared" si="1"/>
        <v/>
      </c>
      <c r="E26" s="29"/>
      <c r="F26" s="79"/>
      <c r="G26" s="76"/>
      <c r="H26" s="100" t="str">
        <f t="shared" si="3"/>
        <v/>
      </c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</row>
    <row r="27" spans="1:48" ht="23.25" x14ac:dyDescent="0.25">
      <c r="A27" s="75" t="str">
        <f>IF(G27&lt;&gt;"",MAX(A$1:A26)+1,"")</f>
        <v/>
      </c>
      <c r="B27" s="30" t="s">
        <v>221</v>
      </c>
      <c r="C27" s="30"/>
      <c r="D27" s="57" t="str">
        <f t="shared" si="1"/>
        <v/>
      </c>
      <c r="E27" s="29" t="s">
        <v>54</v>
      </c>
      <c r="F27" s="79">
        <f>'Setting Table'!C14/1000*'Board Configuration Table'!C14/'Board Configuration Table'!C13</f>
        <v>0.20620918982427031</v>
      </c>
      <c r="G27" s="76"/>
      <c r="H27" s="100" t="str">
        <f t="shared" si="3"/>
        <v/>
      </c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</row>
    <row r="28" spans="1:48" ht="23.25" x14ac:dyDescent="0.25">
      <c r="A28" s="75">
        <f>IF(G28&lt;&gt;"",MAX(A$1:A27)+1,"")</f>
        <v>8</v>
      </c>
      <c r="B28" s="78" t="s">
        <v>248</v>
      </c>
      <c r="C28" s="57" t="s">
        <v>241</v>
      </c>
      <c r="D28" s="57">
        <f t="shared" si="1"/>
        <v>4</v>
      </c>
      <c r="E28" s="77" t="s">
        <v>250</v>
      </c>
      <c r="F28" s="83">
        <f>F27</f>
        <v>0.20620918982427031</v>
      </c>
      <c r="G28" s="76">
        <f>ROUND((F28*32768),0)</f>
        <v>6757</v>
      </c>
      <c r="H28" s="100" t="str">
        <f t="shared" si="3"/>
        <v>00001A65</v>
      </c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</row>
    <row r="29" spans="1:48" ht="23.25" x14ac:dyDescent="0.25">
      <c r="A29" s="75" t="str">
        <f>IF(G29&lt;&gt;"",MAX(A$1:A28)+1,"")</f>
        <v/>
      </c>
      <c r="B29" s="78"/>
      <c r="C29" s="78"/>
      <c r="D29" s="57" t="str">
        <f t="shared" si="1"/>
        <v/>
      </c>
      <c r="E29" s="56"/>
      <c r="F29" s="83"/>
      <c r="G29" s="76"/>
      <c r="H29" s="100" t="str">
        <f t="shared" si="3"/>
        <v/>
      </c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</row>
    <row r="30" spans="1:48" ht="23.25" x14ac:dyDescent="0.25">
      <c r="A30" s="75" t="str">
        <f>IF(G30&lt;&gt;"",MAX(A$1:A29)+1,"")</f>
        <v/>
      </c>
      <c r="B30" s="30" t="s">
        <v>222</v>
      </c>
      <c r="C30" s="30"/>
      <c r="D30" s="57" t="str">
        <f t="shared" si="1"/>
        <v/>
      </c>
      <c r="E30" s="29" t="s">
        <v>254</v>
      </c>
      <c r="F30" s="79">
        <f>'Setting Table'!C15/1000*'Board Configuration Table'!C14/'Board Configuration Table'!C13/'Board Configuration Table'!C21</f>
        <v>1.1698405961184566E-4</v>
      </c>
      <c r="G30" s="76"/>
      <c r="H30" s="100" t="str">
        <f t="shared" si="3"/>
        <v/>
      </c>
    </row>
    <row r="31" spans="1:48" ht="23.25" x14ac:dyDescent="0.25">
      <c r="A31" s="75">
        <f>IF(G31&lt;&gt;"",MAX(A$1:A30)+1,"")</f>
        <v>9</v>
      </c>
      <c r="B31" s="78" t="s">
        <v>249</v>
      </c>
      <c r="C31" s="57" t="s">
        <v>241</v>
      </c>
      <c r="D31" s="57">
        <f t="shared" si="1"/>
        <v>4</v>
      </c>
      <c r="E31" s="77" t="s">
        <v>260</v>
      </c>
      <c r="F31" s="83">
        <f>F30</f>
        <v>1.1698405961184566E-4</v>
      </c>
      <c r="G31" s="76">
        <f>ROUND((F31*2^20),0)</f>
        <v>123</v>
      </c>
      <c r="H31" s="100" t="str">
        <f t="shared" si="3"/>
        <v>0000007B</v>
      </c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</row>
    <row r="32" spans="1:48" ht="23.25" x14ac:dyDescent="0.25">
      <c r="A32" s="75" t="str">
        <f>IF(G32&lt;&gt;"",MAX(A$1:A31)+1,"")</f>
        <v/>
      </c>
      <c r="B32" s="30"/>
      <c r="C32" s="30"/>
      <c r="D32" s="57" t="str">
        <f t="shared" si="1"/>
        <v/>
      </c>
      <c r="E32" s="29"/>
      <c r="F32" s="31"/>
      <c r="G32" s="28"/>
      <c r="H32" s="100" t="str">
        <f t="shared" si="3"/>
        <v/>
      </c>
    </row>
    <row r="33" spans="1:25" ht="23.25" x14ac:dyDescent="0.25">
      <c r="A33" s="75" t="str">
        <f>IF(G33&lt;&gt;"",MAX(A$1:A32)+1,"")</f>
        <v/>
      </c>
      <c r="B33" s="78"/>
      <c r="C33" s="78"/>
      <c r="D33" s="57" t="str">
        <f t="shared" si="1"/>
        <v/>
      </c>
      <c r="E33" s="56"/>
      <c r="F33" s="79"/>
      <c r="G33" s="76"/>
      <c r="H33" s="100" t="str">
        <f t="shared" si="3"/>
        <v/>
      </c>
    </row>
    <row r="34" spans="1:25" ht="23.25" x14ac:dyDescent="0.25">
      <c r="A34" s="75" t="str">
        <f>IF(G34&lt;&gt;"",MAX(A$1:A33)+1,"")</f>
        <v/>
      </c>
      <c r="B34" s="30" t="s">
        <v>223</v>
      </c>
      <c r="C34" s="30"/>
      <c r="D34" s="57" t="str">
        <f t="shared" si="1"/>
        <v/>
      </c>
      <c r="E34" s="29" t="s">
        <v>55</v>
      </c>
      <c r="F34" s="79">
        <f>'Setting Table'!C16/1000*'Board Configuration Table'!C14/'Board Configuration Table'!C13</f>
        <v>7.9311226855488581E-2</v>
      </c>
      <c r="G34" s="76"/>
      <c r="H34" s="100" t="str">
        <f t="shared" si="3"/>
        <v/>
      </c>
      <c r="J34" s="8"/>
      <c r="K34" s="8"/>
      <c r="L34" s="8"/>
    </row>
    <row r="35" spans="1:25" ht="23.25" x14ac:dyDescent="0.25">
      <c r="A35" s="75">
        <f>IF(G35&lt;&gt;"",MAX(A$1:A34)+1,"")</f>
        <v>10</v>
      </c>
      <c r="B35" s="78" t="s">
        <v>267</v>
      </c>
      <c r="C35" s="57" t="s">
        <v>241</v>
      </c>
      <c r="D35" s="57">
        <f t="shared" si="1"/>
        <v>4</v>
      </c>
      <c r="E35" s="77" t="s">
        <v>251</v>
      </c>
      <c r="F35" s="83">
        <f>F34</f>
        <v>7.9311226855488581E-2</v>
      </c>
      <c r="G35" s="76">
        <f>ROUND((F35*32768),0)</f>
        <v>2599</v>
      </c>
      <c r="H35" s="100" t="str">
        <f t="shared" si="3"/>
        <v>00000A27</v>
      </c>
    </row>
    <row r="36" spans="1:25" ht="23.25" x14ac:dyDescent="0.25">
      <c r="A36" s="75" t="str">
        <f>IF(G36&lt;&gt;"",MAX(A$1:A35)+1,"")</f>
        <v/>
      </c>
      <c r="B36" s="78"/>
      <c r="C36" s="78"/>
      <c r="D36" s="57" t="str">
        <f t="shared" si="1"/>
        <v/>
      </c>
      <c r="E36" s="56"/>
      <c r="F36" s="83"/>
      <c r="G36" s="76"/>
      <c r="H36" s="100" t="str">
        <f t="shared" si="3"/>
        <v/>
      </c>
    </row>
    <row r="37" spans="1:25" ht="23.25" x14ac:dyDescent="0.25">
      <c r="A37" s="75" t="str">
        <f>IF(G37&lt;&gt;"",MAX(A$1:A36)+1,"")</f>
        <v/>
      </c>
      <c r="B37" s="30" t="s">
        <v>224</v>
      </c>
      <c r="C37" s="30"/>
      <c r="D37" s="57" t="str">
        <f t="shared" si="1"/>
        <v/>
      </c>
      <c r="E37" s="29" t="s">
        <v>255</v>
      </c>
      <c r="F37" s="79">
        <f>'Setting Table'!C17/1000*'Board Configuration Table'!C14/'Board Configuration Table'!C13/'Board Configuration Table'!C21</f>
        <v>3.7672832756357071E-5</v>
      </c>
      <c r="G37" s="76"/>
      <c r="H37" s="100" t="str">
        <f t="shared" si="3"/>
        <v/>
      </c>
    </row>
    <row r="38" spans="1:25" ht="23.25" x14ac:dyDescent="0.25">
      <c r="A38" s="75">
        <f>IF(G38&lt;&gt;"",MAX(A$1:A37)+1,"")</f>
        <v>11</v>
      </c>
      <c r="B38" s="78" t="s">
        <v>268</v>
      </c>
      <c r="C38" s="57" t="s">
        <v>241</v>
      </c>
      <c r="D38" s="57">
        <f t="shared" si="1"/>
        <v>4</v>
      </c>
      <c r="E38" s="77" t="s">
        <v>261</v>
      </c>
      <c r="F38" s="83">
        <f>F37</f>
        <v>3.7672832756357071E-5</v>
      </c>
      <c r="G38" s="76">
        <f>ROUND((F38*2^20),0)</f>
        <v>40</v>
      </c>
      <c r="H38" s="100" t="str">
        <f t="shared" si="3"/>
        <v>00000028</v>
      </c>
    </row>
    <row r="39" spans="1:25" ht="23.25" x14ac:dyDescent="0.25">
      <c r="A39" s="136" t="str">
        <f>IF(G39&lt;&gt;"",MAX(A$1:A38)+1,"")</f>
        <v/>
      </c>
      <c r="B39" s="50"/>
      <c r="C39" s="50"/>
      <c r="D39" s="57" t="str">
        <f t="shared" si="1"/>
        <v/>
      </c>
      <c r="E39" s="50"/>
      <c r="F39" s="61"/>
      <c r="G39" s="61"/>
      <c r="H39" s="100" t="str">
        <f t="shared" ref="H39" si="5">IF(G39&lt;&gt;"",DEC2HEX(G39,4),"")</f>
        <v/>
      </c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</row>
    <row r="40" spans="1:25" s="124" customFormat="1" ht="23.25" x14ac:dyDescent="0.25">
      <c r="A40" s="136" t="str">
        <f>IF(G40&lt;&gt;"",MAX(A$1:A39)+1,"")</f>
        <v/>
      </c>
      <c r="B40" s="113" t="s">
        <v>207</v>
      </c>
      <c r="C40" s="113"/>
      <c r="D40" s="113"/>
      <c r="E40" s="113"/>
      <c r="F40" s="131"/>
      <c r="G40" s="131"/>
      <c r="H40" s="171"/>
    </row>
    <row r="41" spans="1:25" s="124" customFormat="1" ht="23.25" x14ac:dyDescent="0.25">
      <c r="A41" s="136" t="str">
        <f>IF(G41&lt;&gt;"",MAX(A$1:A40)+1,"")</f>
        <v/>
      </c>
      <c r="B41" s="113"/>
      <c r="C41" s="113"/>
      <c r="D41" s="113"/>
      <c r="E41" s="113"/>
      <c r="F41" s="131"/>
      <c r="G41" s="131"/>
      <c r="H41" s="171"/>
    </row>
    <row r="42" spans="1:25" s="124" customFormat="1" ht="23.25" x14ac:dyDescent="0.25">
      <c r="A42" s="136">
        <f>IF(G42&lt;&gt;"",MAX(A$1:A41)+1,"")</f>
        <v>12</v>
      </c>
      <c r="B42" s="139" t="s">
        <v>273</v>
      </c>
      <c r="C42" s="124" t="s">
        <v>241</v>
      </c>
      <c r="D42" s="124">
        <f t="shared" ref="D42:D44" si="6">IF(OR(C42="sint64",C42="uint64",C42="double64"), 8, IF(OR(C42="sint32",C42="uint32",C42="float32"),4,IF(OR(C42="sint16",C42="uint16"),2,  IF(OR(C42="sint8",C42="uint8"),1,""))))</f>
        <v>4</v>
      </c>
      <c r="E42" s="138" t="s">
        <v>276</v>
      </c>
      <c r="F42" s="142">
        <f>'Setting Table'!C23/'Board Configuration Table'!$C$14</f>
        <v>2.7439848333698351</v>
      </c>
      <c r="G42" s="137">
        <f t="shared" ref="G42:G44" si="7">ROUND((F42*32768),0)</f>
        <v>89915</v>
      </c>
      <c r="H42" s="171" t="str">
        <f t="shared" ref="H42:H44" si="8">IF(G42&lt;&gt;"",DEC2HEX(G42,8),"")</f>
        <v>00015F3B</v>
      </c>
    </row>
    <row r="43" spans="1:25" s="124" customFormat="1" ht="23.25" x14ac:dyDescent="0.25">
      <c r="A43" s="136">
        <f>IF(G43&lt;&gt;"",MAX(A$1:A42)+1,"")</f>
        <v>13</v>
      </c>
      <c r="B43" s="139" t="s">
        <v>275</v>
      </c>
      <c r="C43" s="124" t="s">
        <v>241</v>
      </c>
      <c r="D43" s="124">
        <f t="shared" si="6"/>
        <v>4</v>
      </c>
      <c r="E43" s="138" t="s">
        <v>278</v>
      </c>
      <c r="F43" s="142">
        <f>'Setting Table'!C22^2/'Board Configuration Table'!C12</f>
        <v>5.9610705596107048</v>
      </c>
      <c r="G43" s="137">
        <f t="shared" si="7"/>
        <v>195332</v>
      </c>
      <c r="H43" s="171" t="str">
        <f t="shared" si="8"/>
        <v>0002FB04</v>
      </c>
    </row>
    <row r="44" spans="1:25" s="124" customFormat="1" ht="23.25" x14ac:dyDescent="0.25">
      <c r="A44" s="136">
        <f>IF(G44&lt;&gt;"",MAX(A$1:A43)+1,"")</f>
        <v>14</v>
      </c>
      <c r="B44" s="139" t="s">
        <v>274</v>
      </c>
      <c r="C44" s="124" t="s">
        <v>241</v>
      </c>
      <c r="D44" s="124">
        <f t="shared" si="6"/>
        <v>4</v>
      </c>
      <c r="E44" s="138" t="s">
        <v>277</v>
      </c>
      <c r="F44" s="142">
        <f>'Setting Table'!C21^2/'Board Configuration Table'!C12</f>
        <v>0</v>
      </c>
      <c r="G44" s="137">
        <f t="shared" si="7"/>
        <v>0</v>
      </c>
      <c r="H44" s="171" t="str">
        <f t="shared" si="8"/>
        <v>00000000</v>
      </c>
    </row>
    <row r="45" spans="1:25" s="124" customFormat="1" ht="23.25" x14ac:dyDescent="0.25">
      <c r="A45" s="136" t="str">
        <f>IF(G45&lt;&gt;"",MAX(A$1:A44)+1,"")</f>
        <v/>
      </c>
      <c r="B45" s="139"/>
      <c r="D45" s="139"/>
      <c r="E45" s="163"/>
      <c r="F45" s="131"/>
      <c r="G45" s="131"/>
      <c r="H45" s="171"/>
    </row>
    <row r="46" spans="1:25" s="124" customFormat="1" ht="23.25" x14ac:dyDescent="0.25">
      <c r="A46" s="136" t="str">
        <f>IF(G46&lt;&gt;"",MAX(A$1:A45)+1,"")</f>
        <v/>
      </c>
      <c r="B46" s="139"/>
      <c r="D46" s="139"/>
      <c r="E46" s="163"/>
      <c r="F46" s="131"/>
      <c r="G46" s="131"/>
      <c r="H46" s="171"/>
    </row>
    <row r="47" spans="1:25" s="124" customFormat="1" ht="23.25" x14ac:dyDescent="0.25">
      <c r="A47" s="136" t="str">
        <f>IF(G47&lt;&gt;"",MAX(A$1:A46)+1,"")</f>
        <v/>
      </c>
      <c r="B47" s="113" t="s">
        <v>279</v>
      </c>
      <c r="C47" s="113"/>
      <c r="D47" s="113"/>
      <c r="E47" s="113"/>
      <c r="F47" s="131"/>
      <c r="G47" s="131"/>
      <c r="H47" s="171"/>
    </row>
    <row r="48" spans="1:25" s="124" customFormat="1" ht="23.25" x14ac:dyDescent="0.25">
      <c r="A48" s="136" t="str">
        <f>IF(G48&lt;&gt;"",MAX(A$1:A47)+1,"")</f>
        <v/>
      </c>
      <c r="B48" s="113"/>
      <c r="C48" s="113"/>
      <c r="D48" s="113"/>
      <c r="E48" s="113"/>
      <c r="F48" s="131"/>
      <c r="G48" s="131"/>
      <c r="H48" s="171"/>
    </row>
    <row r="49" spans="1:25" s="124" customFormat="1" ht="23.25" x14ac:dyDescent="0.25">
      <c r="A49" s="136">
        <f>IF(G49&lt;&gt;"",MAX(A$1:A48)+1,"")</f>
        <v>15</v>
      </c>
      <c r="B49" s="139" t="s">
        <v>280</v>
      </c>
      <c r="C49" s="124" t="s">
        <v>241</v>
      </c>
      <c r="D49" s="124">
        <f t="shared" ref="D49:D52" si="9">IF(OR(C49="sint64",C49="uint64",C49="double64"), 8, IF(OR(C49="sint32",C49="uint32",C49="float32"),4,IF(OR(C49="sint16",C49="uint16"),2,  IF(OR(C49="sint8",C49="uint8"),1,""))))</f>
        <v>4</v>
      </c>
      <c r="E49" s="163"/>
      <c r="F49" s="131"/>
      <c r="G49" s="137">
        <f>'Dynamic Torque Limit'!C42</f>
        <v>19800</v>
      </c>
      <c r="H49" s="171" t="str">
        <f t="shared" ref="H49" si="10">IF(G49&lt;&gt;"",DEC2HEX(G49,8),"")</f>
        <v>00004D58</v>
      </c>
    </row>
    <row r="50" spans="1:25" s="124" customFormat="1" ht="23.25" x14ac:dyDescent="0.25">
      <c r="A50" s="136">
        <f>IF(G50&lt;&gt;"",MAX(A$1:A49)+1,"")</f>
        <v>16</v>
      </c>
      <c r="B50" s="139" t="s">
        <v>281</v>
      </c>
      <c r="C50" s="124" t="s">
        <v>236</v>
      </c>
      <c r="D50" s="124">
        <f t="shared" si="9"/>
        <v>4</v>
      </c>
      <c r="E50" s="163" t="s">
        <v>284</v>
      </c>
      <c r="F50" s="131">
        <f>'Dynamic Torque Limit'!C43/'Board Configuration Table'!C13</f>
        <v>0.29017173814322006</v>
      </c>
      <c r="G50" s="131">
        <f>IF(H50&lt;&gt;"",HEX2DEC(H50),"")</f>
        <v>1049923940</v>
      </c>
      <c r="H50" s="171" t="str">
        <f>IF(F50&lt;&gt;"",IF(C50="float32",FLOAT2HEX(F50),DEC2HEX(G50,8)),"")</f>
        <v>3E949164</v>
      </c>
    </row>
    <row r="51" spans="1:25" s="124" customFormat="1" ht="23.25" x14ac:dyDescent="0.25">
      <c r="A51" s="136">
        <f>IF(G51&lt;&gt;"",MAX(A$1:A50)+1,"")</f>
        <v>17</v>
      </c>
      <c r="B51" s="139" t="s">
        <v>282</v>
      </c>
      <c r="C51" s="124" t="s">
        <v>236</v>
      </c>
      <c r="D51" s="124">
        <f t="shared" si="9"/>
        <v>4</v>
      </c>
      <c r="E51" s="163" t="s">
        <v>285</v>
      </c>
      <c r="F51" s="131">
        <f>'Board Configuration Table'!C13/'Board Configuration Table'!C14/32768</f>
        <v>1.9239128768368114E-7</v>
      </c>
      <c r="G51" s="131">
        <f t="shared" ref="G51:G52" si="11">IF(H51&lt;&gt;"",HEX2DEC(H51),"")</f>
        <v>877564957</v>
      </c>
      <c r="H51" s="171" t="str">
        <f t="shared" ref="H51:H52" si="12">IF(F51&lt;&gt;"",IF(C51="float32",FLOAT2HEX(F51),DEC2HEX(G51,8)),"")</f>
        <v>344E941D</v>
      </c>
    </row>
    <row r="52" spans="1:25" s="124" customFormat="1" ht="23.25" x14ac:dyDescent="0.25">
      <c r="A52" s="136">
        <f>IF(G52&lt;&gt;"",MAX(A$1:A51)+1,"")</f>
        <v>18</v>
      </c>
      <c r="B52" s="139" t="s">
        <v>283</v>
      </c>
      <c r="C52" s="124" t="s">
        <v>236</v>
      </c>
      <c r="D52" s="124">
        <f t="shared" si="9"/>
        <v>4</v>
      </c>
      <c r="E52" s="163" t="s">
        <v>286</v>
      </c>
      <c r="F52" s="131">
        <f>'Board Configuration Table'!C13/'Board Configuration Table'!C14/32768/32*'Board Configuration Table'!C21</f>
        <v>4.8097821920920285E-5</v>
      </c>
      <c r="G52" s="131">
        <f t="shared" si="11"/>
        <v>944356517</v>
      </c>
      <c r="H52" s="171" t="str">
        <f t="shared" si="12"/>
        <v>3849BCA5</v>
      </c>
    </row>
    <row r="53" spans="1:25" s="124" customFormat="1" ht="23.25" x14ac:dyDescent="0.25">
      <c r="A53" s="136" t="str">
        <f>IF(G53&lt;&gt;"",MAX(A$1:A52)+1,"")</f>
        <v/>
      </c>
      <c r="B53" s="139"/>
      <c r="D53" s="139"/>
      <c r="E53" s="163"/>
      <c r="F53" s="131"/>
      <c r="G53" s="131"/>
      <c r="H53" s="171"/>
    </row>
    <row r="54" spans="1:25" ht="23.25" x14ac:dyDescent="0.25">
      <c r="B54" s="78"/>
      <c r="C54" s="78"/>
      <c r="D54" s="78"/>
      <c r="E54" s="56"/>
      <c r="F54" s="34"/>
      <c r="G54" s="81"/>
      <c r="H54" s="89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</row>
    <row r="55" spans="1:25" ht="23.25" x14ac:dyDescent="0.25">
      <c r="A55" s="61"/>
      <c r="B55" s="16"/>
      <c r="C55" s="16"/>
      <c r="D55" s="16"/>
      <c r="E55" s="17"/>
      <c r="F55" s="36"/>
      <c r="G55" s="43"/>
      <c r="H55" s="35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</row>
    <row r="56" spans="1:25" ht="23.25" x14ac:dyDescent="0.25">
      <c r="A56" s="61"/>
      <c r="B56" s="37"/>
      <c r="C56" s="37"/>
      <c r="D56" s="37"/>
      <c r="E56" s="38"/>
      <c r="F56" s="46"/>
      <c r="G56" s="43"/>
      <c r="H56" s="35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</row>
    <row r="57" spans="1:25" ht="23.25" x14ac:dyDescent="0.25">
      <c r="A57" s="61"/>
      <c r="B57" s="61"/>
      <c r="C57" s="61"/>
      <c r="D57" s="61"/>
      <c r="E57" s="61"/>
      <c r="F57" s="45"/>
      <c r="G57" s="44"/>
      <c r="H57" s="35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</row>
    <row r="58" spans="1:25" ht="23.25" x14ac:dyDescent="0.25">
      <c r="A58" s="61"/>
      <c r="B58" s="51"/>
      <c r="C58" s="51"/>
      <c r="D58" s="51"/>
      <c r="E58" s="51"/>
      <c r="F58" s="46"/>
      <c r="G58" s="18"/>
      <c r="H58" s="35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</row>
    <row r="59" spans="1:25" ht="23.25" x14ac:dyDescent="0.25">
      <c r="A59" s="61"/>
      <c r="B59" s="51"/>
      <c r="C59" s="51"/>
      <c r="D59" s="51"/>
      <c r="E59" s="51"/>
      <c r="F59" s="36"/>
      <c r="G59" s="43"/>
      <c r="H59" s="35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</row>
    <row r="60" spans="1:25" ht="23.25" x14ac:dyDescent="0.25">
      <c r="A60" s="61"/>
      <c r="B60" s="37"/>
      <c r="C60" s="37"/>
      <c r="D60" s="37"/>
      <c r="E60" s="38"/>
      <c r="F60" s="18"/>
      <c r="G60" s="43"/>
      <c r="H60" s="35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</row>
    <row r="61" spans="1:25" ht="23.25" x14ac:dyDescent="0.25">
      <c r="A61" s="61"/>
      <c r="B61" s="37"/>
      <c r="C61" s="37"/>
      <c r="D61" s="37"/>
      <c r="E61" s="40"/>
      <c r="F61" s="18"/>
      <c r="G61" s="43"/>
      <c r="H61" s="35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</row>
    <row r="62" spans="1:25" ht="23.25" x14ac:dyDescent="0.25">
      <c r="A62" s="61"/>
      <c r="B62" s="16"/>
      <c r="C62" s="16"/>
      <c r="D62" s="16"/>
      <c r="E62" s="17"/>
      <c r="F62" s="18"/>
      <c r="G62" s="43"/>
      <c r="H62" s="35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</row>
    <row r="63" spans="1:25" ht="23.25" x14ac:dyDescent="0.25">
      <c r="A63" s="61"/>
      <c r="B63" s="16"/>
      <c r="C63" s="16"/>
      <c r="D63" s="16"/>
      <c r="E63" s="17"/>
      <c r="F63" s="18"/>
      <c r="G63" s="43"/>
      <c r="H63" s="35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</row>
    <row r="64" spans="1:25" ht="23.25" x14ac:dyDescent="0.25">
      <c r="A64" s="61"/>
      <c r="B64" s="16"/>
      <c r="C64" s="16"/>
      <c r="D64" s="16"/>
      <c r="E64" s="17"/>
      <c r="F64" s="18"/>
      <c r="G64" s="43"/>
      <c r="H64" s="35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</row>
    <row r="65" spans="1:25" ht="23.25" x14ac:dyDescent="0.25">
      <c r="A65" s="61"/>
      <c r="B65" s="37"/>
      <c r="C65" s="37"/>
      <c r="D65" s="37"/>
      <c r="E65" s="40"/>
      <c r="F65" s="18"/>
      <c r="G65" s="43"/>
      <c r="H65" s="35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</row>
    <row r="66" spans="1:25" ht="23.25" x14ac:dyDescent="0.25">
      <c r="A66" s="61"/>
      <c r="B66" s="16"/>
      <c r="C66" s="16"/>
      <c r="D66" s="16"/>
      <c r="E66" s="17"/>
      <c r="F66" s="18"/>
      <c r="G66" s="43"/>
      <c r="H66" s="35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</row>
    <row r="67" spans="1:25" ht="23.25" x14ac:dyDescent="0.25">
      <c r="A67" s="61"/>
      <c r="B67" s="16"/>
      <c r="C67" s="16"/>
      <c r="D67" s="16"/>
      <c r="E67" s="17"/>
      <c r="F67" s="18"/>
      <c r="G67" s="47"/>
      <c r="H67" s="35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</row>
    <row r="68" spans="1:25" ht="23.25" x14ac:dyDescent="0.25">
      <c r="A68" s="61"/>
      <c r="B68" s="37"/>
      <c r="C68" s="37"/>
      <c r="D68" s="37"/>
      <c r="E68" s="38"/>
      <c r="F68" s="18"/>
      <c r="G68" s="47"/>
      <c r="H68" s="35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</row>
    <row r="69" spans="1:25" ht="23.25" x14ac:dyDescent="0.25">
      <c r="A69" s="61"/>
      <c r="B69" s="37"/>
      <c r="C69" s="37"/>
      <c r="D69" s="37"/>
      <c r="E69" s="38"/>
      <c r="F69" s="36"/>
      <c r="G69" s="43"/>
      <c r="H69" s="35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</row>
    <row r="70" spans="1:25" ht="23.25" x14ac:dyDescent="0.25">
      <c r="A70" s="61"/>
      <c r="B70" s="16"/>
      <c r="C70" s="16"/>
      <c r="D70" s="16"/>
      <c r="E70" s="17"/>
      <c r="F70" s="36"/>
      <c r="G70" s="43"/>
      <c r="H70" s="35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</row>
    <row r="71" spans="1:25" ht="23.25" x14ac:dyDescent="0.25">
      <c r="A71" s="61"/>
      <c r="B71" s="37"/>
      <c r="C71" s="37"/>
      <c r="D71" s="37"/>
      <c r="E71" s="38"/>
      <c r="F71" s="46"/>
      <c r="G71" s="43"/>
      <c r="H71" s="35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</row>
    <row r="72" spans="1:25" ht="23.25" x14ac:dyDescent="0.25">
      <c r="A72" s="61"/>
      <c r="B72" s="61"/>
      <c r="C72" s="61"/>
      <c r="D72" s="61"/>
      <c r="E72" s="61"/>
      <c r="F72" s="36"/>
      <c r="G72" s="43"/>
      <c r="H72" s="35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</row>
    <row r="73" spans="1:25" ht="23.25" x14ac:dyDescent="0.25">
      <c r="A73" s="61"/>
      <c r="B73" s="41"/>
      <c r="C73" s="41"/>
      <c r="D73" s="41"/>
      <c r="E73" s="42"/>
      <c r="F73" s="36"/>
      <c r="G73" s="47"/>
      <c r="H73" s="35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</row>
    <row r="74" spans="1:25" ht="23.25" x14ac:dyDescent="0.25">
      <c r="A74" s="61"/>
      <c r="B74" s="41"/>
      <c r="C74" s="41"/>
      <c r="D74" s="41"/>
      <c r="E74" s="42"/>
      <c r="F74" s="45"/>
      <c r="G74" s="44"/>
      <c r="H74" s="35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</row>
    <row r="75" spans="1:25" ht="23.25" x14ac:dyDescent="0.25">
      <c r="A75" s="61"/>
      <c r="B75" s="50"/>
      <c r="C75" s="50"/>
      <c r="D75" s="50"/>
      <c r="E75" s="50"/>
      <c r="F75" s="46"/>
      <c r="G75" s="18"/>
      <c r="H75" s="35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</row>
    <row r="76" spans="1:25" ht="23.25" x14ac:dyDescent="0.25">
      <c r="A76" s="61"/>
      <c r="B76" s="50"/>
      <c r="C76" s="50"/>
      <c r="D76" s="50"/>
      <c r="E76" s="50"/>
      <c r="F76" s="36"/>
      <c r="G76" s="43"/>
      <c r="H76" s="35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</row>
    <row r="77" spans="1:25" ht="23.25" x14ac:dyDescent="0.25">
      <c r="A77" s="61"/>
      <c r="B77" s="37"/>
      <c r="C77" s="37"/>
      <c r="D77" s="37"/>
      <c r="E77" s="38"/>
      <c r="F77" s="18"/>
      <c r="G77" s="43"/>
      <c r="H77" s="35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</row>
    <row r="78" spans="1:25" ht="23.25" x14ac:dyDescent="0.25">
      <c r="A78" s="61"/>
      <c r="B78" s="37"/>
      <c r="C78" s="37"/>
      <c r="D78" s="37"/>
      <c r="E78" s="40"/>
      <c r="F78" s="18"/>
      <c r="G78" s="43"/>
      <c r="H78" s="35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</row>
    <row r="79" spans="1:25" ht="23.25" x14ac:dyDescent="0.25">
      <c r="A79" s="61"/>
      <c r="B79" s="16"/>
      <c r="C79" s="16"/>
      <c r="D79" s="16"/>
      <c r="E79" s="17"/>
      <c r="F79" s="18"/>
      <c r="G79" s="43"/>
      <c r="H79" s="35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</row>
    <row r="80" spans="1:25" ht="23.25" x14ac:dyDescent="0.25">
      <c r="A80" s="61"/>
      <c r="B80" s="16"/>
      <c r="C80" s="16"/>
      <c r="D80" s="16"/>
      <c r="E80" s="17"/>
      <c r="F80" s="18"/>
      <c r="G80" s="43"/>
      <c r="H80" s="35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</row>
    <row r="81" spans="1:25" ht="23.25" x14ac:dyDescent="0.25">
      <c r="A81" s="61"/>
      <c r="B81" s="16"/>
      <c r="C81" s="16"/>
      <c r="D81" s="16"/>
      <c r="E81" s="17"/>
      <c r="F81" s="18"/>
      <c r="G81" s="43"/>
      <c r="H81" s="35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</row>
    <row r="82" spans="1:25" ht="23.25" x14ac:dyDescent="0.25">
      <c r="A82" s="61"/>
      <c r="B82" s="37"/>
      <c r="C82" s="37"/>
      <c r="D82" s="37"/>
      <c r="E82" s="40"/>
      <c r="F82" s="18"/>
      <c r="G82" s="43"/>
      <c r="H82" s="35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</row>
    <row r="83" spans="1:25" ht="23.25" x14ac:dyDescent="0.25">
      <c r="A83" s="61"/>
      <c r="B83" s="16"/>
      <c r="C83" s="16"/>
      <c r="D83" s="16"/>
      <c r="E83" s="17"/>
      <c r="F83" s="18"/>
      <c r="G83" s="43"/>
      <c r="H83" s="35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</row>
    <row r="84" spans="1:25" ht="23.25" x14ac:dyDescent="0.25">
      <c r="A84" s="61"/>
      <c r="B84" s="16"/>
      <c r="C84" s="16"/>
      <c r="D84" s="16"/>
      <c r="E84" s="17"/>
      <c r="F84" s="18"/>
      <c r="G84" s="47"/>
      <c r="H84" s="35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</row>
    <row r="85" spans="1:25" ht="23.25" x14ac:dyDescent="0.25">
      <c r="A85" s="61"/>
      <c r="B85" s="37"/>
      <c r="C85" s="37"/>
      <c r="D85" s="37"/>
      <c r="E85" s="48"/>
      <c r="F85" s="18"/>
      <c r="G85" s="47"/>
      <c r="H85" s="35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</row>
    <row r="86" spans="1:25" ht="23.25" x14ac:dyDescent="0.25">
      <c r="A86" s="61"/>
      <c r="B86" s="37"/>
      <c r="C86" s="37"/>
      <c r="D86" s="37"/>
      <c r="E86" s="48"/>
      <c r="F86" s="36"/>
      <c r="G86" s="43"/>
      <c r="H86" s="35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</row>
    <row r="87" spans="1:25" ht="23.25" x14ac:dyDescent="0.25">
      <c r="A87" s="61"/>
      <c r="B87" s="16"/>
      <c r="C87" s="16"/>
      <c r="D87" s="16"/>
      <c r="E87" s="17"/>
      <c r="F87" s="36"/>
      <c r="G87" s="43"/>
      <c r="H87" s="35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</row>
    <row r="88" spans="1:25" ht="23.25" x14ac:dyDescent="0.25">
      <c r="A88" s="61"/>
      <c r="B88" s="37"/>
      <c r="C88" s="37"/>
      <c r="D88" s="37"/>
      <c r="E88" s="38"/>
      <c r="F88" s="36"/>
      <c r="G88" s="43"/>
      <c r="H88" s="35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</row>
    <row r="89" spans="1:25" ht="23.25" x14ac:dyDescent="0.25">
      <c r="A89" s="61"/>
      <c r="B89" s="37"/>
      <c r="C89" s="37"/>
      <c r="D89" s="37"/>
      <c r="E89" s="38"/>
      <c r="F89" s="36"/>
      <c r="G89" s="43"/>
      <c r="H89" s="35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</row>
    <row r="90" spans="1:25" ht="23.25" x14ac:dyDescent="0.25">
      <c r="A90" s="61"/>
      <c r="B90" s="16"/>
      <c r="C90" s="16"/>
      <c r="D90" s="16"/>
      <c r="E90" s="17"/>
      <c r="F90" s="36"/>
      <c r="G90" s="43"/>
      <c r="H90" s="35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</row>
    <row r="91" spans="1:25" ht="23.25" x14ac:dyDescent="0.25">
      <c r="A91" s="61"/>
      <c r="B91" s="16"/>
      <c r="C91" s="16"/>
      <c r="D91" s="16"/>
      <c r="E91" s="17"/>
      <c r="F91" s="36"/>
      <c r="G91" s="43"/>
      <c r="H91" s="35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</row>
    <row r="92" spans="1:25" ht="23.25" x14ac:dyDescent="0.25">
      <c r="A92" s="61"/>
      <c r="B92" s="16"/>
      <c r="C92" s="16"/>
      <c r="D92" s="16"/>
      <c r="E92" s="17"/>
      <c r="F92" s="36"/>
      <c r="G92" s="43"/>
      <c r="H92" s="35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</row>
    <row r="93" spans="1:25" ht="23.25" x14ac:dyDescent="0.25">
      <c r="A93" s="61"/>
      <c r="B93" s="50"/>
      <c r="C93" s="50"/>
      <c r="D93" s="50"/>
      <c r="E93" s="50"/>
      <c r="F93" s="36"/>
      <c r="G93" s="43"/>
      <c r="H93" s="35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</row>
    <row r="94" spans="1:25" ht="23.25" x14ac:dyDescent="0.25">
      <c r="A94" s="61"/>
      <c r="B94" s="50"/>
      <c r="C94" s="50"/>
      <c r="D94" s="50"/>
      <c r="E94" s="50"/>
      <c r="F94" s="18"/>
      <c r="G94" s="43"/>
      <c r="H94" s="35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</row>
    <row r="95" spans="1:25" ht="23.25" x14ac:dyDescent="0.25">
      <c r="A95" s="61"/>
      <c r="B95" s="40"/>
      <c r="C95" s="40"/>
      <c r="D95" s="40"/>
      <c r="E95" s="40"/>
      <c r="F95" s="18"/>
      <c r="G95" s="43"/>
      <c r="H95" s="35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</row>
    <row r="96" spans="1:25" ht="23.25" x14ac:dyDescent="0.25">
      <c r="A96" s="61"/>
      <c r="B96" s="16"/>
      <c r="C96" s="16"/>
      <c r="D96" s="16"/>
      <c r="E96" s="17"/>
      <c r="F96" s="39"/>
      <c r="G96" s="43"/>
      <c r="H96" s="35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</row>
    <row r="97" spans="1:25" ht="23.25" x14ac:dyDescent="0.25">
      <c r="A97" s="61"/>
      <c r="B97" s="16"/>
      <c r="C97" s="16"/>
      <c r="D97" s="16"/>
      <c r="E97" s="17"/>
      <c r="F97" s="34"/>
      <c r="G97" s="44"/>
      <c r="H97" s="35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</row>
    <row r="98" spans="1:25" ht="23.25" x14ac:dyDescent="0.25">
      <c r="A98" s="61"/>
      <c r="B98" s="50"/>
      <c r="C98" s="50"/>
      <c r="D98" s="50"/>
      <c r="E98" s="50"/>
      <c r="F98" s="61"/>
      <c r="G98" s="43"/>
      <c r="H98" s="35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</row>
    <row r="99" spans="1:25" ht="23.25" x14ac:dyDescent="0.25">
      <c r="A99" s="61"/>
      <c r="B99" s="50"/>
      <c r="C99" s="50"/>
      <c r="D99" s="50"/>
      <c r="E99" s="50"/>
      <c r="F99" s="18"/>
      <c r="G99" s="19"/>
      <c r="H99" s="35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</row>
    <row r="100" spans="1:25" ht="23.25" x14ac:dyDescent="0.25">
      <c r="A100" s="61"/>
      <c r="B100" s="16"/>
      <c r="C100" s="16"/>
      <c r="D100" s="16"/>
      <c r="E100" s="17"/>
      <c r="F100" s="49"/>
      <c r="G100" s="43"/>
      <c r="H100" s="35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</row>
    <row r="101" spans="1:25" ht="23.25" x14ac:dyDescent="0.25">
      <c r="A101" s="61"/>
      <c r="B101" s="16"/>
      <c r="C101" s="16"/>
      <c r="D101" s="16"/>
      <c r="E101" s="17"/>
      <c r="F101" s="18"/>
      <c r="G101" s="19"/>
      <c r="H101" s="35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</row>
    <row r="102" spans="1:25" ht="23.25" x14ac:dyDescent="0.25">
      <c r="A102" s="61"/>
      <c r="B102" s="16"/>
      <c r="C102" s="16"/>
      <c r="D102" s="16"/>
      <c r="E102" s="17"/>
      <c r="F102" s="18"/>
      <c r="G102" s="19"/>
      <c r="H102" s="35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</row>
    <row r="103" spans="1:25" ht="23.25" x14ac:dyDescent="0.25">
      <c r="A103" s="61"/>
      <c r="B103" s="16"/>
      <c r="C103" s="16"/>
      <c r="D103" s="16"/>
      <c r="E103" s="17"/>
      <c r="F103" s="45"/>
      <c r="G103" s="44"/>
      <c r="H103" s="35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</row>
    <row r="104" spans="1:25" ht="23.25" x14ac:dyDescent="0.25">
      <c r="A104" s="61"/>
      <c r="B104" s="50"/>
      <c r="C104" s="50"/>
      <c r="D104" s="50"/>
      <c r="E104" s="50"/>
      <c r="F104" s="46"/>
      <c r="G104" s="43"/>
      <c r="H104" s="35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</row>
    <row r="105" spans="1:25" ht="23.25" x14ac:dyDescent="0.25">
      <c r="B105" s="50"/>
      <c r="C105" s="50"/>
      <c r="D105" s="50"/>
      <c r="E105" s="50"/>
      <c r="F105" s="36"/>
      <c r="G105" s="43"/>
      <c r="H105" s="35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</row>
    <row r="106" spans="1:25" x14ac:dyDescent="0.25">
      <c r="A106" s="75" t="e">
        <f>IF(#REF!&lt;&gt;#REF!,#REF!,"")</f>
        <v>#REF!</v>
      </c>
      <c r="B106" s="16"/>
      <c r="C106" s="16"/>
      <c r="D106" s="16"/>
      <c r="E106" s="17"/>
      <c r="F106" s="36"/>
      <c r="G106" s="43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</row>
    <row r="107" spans="1:25" x14ac:dyDescent="0.25">
      <c r="B107" s="16"/>
      <c r="C107" s="16"/>
      <c r="D107" s="16"/>
      <c r="E107" s="17"/>
      <c r="F107" s="36"/>
      <c r="G107" s="43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</row>
    <row r="108" spans="1:25" x14ac:dyDescent="0.25">
      <c r="B108" s="16"/>
      <c r="C108" s="16"/>
      <c r="D108" s="16"/>
      <c r="E108" s="17"/>
      <c r="F108" s="61"/>
      <c r="G108" s="61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</row>
    <row r="109" spans="1:25" x14ac:dyDescent="0.25">
      <c r="B109" s="61"/>
      <c r="C109" s="61"/>
      <c r="D109" s="61"/>
      <c r="E109" s="61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</row>
    <row r="110" spans="1:25" x14ac:dyDescent="0.25"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</row>
    <row r="111" spans="1:25" x14ac:dyDescent="0.25"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</row>
    <row r="112" spans="1:25" x14ac:dyDescent="0.25"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</row>
    <row r="113" spans="9:25" x14ac:dyDescent="0.25"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</row>
    <row r="114" spans="9:25" x14ac:dyDescent="0.25"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</row>
    <row r="115" spans="9:25" x14ac:dyDescent="0.25"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</row>
    <row r="116" spans="9:25" x14ac:dyDescent="0.25"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</row>
    <row r="117" spans="9:25" x14ac:dyDescent="0.25"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</row>
    <row r="118" spans="9:25" x14ac:dyDescent="0.25"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</row>
    <row r="119" spans="9:25" x14ac:dyDescent="0.25"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</row>
    <row r="120" spans="9:25" x14ac:dyDescent="0.25"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</row>
    <row r="121" spans="9:25" x14ac:dyDescent="0.25"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</row>
    <row r="122" spans="9:25" x14ac:dyDescent="0.25"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</row>
    <row r="123" spans="9:25" x14ac:dyDescent="0.25"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</row>
    <row r="124" spans="9:25" x14ac:dyDescent="0.25"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</row>
    <row r="125" spans="9:25" x14ac:dyDescent="0.25"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</row>
    <row r="126" spans="9:25" x14ac:dyDescent="0.25"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</row>
    <row r="127" spans="9:25" x14ac:dyDescent="0.25"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</row>
    <row r="128" spans="9:25" x14ac:dyDescent="0.25"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</row>
    <row r="129" spans="9:25" x14ac:dyDescent="0.25"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</row>
    <row r="130" spans="9:25" x14ac:dyDescent="0.25"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</row>
    <row r="131" spans="9:25" x14ac:dyDescent="0.25"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</row>
    <row r="132" spans="9:25" x14ac:dyDescent="0.25"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</row>
    <row r="133" spans="9:25" x14ac:dyDescent="0.25"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</row>
    <row r="134" spans="9:25" x14ac:dyDescent="0.25"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</row>
    <row r="135" spans="9:25" x14ac:dyDescent="0.25"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</row>
    <row r="136" spans="9:25" x14ac:dyDescent="0.25"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</row>
    <row r="137" spans="9:25" x14ac:dyDescent="0.25"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</row>
    <row r="138" spans="9:25" x14ac:dyDescent="0.25"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</row>
    <row r="139" spans="9:25" x14ac:dyDescent="0.25"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</row>
    <row r="140" spans="9:25" x14ac:dyDescent="0.25"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</row>
    <row r="141" spans="9:25" x14ac:dyDescent="0.25"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</row>
    <row r="142" spans="9:25" x14ac:dyDescent="0.25"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</row>
    <row r="143" spans="9:25" x14ac:dyDescent="0.25"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</row>
    <row r="144" spans="9:25" x14ac:dyDescent="0.25"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</row>
    <row r="145" spans="9:25" x14ac:dyDescent="0.25"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</row>
    <row r="146" spans="9:25" x14ac:dyDescent="0.25"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</row>
    <row r="147" spans="9:25" x14ac:dyDescent="0.25"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</row>
    <row r="148" spans="9:25" x14ac:dyDescent="0.25"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</row>
    <row r="149" spans="9:25" x14ac:dyDescent="0.25"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</row>
    <row r="150" spans="9:25" x14ac:dyDescent="0.25"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</row>
    <row r="151" spans="9:25" x14ac:dyDescent="0.25"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</row>
    <row r="152" spans="9:25" x14ac:dyDescent="0.25"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</row>
    <row r="153" spans="9:25" x14ac:dyDescent="0.25"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</row>
    <row r="154" spans="9:25" x14ac:dyDescent="0.25"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</row>
    <row r="155" spans="9:25" x14ac:dyDescent="0.25"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</row>
    <row r="156" spans="9:25" x14ac:dyDescent="0.25"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</row>
    <row r="157" spans="9:25" x14ac:dyDescent="0.25"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</row>
    <row r="158" spans="9:25" x14ac:dyDescent="0.25"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</row>
    <row r="159" spans="9:25" x14ac:dyDescent="0.25"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</row>
    <row r="160" spans="9:25" x14ac:dyDescent="0.25"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</row>
    <row r="161" spans="9:25" x14ac:dyDescent="0.25"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</row>
    <row r="162" spans="9:25" x14ac:dyDescent="0.25"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</row>
    <row r="163" spans="9:25" x14ac:dyDescent="0.25"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</row>
    <row r="164" spans="9:25" x14ac:dyDescent="0.25"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</row>
    <row r="165" spans="9:25" x14ac:dyDescent="0.25"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</row>
    <row r="166" spans="9:25" x14ac:dyDescent="0.25"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</row>
    <row r="167" spans="9:25" x14ac:dyDescent="0.25"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</row>
    <row r="168" spans="9:25" x14ac:dyDescent="0.25"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</row>
    <row r="169" spans="9:25" x14ac:dyDescent="0.25"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</row>
    <row r="170" spans="9:25" x14ac:dyDescent="0.25"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</row>
    <row r="171" spans="9:25" x14ac:dyDescent="0.25"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</row>
    <row r="172" spans="9:25" x14ac:dyDescent="0.25"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</row>
    <row r="173" spans="9:25" x14ac:dyDescent="0.25"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</row>
    <row r="174" spans="9:25" x14ac:dyDescent="0.25"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</row>
    <row r="175" spans="9:25" x14ac:dyDescent="0.25"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</row>
    <row r="176" spans="9:25" x14ac:dyDescent="0.25"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</row>
    <row r="177" spans="9:25" x14ac:dyDescent="0.25"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</row>
    <row r="178" spans="9:25" x14ac:dyDescent="0.25"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</row>
    <row r="179" spans="9:25" x14ac:dyDescent="0.25"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</row>
    <row r="180" spans="9:25" x14ac:dyDescent="0.25"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</row>
    <row r="181" spans="9:25" x14ac:dyDescent="0.25"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</row>
    <row r="182" spans="9:25" x14ac:dyDescent="0.25"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</row>
    <row r="183" spans="9:25" x14ac:dyDescent="0.25"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</row>
    <row r="184" spans="9:25" x14ac:dyDescent="0.25"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</row>
    <row r="185" spans="9:25" x14ac:dyDescent="0.25"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</row>
    <row r="186" spans="9:25" x14ac:dyDescent="0.25"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</row>
    <row r="187" spans="9:25" x14ac:dyDescent="0.25"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</row>
    <row r="188" spans="9:25" x14ac:dyDescent="0.25"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</row>
    <row r="189" spans="9:25" x14ac:dyDescent="0.25"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</row>
    <row r="190" spans="9:25" x14ac:dyDescent="0.25"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</row>
    <row r="191" spans="9:25" x14ac:dyDescent="0.25"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</row>
    <row r="192" spans="9:25" x14ac:dyDescent="0.25"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</row>
    <row r="193" spans="9:25" x14ac:dyDescent="0.25"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</row>
    <row r="194" spans="9:25" x14ac:dyDescent="0.25"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</row>
    <row r="195" spans="9:25" x14ac:dyDescent="0.25"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</row>
    <row r="196" spans="9:25" x14ac:dyDescent="0.25"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</row>
    <row r="197" spans="9:25" x14ac:dyDescent="0.25"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</row>
    <row r="198" spans="9:25" x14ac:dyDescent="0.25"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</row>
    <row r="199" spans="9:25" x14ac:dyDescent="0.25"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</row>
    <row r="200" spans="9:25" x14ac:dyDescent="0.25"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</row>
    <row r="201" spans="9:25" x14ac:dyDescent="0.25"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</row>
    <row r="202" spans="9:25" x14ac:dyDescent="0.25"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</row>
    <row r="203" spans="9:25" x14ac:dyDescent="0.25"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</row>
    <row r="204" spans="9:25" x14ac:dyDescent="0.25"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</row>
    <row r="205" spans="9:25" x14ac:dyDescent="0.25"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</row>
  </sheetData>
  <mergeCells count="5">
    <mergeCell ref="B1:H1"/>
    <mergeCell ref="B3:C3"/>
    <mergeCell ref="B6:E7"/>
    <mergeCell ref="B40:E41"/>
    <mergeCell ref="B47:E48"/>
  </mergeCells>
  <dataValidations disablePrompts="1" count="1">
    <dataValidation type="list" allowBlank="1" showInputMessage="1" showErrorMessage="1" sqref="C31 C14 C17 C21 C24 C28 C35 C38 C8:C11">
      <formula1>List_Variable_Sizes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GeneraSetting_App_Sens">
                <anchor moveWithCells="1" sizeWithCells="1">
                  <from>
                    <xdr:col>9</xdr:col>
                    <xdr:colOff>657225</xdr:colOff>
                    <xdr:row>9</xdr:row>
                    <xdr:rowOff>190500</xdr:rowOff>
                  </from>
                  <to>
                    <xdr:col>15</xdr:col>
                    <xdr:colOff>0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Y206"/>
  <sheetViews>
    <sheetView zoomScale="70" zoomScaleNormal="70" workbookViewId="0">
      <pane ySplit="5" topLeftCell="A6" activePane="bottomLeft" state="frozen"/>
      <selection pane="bottomLeft" activeCell="B17" sqref="B17"/>
    </sheetView>
  </sheetViews>
  <sheetFormatPr defaultRowHeight="15" x14ac:dyDescent="0.25"/>
  <cols>
    <col min="1" max="1" width="13.28515625" style="136" customWidth="1"/>
    <col min="2" max="2" width="65.7109375" style="124" customWidth="1"/>
    <col min="3" max="3" width="22.85546875" style="124" customWidth="1"/>
    <col min="4" max="4" width="17.42578125" style="124" customWidth="1"/>
    <col min="5" max="5" width="227.28515625" style="124" customWidth="1"/>
    <col min="6" max="6" width="34.85546875" style="124" customWidth="1"/>
    <col min="7" max="7" width="17.7109375" style="124" bestFit="1" customWidth="1"/>
    <col min="8" max="8" width="42" style="145" customWidth="1"/>
    <col min="9" max="9" width="19.7109375" style="145" customWidth="1"/>
    <col min="10" max="10" width="20.42578125" style="145" customWidth="1"/>
    <col min="11" max="25" width="9.140625" style="145"/>
    <col min="26" max="16384" width="9.140625" style="124"/>
  </cols>
  <sheetData>
    <row r="1" spans="1:25" ht="39" customHeight="1" x14ac:dyDescent="0.25">
      <c r="B1" s="112" t="s">
        <v>216</v>
      </c>
      <c r="C1" s="112"/>
      <c r="D1" s="112"/>
      <c r="E1" s="112"/>
      <c r="F1" s="112"/>
      <c r="G1" s="112"/>
      <c r="H1" s="112"/>
      <c r="I1" s="128"/>
      <c r="J1" s="128"/>
      <c r="K1" s="128"/>
      <c r="L1" s="128"/>
      <c r="M1" s="128"/>
      <c r="N1" s="128"/>
      <c r="O1" s="128"/>
      <c r="P1" s="128"/>
    </row>
    <row r="2" spans="1:25" ht="15" customHeight="1" x14ac:dyDescent="0.25"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</row>
    <row r="3" spans="1:25" ht="28.5" customHeight="1" x14ac:dyDescent="0.25">
      <c r="B3" s="111" t="s">
        <v>234</v>
      </c>
      <c r="C3" s="111"/>
      <c r="D3" s="172">
        <f>SUM(D6:D1535)</f>
        <v>82</v>
      </c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</row>
    <row r="4" spans="1:25" s="136" customFormat="1" ht="46.5" x14ac:dyDescent="0.25">
      <c r="B4" s="165"/>
      <c r="C4" s="165"/>
      <c r="D4" s="165"/>
      <c r="E4" s="165"/>
      <c r="F4" s="165"/>
      <c r="G4" s="165" t="s">
        <v>212</v>
      </c>
      <c r="H4" s="127"/>
      <c r="I4" s="165"/>
      <c r="J4" s="165"/>
      <c r="K4" s="165"/>
      <c r="L4" s="165"/>
      <c r="M4" s="165"/>
      <c r="N4" s="165"/>
      <c r="O4" s="165"/>
      <c r="P4" s="165"/>
      <c r="Q4" s="127"/>
      <c r="R4" s="127"/>
      <c r="S4" s="127"/>
      <c r="T4" s="127"/>
      <c r="U4" s="127"/>
      <c r="V4" s="127"/>
      <c r="W4" s="127"/>
      <c r="X4" s="127"/>
      <c r="Y4" s="127"/>
    </row>
    <row r="5" spans="1:25" s="136" customFormat="1" ht="45.75" customHeight="1" x14ac:dyDescent="0.25">
      <c r="A5" s="172" t="s">
        <v>231</v>
      </c>
      <c r="B5" s="173" t="s">
        <v>213</v>
      </c>
      <c r="C5" s="172" t="s">
        <v>232</v>
      </c>
      <c r="D5" s="172" t="s">
        <v>233</v>
      </c>
      <c r="E5" s="172" t="s">
        <v>214</v>
      </c>
      <c r="F5" s="174" t="s">
        <v>226</v>
      </c>
      <c r="G5" s="174" t="s">
        <v>238</v>
      </c>
      <c r="H5" s="174" t="s">
        <v>237</v>
      </c>
      <c r="K5" s="165"/>
      <c r="L5" s="165"/>
      <c r="M5" s="165"/>
      <c r="N5" s="165"/>
      <c r="O5" s="165"/>
      <c r="P5" s="127"/>
      <c r="Q5" s="127"/>
      <c r="R5" s="127"/>
      <c r="S5" s="127"/>
      <c r="T5" s="127"/>
      <c r="U5" s="127"/>
      <c r="V5" s="127"/>
      <c r="W5" s="127"/>
      <c r="X5" s="127"/>
    </row>
    <row r="6" spans="1:25" ht="23.25" x14ac:dyDescent="0.25">
      <c r="A6" s="136" t="str">
        <f>IF(G6&lt;&gt;"",MAX(A$1:A5)+1,"")</f>
        <v/>
      </c>
      <c r="B6" s="113" t="s">
        <v>76</v>
      </c>
      <c r="C6" s="113"/>
      <c r="D6" s="113"/>
      <c r="E6" s="113"/>
      <c r="F6" s="129"/>
      <c r="G6" s="126"/>
      <c r="H6" s="171" t="str">
        <f t="shared" ref="H6:H51" si="0">IF(G6&lt;&gt;"",DEC2HEX(G6,4),"")</f>
        <v/>
      </c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124"/>
      <c r="U6" s="124"/>
      <c r="V6" s="124"/>
      <c r="W6" s="124"/>
      <c r="X6" s="124"/>
      <c r="Y6" s="124"/>
    </row>
    <row r="7" spans="1:25" ht="23.25" x14ac:dyDescent="0.25">
      <c r="A7" s="136" t="str">
        <f>IF(G7&lt;&gt;"",MAX(A$1:A6)+1,"")</f>
        <v/>
      </c>
      <c r="B7" s="113"/>
      <c r="C7" s="113"/>
      <c r="D7" s="113"/>
      <c r="E7" s="113"/>
      <c r="F7" s="146"/>
      <c r="G7" s="137"/>
      <c r="H7" s="171" t="str">
        <f t="shared" si="0"/>
        <v/>
      </c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</row>
    <row r="8" spans="1:25" ht="23.25" x14ac:dyDescent="0.25">
      <c r="A8" s="136">
        <f>IF(G8&lt;&gt;"",MAX(A$1:A7)+1,"")</f>
        <v>1</v>
      </c>
      <c r="B8" s="139" t="s">
        <v>121</v>
      </c>
      <c r="C8" s="124" t="s">
        <v>235</v>
      </c>
      <c r="D8" s="124">
        <f t="shared" ref="D8:D53" si="1">IF(OR(C8="sint64",C8="uint64",C8="double64"), 8, IF(OR(C8="sint32",C8="uint32",C8="float32"),4,IF(OR(C8="sint16",C8="uint16"),2,  IF(OR(C8="sint8",C8="uint8"),1,""))))</f>
        <v>2</v>
      </c>
      <c r="E8" s="138" t="s">
        <v>77</v>
      </c>
      <c r="F8" s="166">
        <f>'Dynamic Torque Limit'!C4*'Setting Table'!$C$18/'Dynamic Torque Limit'!$C$42</f>
        <v>0.20681818181818179</v>
      </c>
      <c r="G8" s="137">
        <f t="shared" ref="G8:G15" si="2">ROUND(F8*32768,0)</f>
        <v>6777</v>
      </c>
      <c r="H8" s="171" t="str">
        <f t="shared" si="0"/>
        <v>1A79</v>
      </c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</row>
    <row r="9" spans="1:25" ht="23.25" x14ac:dyDescent="0.25">
      <c r="A9" s="136">
        <f>IF(G9&lt;&gt;"",MAX(A$1:A8)+1,"")</f>
        <v>2</v>
      </c>
      <c r="B9" s="139" t="s">
        <v>122</v>
      </c>
      <c r="C9" s="124" t="s">
        <v>235</v>
      </c>
      <c r="D9" s="124">
        <f t="shared" si="1"/>
        <v>2</v>
      </c>
      <c r="E9" s="138" t="s">
        <v>78</v>
      </c>
      <c r="F9" s="166">
        <f>'Dynamic Torque Limit'!C5*'Setting Table'!$C$18/'Dynamic Torque Limit'!$C$42</f>
        <v>0.36045454545454547</v>
      </c>
      <c r="G9" s="137">
        <f t="shared" si="2"/>
        <v>11811</v>
      </c>
      <c r="H9" s="171" t="str">
        <f t="shared" si="0"/>
        <v>2E23</v>
      </c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</row>
    <row r="10" spans="1:25" ht="23.25" x14ac:dyDescent="0.25">
      <c r="A10" s="136">
        <f>IF(G10&lt;&gt;"",MAX(A$1:A9)+1,"")</f>
        <v>3</v>
      </c>
      <c r="B10" s="139" t="s">
        <v>123</v>
      </c>
      <c r="C10" s="124" t="s">
        <v>235</v>
      </c>
      <c r="D10" s="124">
        <f t="shared" si="1"/>
        <v>2</v>
      </c>
      <c r="E10" s="138" t="s">
        <v>79</v>
      </c>
      <c r="F10" s="166">
        <f>'Dynamic Torque Limit'!C6*'Setting Table'!$C$18/'Dynamic Torque Limit'!$C$42</f>
        <v>0.5968181818181818</v>
      </c>
      <c r="G10" s="137">
        <f t="shared" si="2"/>
        <v>19557</v>
      </c>
      <c r="H10" s="171" t="str">
        <f t="shared" si="0"/>
        <v>4C65</v>
      </c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/>
      <c r="W10" s="124"/>
      <c r="X10" s="124"/>
      <c r="Y10" s="124"/>
    </row>
    <row r="11" spans="1:25" ht="23.25" x14ac:dyDescent="0.25">
      <c r="A11" s="136">
        <f>IF(G11&lt;&gt;"",MAX(A$1:A10)+1,"")</f>
        <v>4</v>
      </c>
      <c r="B11" s="139" t="s">
        <v>124</v>
      </c>
      <c r="C11" s="124" t="s">
        <v>235</v>
      </c>
      <c r="D11" s="124">
        <f t="shared" si="1"/>
        <v>2</v>
      </c>
      <c r="E11" s="138" t="s">
        <v>80</v>
      </c>
      <c r="F11" s="166">
        <f>'Dynamic Torque Limit'!C7*'Setting Table'!$C$18/'Dynamic Torque Limit'!$C$42</f>
        <v>0.71499999999999997</v>
      </c>
      <c r="G11" s="137">
        <f t="shared" si="2"/>
        <v>23429</v>
      </c>
      <c r="H11" s="171" t="str">
        <f t="shared" si="0"/>
        <v>5B85</v>
      </c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</row>
    <row r="12" spans="1:25" ht="23.25" x14ac:dyDescent="0.25">
      <c r="A12" s="136">
        <f>IF(G12&lt;&gt;"",MAX(A$1:A11)+1,"")</f>
        <v>5</v>
      </c>
      <c r="B12" s="139" t="s">
        <v>125</v>
      </c>
      <c r="C12" s="124" t="s">
        <v>235</v>
      </c>
      <c r="D12" s="124">
        <f t="shared" si="1"/>
        <v>2</v>
      </c>
      <c r="E12" s="138" t="s">
        <v>81</v>
      </c>
      <c r="F12" s="166">
        <f>'Dynamic Torque Limit'!C8*'Setting Table'!$C$18/'Dynamic Torque Limit'!$C$42</f>
        <v>0.83318181818181813</v>
      </c>
      <c r="G12" s="137">
        <f t="shared" si="2"/>
        <v>27302</v>
      </c>
      <c r="H12" s="171" t="str">
        <f t="shared" si="0"/>
        <v>6AA6</v>
      </c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</row>
    <row r="13" spans="1:25" ht="23.25" x14ac:dyDescent="0.25">
      <c r="A13" s="136">
        <f>IF(G13&lt;&gt;"",MAX(A$1:A12)+1,"")</f>
        <v>6</v>
      </c>
      <c r="B13" s="139" t="s">
        <v>126</v>
      </c>
      <c r="C13" s="124" t="s">
        <v>235</v>
      </c>
      <c r="D13" s="124">
        <f t="shared" si="1"/>
        <v>2</v>
      </c>
      <c r="E13" s="138" t="s">
        <v>82</v>
      </c>
      <c r="F13" s="166">
        <f>'Dynamic Torque Limit'!C9*'Setting Table'!$C$18/'Dynamic Torque Limit'!$C$42</f>
        <v>0</v>
      </c>
      <c r="G13" s="137">
        <f t="shared" si="2"/>
        <v>0</v>
      </c>
      <c r="H13" s="171" t="str">
        <f t="shared" si="0"/>
        <v>0000</v>
      </c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</row>
    <row r="14" spans="1:25" ht="23.25" x14ac:dyDescent="0.25">
      <c r="A14" s="136">
        <f>IF(G14&lt;&gt;"",MAX(A$1:A13)+1,"")</f>
        <v>7</v>
      </c>
      <c r="B14" s="139" t="s">
        <v>127</v>
      </c>
      <c r="C14" s="124" t="s">
        <v>235</v>
      </c>
      <c r="D14" s="124">
        <f t="shared" si="1"/>
        <v>2</v>
      </c>
      <c r="E14" s="138" t="s">
        <v>83</v>
      </c>
      <c r="F14" s="166">
        <f>'Dynamic Torque Limit'!C10*'Setting Table'!$C$18/'Dynamic Torque Limit'!$C$42</f>
        <v>0</v>
      </c>
      <c r="G14" s="137">
        <f t="shared" si="2"/>
        <v>0</v>
      </c>
      <c r="H14" s="171" t="str">
        <f t="shared" si="0"/>
        <v>0000</v>
      </c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</row>
    <row r="15" spans="1:25" ht="23.25" x14ac:dyDescent="0.25">
      <c r="A15" s="136">
        <f>IF(G15&lt;&gt;"",MAX(A$1:A14)+1,"")</f>
        <v>8</v>
      </c>
      <c r="B15" s="139" t="s">
        <v>128</v>
      </c>
      <c r="C15" s="124" t="s">
        <v>235</v>
      </c>
      <c r="D15" s="124">
        <f t="shared" si="1"/>
        <v>2</v>
      </c>
      <c r="E15" s="138" t="s">
        <v>84</v>
      </c>
      <c r="F15" s="166">
        <f>'Dynamic Torque Limit'!C11*'Setting Table'!$C$18/'Dynamic Torque Limit'!$C$42</f>
        <v>0</v>
      </c>
      <c r="G15" s="137">
        <f t="shared" si="2"/>
        <v>0</v>
      </c>
      <c r="H15" s="171" t="str">
        <f t="shared" si="0"/>
        <v>0000</v>
      </c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</row>
    <row r="16" spans="1:25" ht="23.25" x14ac:dyDescent="0.25">
      <c r="A16" s="136" t="str">
        <f>IF(G16&lt;&gt;"",MAX(A$1:A15)+1,"")</f>
        <v/>
      </c>
      <c r="B16" s="136"/>
      <c r="C16" s="136"/>
      <c r="D16" s="124" t="str">
        <f t="shared" si="1"/>
        <v/>
      </c>
      <c r="F16" s="146"/>
      <c r="G16" s="168"/>
      <c r="H16" s="171" t="str">
        <f t="shared" si="0"/>
        <v/>
      </c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</row>
    <row r="17" spans="1:25" ht="23.25" x14ac:dyDescent="0.25">
      <c r="A17" s="136">
        <f>IF(G17&lt;&gt;"",MAX(A$1:A16)+1,"")</f>
        <v>9</v>
      </c>
      <c r="B17" s="139" t="s">
        <v>129</v>
      </c>
      <c r="C17" s="124" t="s">
        <v>235</v>
      </c>
      <c r="D17" s="124">
        <f t="shared" si="1"/>
        <v>2</v>
      </c>
      <c r="E17" s="138" t="s">
        <v>85</v>
      </c>
      <c r="F17" s="142">
        <f>'Dynamic Torque Limit'!C14/('Dynamic Torque Limit'!$C$43/9.81*100*'Setting Table'!$C$18)</f>
        <v>0.10900000000000001</v>
      </c>
      <c r="G17" s="137">
        <f t="shared" ref="G17:G24" si="3">ROUND(F17*32768,0)</f>
        <v>3572</v>
      </c>
      <c r="H17" s="171" t="str">
        <f t="shared" si="0"/>
        <v>0DF4</v>
      </c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</row>
    <row r="18" spans="1:25" ht="23.25" x14ac:dyDescent="0.25">
      <c r="A18" s="136">
        <f>IF(G18&lt;&gt;"",MAX(A$1:A17)+1,"")</f>
        <v>10</v>
      </c>
      <c r="B18" s="139" t="s">
        <v>130</v>
      </c>
      <c r="C18" s="124" t="s">
        <v>235</v>
      </c>
      <c r="D18" s="124">
        <f t="shared" si="1"/>
        <v>2</v>
      </c>
      <c r="E18" s="138" t="s">
        <v>86</v>
      </c>
      <c r="F18" s="142">
        <f>'Dynamic Torque Limit'!C15/('Dynamic Torque Limit'!$C$43/9.81*100*'Setting Table'!$C$18)</f>
        <v>0.10900000000000001</v>
      </c>
      <c r="G18" s="137">
        <f t="shared" si="3"/>
        <v>3572</v>
      </c>
      <c r="H18" s="171" t="str">
        <f t="shared" si="0"/>
        <v>0DF4</v>
      </c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</row>
    <row r="19" spans="1:25" ht="23.25" x14ac:dyDescent="0.25">
      <c r="A19" s="136">
        <f>IF(G19&lt;&gt;"",MAX(A$1:A18)+1,"")</f>
        <v>11</v>
      </c>
      <c r="B19" s="139" t="s">
        <v>131</v>
      </c>
      <c r="C19" s="124" t="s">
        <v>235</v>
      </c>
      <c r="D19" s="124">
        <f t="shared" si="1"/>
        <v>2</v>
      </c>
      <c r="E19" s="138" t="s">
        <v>87</v>
      </c>
      <c r="F19" s="142">
        <f>'Dynamic Torque Limit'!C16/('Dynamic Torque Limit'!$C$43/9.81*100*'Setting Table'!$C$18)</f>
        <v>7.7557692307692327E-2</v>
      </c>
      <c r="G19" s="137">
        <f t="shared" si="3"/>
        <v>2541</v>
      </c>
      <c r="H19" s="171" t="str">
        <f t="shared" si="0"/>
        <v>09ED</v>
      </c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</row>
    <row r="20" spans="1:25" ht="23.25" x14ac:dyDescent="0.25">
      <c r="A20" s="136">
        <f>IF(G20&lt;&gt;"",MAX(A$1:A19)+1,"")</f>
        <v>12</v>
      </c>
      <c r="B20" s="139" t="s">
        <v>132</v>
      </c>
      <c r="C20" s="124" t="s">
        <v>235</v>
      </c>
      <c r="D20" s="124">
        <f t="shared" si="1"/>
        <v>2</v>
      </c>
      <c r="E20" s="138" t="s">
        <v>88</v>
      </c>
      <c r="F20" s="142">
        <f>'Dynamic Torque Limit'!C17/('Dynamic Torque Limit'!$C$43/9.81*100*'Setting Table'!$C$18)</f>
        <v>7.0221153846153864E-2</v>
      </c>
      <c r="G20" s="137">
        <f t="shared" si="3"/>
        <v>2301</v>
      </c>
      <c r="H20" s="171" t="str">
        <f t="shared" si="0"/>
        <v>08FD</v>
      </c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</row>
    <row r="21" spans="1:25" ht="23.25" x14ac:dyDescent="0.25">
      <c r="A21" s="136">
        <f>IF(G21&lt;&gt;"",MAX(A$1:A20)+1,"")</f>
        <v>13</v>
      </c>
      <c r="B21" s="139" t="s">
        <v>133</v>
      </c>
      <c r="C21" s="124" t="s">
        <v>235</v>
      </c>
      <c r="D21" s="124">
        <f t="shared" si="1"/>
        <v>2</v>
      </c>
      <c r="E21" s="138" t="s">
        <v>89</v>
      </c>
      <c r="F21" s="142">
        <f>'Dynamic Torque Limit'!C18/('Dynamic Torque Limit'!$C$43/9.81*100*'Setting Table'!$C$18)</f>
        <v>8.5942307692307707E-2</v>
      </c>
      <c r="G21" s="137">
        <f t="shared" si="3"/>
        <v>2816</v>
      </c>
      <c r="H21" s="171" t="str">
        <f t="shared" si="0"/>
        <v>0B00</v>
      </c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</row>
    <row r="22" spans="1:25" ht="23.25" x14ac:dyDescent="0.25">
      <c r="A22" s="136">
        <f>IF(G22&lt;&gt;"",MAX(A$1:A21)+1,"")</f>
        <v>14</v>
      </c>
      <c r="B22" s="139" t="s">
        <v>134</v>
      </c>
      <c r="C22" s="124" t="s">
        <v>235</v>
      </c>
      <c r="D22" s="124">
        <f t="shared" si="1"/>
        <v>2</v>
      </c>
      <c r="E22" s="138" t="s">
        <v>90</v>
      </c>
      <c r="F22" s="142">
        <f>'Dynamic Torque Limit'!C19/('Dynamic Torque Limit'!$C$43/9.81*100*'Setting Table'!$C$18)</f>
        <v>0</v>
      </c>
      <c r="G22" s="137">
        <f t="shared" si="3"/>
        <v>0</v>
      </c>
      <c r="H22" s="171" t="str">
        <f t="shared" si="0"/>
        <v>0000</v>
      </c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</row>
    <row r="23" spans="1:25" ht="23.25" x14ac:dyDescent="0.25">
      <c r="A23" s="136">
        <f>IF(G23&lt;&gt;"",MAX(A$1:A22)+1,"")</f>
        <v>15</v>
      </c>
      <c r="B23" s="139" t="s">
        <v>135</v>
      </c>
      <c r="C23" s="124" t="s">
        <v>235</v>
      </c>
      <c r="D23" s="124">
        <f t="shared" si="1"/>
        <v>2</v>
      </c>
      <c r="E23" s="138" t="s">
        <v>91</v>
      </c>
      <c r="F23" s="142">
        <f>'Dynamic Torque Limit'!C20/('Dynamic Torque Limit'!$C$43/9.81*100*'Setting Table'!$C$18)</f>
        <v>0</v>
      </c>
      <c r="G23" s="137">
        <f t="shared" si="3"/>
        <v>0</v>
      </c>
      <c r="H23" s="171" t="str">
        <f t="shared" si="0"/>
        <v>0000</v>
      </c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</row>
    <row r="24" spans="1:25" ht="23.25" x14ac:dyDescent="0.25">
      <c r="A24" s="136">
        <f>IF(G24&lt;&gt;"",MAX(A$1:A23)+1,"")</f>
        <v>16</v>
      </c>
      <c r="B24" s="139" t="s">
        <v>136</v>
      </c>
      <c r="C24" s="124" t="s">
        <v>235</v>
      </c>
      <c r="D24" s="124">
        <f t="shared" si="1"/>
        <v>2</v>
      </c>
      <c r="E24" s="138" t="s">
        <v>92</v>
      </c>
      <c r="F24" s="142">
        <f>'Dynamic Torque Limit'!C21/('Dynamic Torque Limit'!$C$43/9.81*100*'Setting Table'!$C$18)</f>
        <v>0</v>
      </c>
      <c r="G24" s="137">
        <f t="shared" si="3"/>
        <v>0</v>
      </c>
      <c r="H24" s="171" t="str">
        <f t="shared" si="0"/>
        <v>0000</v>
      </c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</row>
    <row r="25" spans="1:25" ht="23.25" x14ac:dyDescent="0.25">
      <c r="A25" s="136" t="str">
        <f>IF(G25&lt;&gt;"",MAX(A$1:A24)+1,"")</f>
        <v/>
      </c>
      <c r="B25" s="139"/>
      <c r="C25" s="139"/>
      <c r="D25" s="124" t="str">
        <f t="shared" si="1"/>
        <v/>
      </c>
      <c r="E25" s="141"/>
      <c r="F25" s="142"/>
      <c r="G25" s="137"/>
      <c r="H25" s="171" t="str">
        <f t="shared" si="0"/>
        <v/>
      </c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</row>
    <row r="26" spans="1:25" ht="23.25" x14ac:dyDescent="0.25">
      <c r="A26" s="136">
        <f>IF(G26&lt;&gt;"",MAX(A$1:A25)+1,"")</f>
        <v>17</v>
      </c>
      <c r="B26" s="139" t="s">
        <v>159</v>
      </c>
      <c r="C26" s="124" t="s">
        <v>235</v>
      </c>
      <c r="D26" s="124">
        <f t="shared" si="1"/>
        <v>2</v>
      </c>
      <c r="E26" s="138" t="s">
        <v>167</v>
      </c>
      <c r="F26" s="142">
        <f>'Dynamic Torque Limit'!C24/('Dynamic Torque Limit'!$C$43/9.81*100*'Setting Table'!$C$18)</f>
        <v>0.10900000000000001</v>
      </c>
      <c r="G26" s="137">
        <f t="shared" ref="G26:G33" si="4">ROUND(F26*32768,0)</f>
        <v>3572</v>
      </c>
      <c r="H26" s="171" t="str">
        <f t="shared" si="0"/>
        <v>0DF4</v>
      </c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</row>
    <row r="27" spans="1:25" ht="23.25" x14ac:dyDescent="0.25">
      <c r="A27" s="136">
        <f>IF(G27&lt;&gt;"",MAX(A$1:A26)+1,"")</f>
        <v>18</v>
      </c>
      <c r="B27" s="139" t="s">
        <v>160</v>
      </c>
      <c r="C27" s="124" t="s">
        <v>235</v>
      </c>
      <c r="D27" s="124">
        <f t="shared" si="1"/>
        <v>2</v>
      </c>
      <c r="E27" s="138" t="s">
        <v>168</v>
      </c>
      <c r="F27" s="142">
        <f>'Dynamic Torque Limit'!C25/('Dynamic Torque Limit'!$C$43/9.81*100*'Setting Table'!$C$18)</f>
        <v>0.10900000000000001</v>
      </c>
      <c r="G27" s="137">
        <f t="shared" si="4"/>
        <v>3572</v>
      </c>
      <c r="H27" s="171" t="str">
        <f t="shared" si="0"/>
        <v>0DF4</v>
      </c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</row>
    <row r="28" spans="1:25" ht="23.25" x14ac:dyDescent="0.25">
      <c r="A28" s="136">
        <f>IF(G28&lt;&gt;"",MAX(A$1:A27)+1,"")</f>
        <v>19</v>
      </c>
      <c r="B28" s="139" t="s">
        <v>161</v>
      </c>
      <c r="C28" s="124" t="s">
        <v>235</v>
      </c>
      <c r="D28" s="124">
        <f t="shared" si="1"/>
        <v>2</v>
      </c>
      <c r="E28" s="138" t="s">
        <v>169</v>
      </c>
      <c r="F28" s="142">
        <f>'Dynamic Torque Limit'!C26/('Dynamic Torque Limit'!$C$43/9.81*100*'Setting Table'!$C$18)</f>
        <v>7.7557692307692327E-2</v>
      </c>
      <c r="G28" s="137">
        <f t="shared" si="4"/>
        <v>2541</v>
      </c>
      <c r="H28" s="171" t="str">
        <f t="shared" si="0"/>
        <v>09ED</v>
      </c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</row>
    <row r="29" spans="1:25" ht="23.25" x14ac:dyDescent="0.25">
      <c r="A29" s="136">
        <f>IF(G29&lt;&gt;"",MAX(A$1:A28)+1,"")</f>
        <v>20</v>
      </c>
      <c r="B29" s="139" t="s">
        <v>162</v>
      </c>
      <c r="C29" s="124" t="s">
        <v>235</v>
      </c>
      <c r="D29" s="124">
        <f t="shared" si="1"/>
        <v>2</v>
      </c>
      <c r="E29" s="138" t="s">
        <v>170</v>
      </c>
      <c r="F29" s="142">
        <f>'Dynamic Torque Limit'!C27/('Dynamic Torque Limit'!$C$43/9.81*100*'Setting Table'!$C$18)</f>
        <v>7.0221153846153864E-2</v>
      </c>
      <c r="G29" s="137">
        <f t="shared" si="4"/>
        <v>2301</v>
      </c>
      <c r="H29" s="171" t="str">
        <f t="shared" si="0"/>
        <v>08FD</v>
      </c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</row>
    <row r="30" spans="1:25" ht="23.25" x14ac:dyDescent="0.25">
      <c r="A30" s="136">
        <f>IF(G30&lt;&gt;"",MAX(A$1:A29)+1,"")</f>
        <v>21</v>
      </c>
      <c r="B30" s="139" t="s">
        <v>163</v>
      </c>
      <c r="C30" s="124" t="s">
        <v>235</v>
      </c>
      <c r="D30" s="124">
        <f t="shared" si="1"/>
        <v>2</v>
      </c>
      <c r="E30" s="138" t="s">
        <v>171</v>
      </c>
      <c r="F30" s="142">
        <f>'Dynamic Torque Limit'!C28/('Dynamic Torque Limit'!$C$43/9.81*100*'Setting Table'!$C$18)</f>
        <v>8.5942307692307707E-2</v>
      </c>
      <c r="G30" s="137">
        <f t="shared" si="4"/>
        <v>2816</v>
      </c>
      <c r="H30" s="171" t="str">
        <f t="shared" si="0"/>
        <v>0B00</v>
      </c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</row>
    <row r="31" spans="1:25" ht="23.25" x14ac:dyDescent="0.25">
      <c r="A31" s="136">
        <f>IF(G31&lt;&gt;"",MAX(A$1:A30)+1,"")</f>
        <v>22</v>
      </c>
      <c r="B31" s="139" t="s">
        <v>164</v>
      </c>
      <c r="C31" s="124" t="s">
        <v>235</v>
      </c>
      <c r="D31" s="124">
        <f t="shared" si="1"/>
        <v>2</v>
      </c>
      <c r="E31" s="138" t="s">
        <v>172</v>
      </c>
      <c r="F31" s="142">
        <f>'Dynamic Torque Limit'!C29/('Dynamic Torque Limit'!$C$43/9.81*100*'Setting Table'!$C$18)</f>
        <v>0</v>
      </c>
      <c r="G31" s="137">
        <f t="shared" si="4"/>
        <v>0</v>
      </c>
      <c r="H31" s="171" t="str">
        <f t="shared" si="0"/>
        <v>0000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</row>
    <row r="32" spans="1:25" ht="23.25" x14ac:dyDescent="0.25">
      <c r="A32" s="136">
        <f>IF(G32&lt;&gt;"",MAX(A$1:A31)+1,"")</f>
        <v>23</v>
      </c>
      <c r="B32" s="139" t="s">
        <v>165</v>
      </c>
      <c r="C32" s="124" t="s">
        <v>235</v>
      </c>
      <c r="D32" s="124">
        <f t="shared" si="1"/>
        <v>2</v>
      </c>
      <c r="E32" s="138" t="s">
        <v>173</v>
      </c>
      <c r="F32" s="142">
        <f>'Dynamic Torque Limit'!C30/('Dynamic Torque Limit'!$C$43/9.81*100*'Setting Table'!$C$18)</f>
        <v>0</v>
      </c>
      <c r="G32" s="137">
        <f t="shared" si="4"/>
        <v>0</v>
      </c>
      <c r="H32" s="171" t="str">
        <f t="shared" si="0"/>
        <v>0000</v>
      </c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</row>
    <row r="33" spans="1:25" ht="23.25" x14ac:dyDescent="0.25">
      <c r="A33" s="136">
        <f>IF(G33&lt;&gt;"",MAX(A$1:A32)+1,"")</f>
        <v>24</v>
      </c>
      <c r="B33" s="139" t="s">
        <v>166</v>
      </c>
      <c r="C33" s="124" t="s">
        <v>235</v>
      </c>
      <c r="D33" s="124">
        <f t="shared" si="1"/>
        <v>2</v>
      </c>
      <c r="E33" s="138" t="s">
        <v>174</v>
      </c>
      <c r="F33" s="142">
        <f>'Dynamic Torque Limit'!C31/('Dynamic Torque Limit'!$C$43/9.81*100*'Setting Table'!$C$18)</f>
        <v>0</v>
      </c>
      <c r="G33" s="137">
        <f t="shared" si="4"/>
        <v>0</v>
      </c>
      <c r="H33" s="171" t="str">
        <f t="shared" si="0"/>
        <v>0000</v>
      </c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</row>
    <row r="34" spans="1:25" ht="23.25" x14ac:dyDescent="0.25">
      <c r="A34" s="136" t="str">
        <f>IF(G34&lt;&gt;"",MAX(A$1:A33)+1,"")</f>
        <v/>
      </c>
      <c r="B34" s="139"/>
      <c r="C34" s="139"/>
      <c r="D34" s="124" t="str">
        <f t="shared" si="1"/>
        <v/>
      </c>
      <c r="E34" s="141"/>
      <c r="F34" s="142"/>
      <c r="G34" s="137"/>
      <c r="H34" s="171" t="str">
        <f t="shared" si="0"/>
        <v/>
      </c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</row>
    <row r="35" spans="1:25" ht="23.25" x14ac:dyDescent="0.25">
      <c r="A35" s="136">
        <f>IF(G35&lt;&gt;"",MAX(A$1:A34)+1,"")</f>
        <v>25</v>
      </c>
      <c r="B35" s="139" t="s">
        <v>137</v>
      </c>
      <c r="C35" s="124" t="s">
        <v>235</v>
      </c>
      <c r="D35" s="124">
        <f t="shared" si="1"/>
        <v>2</v>
      </c>
      <c r="E35" s="167">
        <v>0</v>
      </c>
      <c r="F35" s="142">
        <f>0</f>
        <v>0</v>
      </c>
      <c r="G35" s="137">
        <v>0</v>
      </c>
      <c r="H35" s="171" t="str">
        <f t="shared" si="0"/>
        <v>0000</v>
      </c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</row>
    <row r="36" spans="1:25" ht="23.25" x14ac:dyDescent="0.25">
      <c r="A36" s="136">
        <f>IF(G36&lt;&gt;"",MAX(A$1:A35)+1,"")</f>
        <v>26</v>
      </c>
      <c r="B36" s="139" t="s">
        <v>138</v>
      </c>
      <c r="C36" s="124" t="s">
        <v>235</v>
      </c>
      <c r="D36" s="124">
        <f t="shared" si="1"/>
        <v>2</v>
      </c>
      <c r="E36" s="138" t="s">
        <v>93</v>
      </c>
      <c r="F36" s="142">
        <f>IF('Dynamic Torque Limit'!C5-'Dynamic Torque Limit'!C4&gt;0,('Dynamic Torque Limit'!C15-'Dynamic Torque Limit'!C14)/('Dynamic Torque Limit'!C5-'Dynamic Torque Limit'!C4)*'Dynamic Torque Limit'!$C$42/('Dynamic Torque Limit'!$C$43/9.81*100*('Setting Table'!$C$18^2)),0)</f>
        <v>0</v>
      </c>
      <c r="G36" s="137">
        <f t="shared" ref="G36:G42" si="5">ROUND(F36*32768,0)</f>
        <v>0</v>
      </c>
      <c r="H36" s="171" t="str">
        <f t="shared" si="0"/>
        <v>0000</v>
      </c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</row>
    <row r="37" spans="1:25" ht="23.25" x14ac:dyDescent="0.25">
      <c r="A37" s="136">
        <f>IF(G37&lt;&gt;"",MAX(A$1:A36)+1,"")</f>
        <v>27</v>
      </c>
      <c r="B37" s="139" t="s">
        <v>139</v>
      </c>
      <c r="C37" s="124" t="s">
        <v>235</v>
      </c>
      <c r="D37" s="124">
        <f t="shared" si="1"/>
        <v>2</v>
      </c>
      <c r="E37" s="138" t="s">
        <v>94</v>
      </c>
      <c r="F37" s="142">
        <f>IF('Dynamic Torque Limit'!C6-'Dynamic Torque Limit'!C5&gt;0,('Dynamic Torque Limit'!C16-'Dynamic Torque Limit'!C15)/('Dynamic Torque Limit'!C6-'Dynamic Torque Limit'!C5)*'Dynamic Torque Limit'!$C$42/('Dynamic Torque Limit'!$C$43/9.81*100*('Setting Table'!$C$18^2)),0)</f>
        <v>-0.13302514792899411</v>
      </c>
      <c r="G37" s="137">
        <f t="shared" si="5"/>
        <v>-4359</v>
      </c>
      <c r="H37" s="171" t="str">
        <f t="shared" si="0"/>
        <v>FFFFFFEEF9</v>
      </c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</row>
    <row r="38" spans="1:25" ht="23.25" x14ac:dyDescent="0.25">
      <c r="A38" s="136">
        <f>IF(G38&lt;&gt;"",MAX(A$1:A37)+1,"")</f>
        <v>28</v>
      </c>
      <c r="B38" s="139" t="s">
        <v>140</v>
      </c>
      <c r="C38" s="124" t="s">
        <v>235</v>
      </c>
      <c r="D38" s="124">
        <f t="shared" si="1"/>
        <v>2</v>
      </c>
      <c r="E38" s="138" t="s">
        <v>95</v>
      </c>
      <c r="F38" s="142">
        <f>IF('Dynamic Torque Limit'!C7-'Dynamic Torque Limit'!C6&gt;0,('Dynamic Torque Limit'!C17-'Dynamic Torque Limit'!C16)/('Dynamic Torque Limit'!C7-'Dynamic Torque Limit'!C6)*'Dynamic Torque Limit'!$C$42/('Dynamic Torque Limit'!$C$43/9.81*100*('Setting Table'!$C$18^2)),0)</f>
        <v>-6.2078402366863933E-2</v>
      </c>
      <c r="G38" s="137">
        <f t="shared" si="5"/>
        <v>-2034</v>
      </c>
      <c r="H38" s="171" t="str">
        <f t="shared" si="0"/>
        <v>FFFFFFF80E</v>
      </c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</row>
    <row r="39" spans="1:25" ht="23.25" x14ac:dyDescent="0.25">
      <c r="A39" s="136">
        <f>IF(G39&lt;&gt;"",MAX(A$1:A38)+1,"")</f>
        <v>29</v>
      </c>
      <c r="B39" s="139" t="s">
        <v>141</v>
      </c>
      <c r="C39" s="124" t="s">
        <v>235</v>
      </c>
      <c r="D39" s="124">
        <f t="shared" si="1"/>
        <v>2</v>
      </c>
      <c r="E39" s="138" t="s">
        <v>96</v>
      </c>
      <c r="F39" s="142">
        <f>IF('Dynamic Torque Limit'!C8-'Dynamic Torque Limit'!C7&gt;0,('Dynamic Torque Limit'!C18-'Dynamic Torque Limit'!C17)/('Dynamic Torque Limit'!C8-'Dynamic Torque Limit'!C7)*'Dynamic Torque Limit'!$C$42/('Dynamic Torque Limit'!$C$43/9.81*100*('Setting Table'!$C$18^2)),0)</f>
        <v>0.13302514792899411</v>
      </c>
      <c r="G39" s="137">
        <f t="shared" si="5"/>
        <v>4359</v>
      </c>
      <c r="H39" s="171" t="str">
        <f t="shared" si="0"/>
        <v>1107</v>
      </c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124"/>
      <c r="V39" s="124"/>
      <c r="W39" s="124"/>
      <c r="X39" s="124"/>
      <c r="Y39" s="124"/>
    </row>
    <row r="40" spans="1:25" ht="23.25" x14ac:dyDescent="0.25">
      <c r="A40" s="136">
        <f>IF(G40&lt;&gt;"",MAX(A$1:A39)+1,"")</f>
        <v>30</v>
      </c>
      <c r="B40" s="139" t="s">
        <v>142</v>
      </c>
      <c r="C40" s="124" t="s">
        <v>235</v>
      </c>
      <c r="D40" s="124">
        <f t="shared" si="1"/>
        <v>2</v>
      </c>
      <c r="E40" s="138" t="s">
        <v>97</v>
      </c>
      <c r="F40" s="142">
        <f>IF('Dynamic Torque Limit'!C9-'Dynamic Torque Limit'!C8&gt;0,('Dynamic Torque Limit'!C19-'Dynamic Torque Limit'!C18)/('Dynamic Torque Limit'!C9-'Dynamic Torque Limit'!C8)*'Dynamic Torque Limit'!$C$42/('Dynamic Torque Limit'!$C$43/9.81*100*('Setting Table'!$C$18^2)),0)</f>
        <v>0</v>
      </c>
      <c r="G40" s="137">
        <f t="shared" si="5"/>
        <v>0</v>
      </c>
      <c r="H40" s="171" t="str">
        <f t="shared" si="0"/>
        <v>0000</v>
      </c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4"/>
    </row>
    <row r="41" spans="1:25" ht="23.25" x14ac:dyDescent="0.25">
      <c r="A41" s="136">
        <f>IF(G41&lt;&gt;"",MAX(A$1:A40)+1,"")</f>
        <v>31</v>
      </c>
      <c r="B41" s="139" t="s">
        <v>143</v>
      </c>
      <c r="C41" s="124" t="s">
        <v>235</v>
      </c>
      <c r="D41" s="124">
        <f t="shared" si="1"/>
        <v>2</v>
      </c>
      <c r="E41" s="138" t="s">
        <v>98</v>
      </c>
      <c r="F41" s="142">
        <f>IF('Dynamic Torque Limit'!C10-'Dynamic Torque Limit'!C9&gt;0,('Dynamic Torque Limit'!C20-'Dynamic Torque Limit'!C19)/('Dynamic Torque Limit'!C10-'Dynamic Torque Limit'!C9)*'Dynamic Torque Limit'!$C$42/('Dynamic Torque Limit'!$C$43/9.81*100*('Setting Table'!$C$18^2)),0)</f>
        <v>0</v>
      </c>
      <c r="G41" s="137">
        <f t="shared" si="5"/>
        <v>0</v>
      </c>
      <c r="H41" s="171" t="str">
        <f t="shared" si="0"/>
        <v>0000</v>
      </c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</row>
    <row r="42" spans="1:25" ht="23.25" x14ac:dyDescent="0.25">
      <c r="A42" s="136">
        <f>IF(G42&lt;&gt;"",MAX(A$1:A41)+1,"")</f>
        <v>32</v>
      </c>
      <c r="B42" s="139" t="s">
        <v>144</v>
      </c>
      <c r="C42" s="124" t="s">
        <v>235</v>
      </c>
      <c r="D42" s="124">
        <f t="shared" si="1"/>
        <v>2</v>
      </c>
      <c r="E42" s="138" t="s">
        <v>99</v>
      </c>
      <c r="F42" s="142">
        <f>IF('Dynamic Torque Limit'!C11-'Dynamic Torque Limit'!C10&gt;0,('Dynamic Torque Limit'!C21-'Dynamic Torque Limit'!C20)/('Dynamic Torque Limit'!C11-'Dynamic Torque Limit'!C10)*'Dynamic Torque Limit'!$C$42/('Dynamic Torque Limit'!$C$43/9.81*100*('Setting Table'!$C$18^2)),0)</f>
        <v>0</v>
      </c>
      <c r="G42" s="137">
        <f t="shared" si="5"/>
        <v>0</v>
      </c>
      <c r="H42" s="171" t="str">
        <f t="shared" si="0"/>
        <v>0000</v>
      </c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124"/>
      <c r="V42" s="124"/>
      <c r="W42" s="124"/>
      <c r="X42" s="124"/>
      <c r="Y42" s="124"/>
    </row>
    <row r="43" spans="1:25" ht="23.25" x14ac:dyDescent="0.25">
      <c r="A43" s="136" t="str">
        <f>IF(G43&lt;&gt;"",MAX(A$1:A42)+1,"")</f>
        <v/>
      </c>
      <c r="B43" s="139"/>
      <c r="C43" s="139"/>
      <c r="D43" s="124" t="str">
        <f t="shared" si="1"/>
        <v/>
      </c>
      <c r="E43" s="141"/>
      <c r="F43" s="142"/>
      <c r="G43" s="137"/>
      <c r="H43" s="171" t="str">
        <f t="shared" si="0"/>
        <v/>
      </c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</row>
    <row r="44" spans="1:25" ht="23.25" x14ac:dyDescent="0.25">
      <c r="A44" s="136">
        <f>IF(G44&lt;&gt;"",MAX(A$1:A43)+1,"")</f>
        <v>33</v>
      </c>
      <c r="B44" s="139" t="s">
        <v>175</v>
      </c>
      <c r="C44" s="124" t="s">
        <v>235</v>
      </c>
      <c r="D44" s="124">
        <f t="shared" si="1"/>
        <v>2</v>
      </c>
      <c r="E44" s="167">
        <v>0</v>
      </c>
      <c r="F44" s="142">
        <f>0</f>
        <v>0</v>
      </c>
      <c r="G44" s="137">
        <v>0</v>
      </c>
      <c r="H44" s="171" t="str">
        <f t="shared" si="0"/>
        <v>0000</v>
      </c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24"/>
      <c r="V44" s="124"/>
      <c r="W44" s="124"/>
      <c r="X44" s="124"/>
      <c r="Y44" s="124"/>
    </row>
    <row r="45" spans="1:25" ht="23.25" x14ac:dyDescent="0.25">
      <c r="A45" s="136">
        <f>IF(G45&lt;&gt;"",MAX(A$1:A44)+1,"")</f>
        <v>34</v>
      </c>
      <c r="B45" s="139" t="s">
        <v>176</v>
      </c>
      <c r="C45" s="124" t="s">
        <v>235</v>
      </c>
      <c r="D45" s="124">
        <f t="shared" si="1"/>
        <v>2</v>
      </c>
      <c r="E45" s="138" t="s">
        <v>183</v>
      </c>
      <c r="F45" s="142">
        <f>IF('Dynamic Torque Limit'!C5-'Dynamic Torque Limit'!C4&gt;0,('Dynamic Torque Limit'!C25-'Dynamic Torque Limit'!C24)/('Dynamic Torque Limit'!C5-'Dynamic Torque Limit'!C4)*'Dynamic Torque Limit'!$C$42/('Dynamic Torque Limit'!$C$43/9.81*100*('Setting Table'!$C$18^2)),0)</f>
        <v>0</v>
      </c>
      <c r="G45" s="137">
        <f t="shared" ref="G45:G51" si="6">ROUND(F45*32768,0)</f>
        <v>0</v>
      </c>
      <c r="H45" s="171" t="str">
        <f t="shared" si="0"/>
        <v>0000</v>
      </c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</row>
    <row r="46" spans="1:25" ht="23.25" x14ac:dyDescent="0.25">
      <c r="A46" s="136">
        <f>IF(G46&lt;&gt;"",MAX(A$1:A45)+1,"")</f>
        <v>35</v>
      </c>
      <c r="B46" s="139" t="s">
        <v>177</v>
      </c>
      <c r="C46" s="124" t="s">
        <v>235</v>
      </c>
      <c r="D46" s="124">
        <f t="shared" si="1"/>
        <v>2</v>
      </c>
      <c r="E46" s="138" t="s">
        <v>184</v>
      </c>
      <c r="F46" s="142">
        <f>IF('Dynamic Torque Limit'!C6-'Dynamic Torque Limit'!C5&gt;0,('Dynamic Torque Limit'!C26-'Dynamic Torque Limit'!C25)/('Dynamic Torque Limit'!C6-'Dynamic Torque Limit'!C5)*'Dynamic Torque Limit'!$C$42/('Dynamic Torque Limit'!$C$43/9.81*100*('Setting Table'!$C$18^2)),0)</f>
        <v>-0.13302514792899411</v>
      </c>
      <c r="G46" s="137">
        <f t="shared" si="6"/>
        <v>-4359</v>
      </c>
      <c r="H46" s="171" t="str">
        <f t="shared" si="0"/>
        <v>FFFFFFEEF9</v>
      </c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24"/>
      <c r="U46" s="124"/>
      <c r="V46" s="124"/>
      <c r="W46" s="124"/>
      <c r="X46" s="124"/>
      <c r="Y46" s="124"/>
    </row>
    <row r="47" spans="1:25" ht="23.25" x14ac:dyDescent="0.25">
      <c r="A47" s="136">
        <f>IF(G47&lt;&gt;"",MAX(A$1:A46)+1,"")</f>
        <v>36</v>
      </c>
      <c r="B47" s="139" t="s">
        <v>178</v>
      </c>
      <c r="C47" s="124" t="s">
        <v>235</v>
      </c>
      <c r="D47" s="124">
        <f t="shared" si="1"/>
        <v>2</v>
      </c>
      <c r="E47" s="138" t="s">
        <v>185</v>
      </c>
      <c r="F47" s="142">
        <f>IF('Dynamic Torque Limit'!C7-'Dynamic Torque Limit'!C6&gt;0,('Dynamic Torque Limit'!C27-'Dynamic Torque Limit'!C26)/('Dynamic Torque Limit'!C7-'Dynamic Torque Limit'!C6)*'Dynamic Torque Limit'!$C$42/('Dynamic Torque Limit'!$C$43/9.81*100*('Setting Table'!$C$18^2)),0)</f>
        <v>-6.2078402366863933E-2</v>
      </c>
      <c r="G47" s="137">
        <f t="shared" si="6"/>
        <v>-2034</v>
      </c>
      <c r="H47" s="171" t="str">
        <f t="shared" si="0"/>
        <v>FFFFFFF80E</v>
      </c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</row>
    <row r="48" spans="1:25" ht="23.25" x14ac:dyDescent="0.25">
      <c r="A48" s="136">
        <f>IF(G48&lt;&gt;"",MAX(A$1:A47)+1,"")</f>
        <v>37</v>
      </c>
      <c r="B48" s="139" t="s">
        <v>179</v>
      </c>
      <c r="C48" s="124" t="s">
        <v>235</v>
      </c>
      <c r="D48" s="124">
        <f t="shared" si="1"/>
        <v>2</v>
      </c>
      <c r="E48" s="138" t="s">
        <v>186</v>
      </c>
      <c r="F48" s="142">
        <f>IF('Dynamic Torque Limit'!C8-'Dynamic Torque Limit'!C7&gt;0,('Dynamic Torque Limit'!C28-'Dynamic Torque Limit'!C27)/('Dynamic Torque Limit'!C8-'Dynamic Torque Limit'!C7)*'Dynamic Torque Limit'!$C$42/('Dynamic Torque Limit'!$C$43/9.81*100*('Setting Table'!$C$18^2)),0)</f>
        <v>0.13302514792899411</v>
      </c>
      <c r="G48" s="137">
        <f t="shared" si="6"/>
        <v>4359</v>
      </c>
      <c r="H48" s="171" t="str">
        <f t="shared" si="0"/>
        <v>1107</v>
      </c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124"/>
      <c r="Y48" s="124"/>
    </row>
    <row r="49" spans="1:25" ht="23.25" x14ac:dyDescent="0.25">
      <c r="A49" s="136">
        <f>IF(G49&lt;&gt;"",MAX(A$1:A48)+1,"")</f>
        <v>38</v>
      </c>
      <c r="B49" s="139" t="s">
        <v>180</v>
      </c>
      <c r="C49" s="124" t="s">
        <v>235</v>
      </c>
      <c r="D49" s="124">
        <f t="shared" si="1"/>
        <v>2</v>
      </c>
      <c r="E49" s="138" t="s">
        <v>187</v>
      </c>
      <c r="F49" s="142">
        <f>IF('Dynamic Torque Limit'!C9-'Dynamic Torque Limit'!C8&gt;0,('Dynamic Torque Limit'!C29-'Dynamic Torque Limit'!C28)/('Dynamic Torque Limit'!C9-'Dynamic Torque Limit'!C8)*'Dynamic Torque Limit'!$C$42/('Dynamic Torque Limit'!$C$43/9.81*100*('Setting Table'!$C$18^2)),0)</f>
        <v>0</v>
      </c>
      <c r="G49" s="137">
        <f t="shared" si="6"/>
        <v>0</v>
      </c>
      <c r="H49" s="171" t="str">
        <f t="shared" si="0"/>
        <v>0000</v>
      </c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4"/>
    </row>
    <row r="50" spans="1:25" ht="23.25" x14ac:dyDescent="0.25">
      <c r="A50" s="136">
        <f>IF(G50&lt;&gt;"",MAX(A$1:A49)+1,"")</f>
        <v>39</v>
      </c>
      <c r="B50" s="139" t="s">
        <v>181</v>
      </c>
      <c r="C50" s="124" t="s">
        <v>235</v>
      </c>
      <c r="D50" s="124">
        <f t="shared" si="1"/>
        <v>2</v>
      </c>
      <c r="E50" s="138" t="s">
        <v>188</v>
      </c>
      <c r="F50" s="142">
        <f>IF('Dynamic Torque Limit'!C10-'Dynamic Torque Limit'!C9&gt;0,('Dynamic Torque Limit'!C30-'Dynamic Torque Limit'!C29)/('Dynamic Torque Limit'!C10-'Dynamic Torque Limit'!C9)*'Dynamic Torque Limit'!$C$42/('Dynamic Torque Limit'!$C$43/9.81*100*('Setting Table'!$C$18^2)),0)</f>
        <v>0</v>
      </c>
      <c r="G50" s="137">
        <f t="shared" si="6"/>
        <v>0</v>
      </c>
      <c r="H50" s="171" t="str">
        <f t="shared" si="0"/>
        <v>0000</v>
      </c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124"/>
    </row>
    <row r="51" spans="1:25" ht="23.25" x14ac:dyDescent="0.25">
      <c r="A51" s="136">
        <f>IF(G51&lt;&gt;"",MAX(A$1:A50)+1,"")</f>
        <v>40</v>
      </c>
      <c r="B51" s="139" t="s">
        <v>182</v>
      </c>
      <c r="C51" s="124" t="s">
        <v>235</v>
      </c>
      <c r="D51" s="124">
        <f t="shared" si="1"/>
        <v>2</v>
      </c>
      <c r="E51" s="138" t="s">
        <v>189</v>
      </c>
      <c r="F51" s="142">
        <f>IF('Dynamic Torque Limit'!C11-'Dynamic Torque Limit'!C10&gt;0,('Dynamic Torque Limit'!C31-'Dynamic Torque Limit'!C30)/('Dynamic Torque Limit'!C11-'Dynamic Torque Limit'!C10)*'Dynamic Torque Limit'!$C$42/('Dynamic Torque Limit'!$C$43/9.81*100*('Setting Table'!$C$18^2)),0)</f>
        <v>0</v>
      </c>
      <c r="G51" s="137">
        <f t="shared" si="6"/>
        <v>0</v>
      </c>
      <c r="H51" s="171" t="str">
        <f t="shared" si="0"/>
        <v>0000</v>
      </c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/>
      <c r="T51" s="124"/>
      <c r="U51" s="124"/>
      <c r="V51" s="124"/>
      <c r="W51" s="124"/>
      <c r="X51" s="124"/>
      <c r="Y51" s="124"/>
    </row>
    <row r="52" spans="1:25" ht="23.25" x14ac:dyDescent="0.25">
      <c r="A52" s="136" t="str">
        <f>IF(G52&lt;&gt;"",MAX(A$1:A51)+1,"")</f>
        <v/>
      </c>
      <c r="B52" s="139"/>
      <c r="C52" s="139"/>
      <c r="D52" s="124" t="str">
        <f t="shared" si="1"/>
        <v/>
      </c>
      <c r="E52" s="140"/>
      <c r="F52" s="142"/>
      <c r="G52" s="137"/>
      <c r="H52" s="171"/>
      <c r="I52" s="165" t="s">
        <v>190</v>
      </c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24"/>
      <c r="U52" s="124"/>
      <c r="V52" s="124"/>
      <c r="W52" s="124"/>
      <c r="X52" s="124"/>
      <c r="Y52" s="124"/>
    </row>
    <row r="53" spans="1:25" ht="23.25" x14ac:dyDescent="0.25">
      <c r="A53" s="136">
        <f>IF(G53&lt;&gt;"",MAX(A$1:A52)+1,"")</f>
        <v>41</v>
      </c>
      <c r="B53" s="139" t="s">
        <v>191</v>
      </c>
      <c r="C53" s="124" t="s">
        <v>235</v>
      </c>
      <c r="D53" s="124">
        <f t="shared" si="1"/>
        <v>2</v>
      </c>
      <c r="E53" s="138" t="s">
        <v>192</v>
      </c>
      <c r="F53" s="142">
        <f>'Dynamic Torque Limit'!C34*1.414</f>
        <v>311.08</v>
      </c>
      <c r="G53" s="137">
        <f>ROUND(F53,0)</f>
        <v>311</v>
      </c>
      <c r="H53" s="171" t="str">
        <f>IF(G53&lt;&gt;"",DEC2HEX(G53,4),"")</f>
        <v>0137</v>
      </c>
      <c r="I53" s="165"/>
      <c r="J53" s="124"/>
      <c r="K53" s="124"/>
      <c r="L53" s="124"/>
      <c r="M53" s="124"/>
      <c r="N53" s="124"/>
      <c r="O53" s="124"/>
      <c r="P53" s="124"/>
      <c r="Q53" s="124"/>
      <c r="R53" s="124"/>
      <c r="S53" s="124"/>
      <c r="T53" s="124"/>
      <c r="U53" s="124"/>
      <c r="V53" s="124"/>
      <c r="W53" s="124"/>
      <c r="X53" s="124"/>
      <c r="Y53" s="124"/>
    </row>
    <row r="54" spans="1:25" ht="23.25" x14ac:dyDescent="0.25">
      <c r="A54" s="136" t="str">
        <f>IF(G54&lt;&gt;"",MAX(A$1:A53)+1,"")</f>
        <v/>
      </c>
      <c r="B54" s="144"/>
      <c r="C54" s="144"/>
      <c r="D54" s="144"/>
      <c r="E54" s="143"/>
      <c r="F54" s="142"/>
      <c r="G54" s="137"/>
      <c r="H54" s="171"/>
    </row>
    <row r="55" spans="1:25" ht="23.25" x14ac:dyDescent="0.25">
      <c r="B55" s="139"/>
      <c r="C55" s="139"/>
      <c r="D55" s="139"/>
      <c r="E55" s="140"/>
      <c r="F55" s="147"/>
      <c r="G55" s="170"/>
      <c r="H55" s="165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124"/>
      <c r="V55" s="124"/>
      <c r="W55" s="124"/>
      <c r="X55" s="124"/>
      <c r="Y55" s="124"/>
    </row>
    <row r="56" spans="1:25" ht="23.25" x14ac:dyDescent="0.25">
      <c r="A56" s="131"/>
      <c r="B56" s="132"/>
      <c r="C56" s="132"/>
      <c r="D56" s="132"/>
      <c r="E56" s="133"/>
      <c r="F56" s="149"/>
      <c r="G56" s="156"/>
      <c r="H56" s="148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4"/>
      <c r="U56" s="124"/>
      <c r="V56" s="124"/>
      <c r="W56" s="124"/>
      <c r="X56" s="124"/>
      <c r="Y56" s="124"/>
    </row>
    <row r="57" spans="1:25" ht="23.25" x14ac:dyDescent="0.25">
      <c r="A57" s="131"/>
      <c r="B57" s="150"/>
      <c r="C57" s="150"/>
      <c r="D57" s="150"/>
      <c r="E57" s="151"/>
      <c r="F57" s="159"/>
      <c r="G57" s="156"/>
      <c r="H57" s="148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</row>
    <row r="58" spans="1:25" ht="23.25" x14ac:dyDescent="0.25">
      <c r="A58" s="131"/>
      <c r="B58" s="131"/>
      <c r="C58" s="131"/>
      <c r="D58" s="131"/>
      <c r="E58" s="131"/>
      <c r="F58" s="158"/>
      <c r="G58" s="157"/>
      <c r="H58" s="148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</row>
    <row r="59" spans="1:25" ht="23.25" x14ac:dyDescent="0.25">
      <c r="A59" s="131"/>
      <c r="B59" s="164"/>
      <c r="C59" s="164"/>
      <c r="D59" s="164"/>
      <c r="E59" s="164"/>
      <c r="F59" s="159"/>
      <c r="G59" s="134"/>
      <c r="H59" s="148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124"/>
      <c r="V59" s="124"/>
      <c r="W59" s="124"/>
      <c r="X59" s="124"/>
      <c r="Y59" s="124"/>
    </row>
    <row r="60" spans="1:25" ht="23.25" x14ac:dyDescent="0.25">
      <c r="A60" s="131"/>
      <c r="B60" s="164"/>
      <c r="C60" s="164"/>
      <c r="D60" s="164"/>
      <c r="E60" s="164"/>
      <c r="F60" s="149"/>
      <c r="G60" s="156"/>
      <c r="H60" s="148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124"/>
      <c r="U60" s="124"/>
      <c r="V60" s="124"/>
      <c r="W60" s="124"/>
      <c r="X60" s="124"/>
      <c r="Y60" s="124"/>
    </row>
    <row r="61" spans="1:25" ht="23.25" x14ac:dyDescent="0.25">
      <c r="A61" s="131"/>
      <c r="B61" s="150"/>
      <c r="C61" s="150"/>
      <c r="D61" s="150"/>
      <c r="E61" s="151"/>
      <c r="F61" s="134"/>
      <c r="G61" s="156"/>
      <c r="H61" s="148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124"/>
      <c r="U61" s="124"/>
      <c r="V61" s="124"/>
      <c r="W61" s="124"/>
      <c r="X61" s="124"/>
      <c r="Y61" s="124"/>
    </row>
    <row r="62" spans="1:25" ht="23.25" x14ac:dyDescent="0.25">
      <c r="A62" s="131"/>
      <c r="B62" s="150"/>
      <c r="C62" s="150"/>
      <c r="D62" s="150"/>
      <c r="E62" s="153"/>
      <c r="F62" s="134"/>
      <c r="G62" s="156"/>
      <c r="H62" s="148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124"/>
      <c r="U62" s="124"/>
      <c r="V62" s="124"/>
      <c r="W62" s="124"/>
      <c r="X62" s="124"/>
      <c r="Y62" s="124"/>
    </row>
    <row r="63" spans="1:25" ht="23.25" x14ac:dyDescent="0.25">
      <c r="A63" s="131"/>
      <c r="B63" s="132"/>
      <c r="C63" s="132"/>
      <c r="D63" s="132"/>
      <c r="E63" s="133"/>
      <c r="F63" s="134"/>
      <c r="G63" s="156"/>
      <c r="H63" s="148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124"/>
      <c r="U63" s="124"/>
      <c r="V63" s="124"/>
      <c r="W63" s="124"/>
      <c r="X63" s="124"/>
      <c r="Y63" s="124"/>
    </row>
    <row r="64" spans="1:25" ht="23.25" x14ac:dyDescent="0.25">
      <c r="A64" s="131"/>
      <c r="B64" s="132"/>
      <c r="C64" s="132"/>
      <c r="D64" s="132"/>
      <c r="E64" s="133"/>
      <c r="F64" s="134"/>
      <c r="G64" s="156"/>
      <c r="H64" s="148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124"/>
      <c r="U64" s="124"/>
      <c r="V64" s="124"/>
      <c r="W64" s="124"/>
      <c r="X64" s="124"/>
      <c r="Y64" s="124"/>
    </row>
    <row r="65" spans="1:25" ht="23.25" x14ac:dyDescent="0.25">
      <c r="A65" s="131"/>
      <c r="B65" s="132"/>
      <c r="C65" s="132"/>
      <c r="D65" s="132"/>
      <c r="E65" s="133"/>
      <c r="F65" s="134"/>
      <c r="G65" s="156"/>
      <c r="H65" s="148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124"/>
      <c r="U65" s="124"/>
      <c r="V65" s="124"/>
      <c r="W65" s="124"/>
      <c r="X65" s="124"/>
      <c r="Y65" s="124"/>
    </row>
    <row r="66" spans="1:25" ht="23.25" x14ac:dyDescent="0.25">
      <c r="A66" s="131"/>
      <c r="B66" s="150"/>
      <c r="C66" s="150"/>
      <c r="D66" s="150"/>
      <c r="E66" s="153"/>
      <c r="F66" s="134"/>
      <c r="G66" s="156"/>
      <c r="H66" s="148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  <c r="T66" s="124"/>
      <c r="U66" s="124"/>
      <c r="V66" s="124"/>
      <c r="W66" s="124"/>
      <c r="X66" s="124"/>
      <c r="Y66" s="124"/>
    </row>
    <row r="67" spans="1:25" ht="23.25" x14ac:dyDescent="0.25">
      <c r="A67" s="131"/>
      <c r="B67" s="132"/>
      <c r="C67" s="132"/>
      <c r="D67" s="132"/>
      <c r="E67" s="133"/>
      <c r="F67" s="134"/>
      <c r="G67" s="156"/>
      <c r="H67" s="148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  <c r="T67" s="124"/>
      <c r="U67" s="124"/>
      <c r="V67" s="124"/>
      <c r="W67" s="124"/>
      <c r="X67" s="124"/>
      <c r="Y67" s="124"/>
    </row>
    <row r="68" spans="1:25" ht="23.25" x14ac:dyDescent="0.25">
      <c r="A68" s="131"/>
      <c r="B68" s="132"/>
      <c r="C68" s="132"/>
      <c r="D68" s="132"/>
      <c r="E68" s="133"/>
      <c r="F68" s="134"/>
      <c r="G68" s="160"/>
      <c r="H68" s="148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  <c r="T68" s="124"/>
      <c r="U68" s="124"/>
      <c r="V68" s="124"/>
      <c r="W68" s="124"/>
      <c r="X68" s="124"/>
      <c r="Y68" s="124"/>
    </row>
    <row r="69" spans="1:25" ht="23.25" x14ac:dyDescent="0.25">
      <c r="A69" s="131"/>
      <c r="B69" s="150"/>
      <c r="C69" s="150"/>
      <c r="D69" s="150"/>
      <c r="E69" s="151"/>
      <c r="F69" s="134"/>
      <c r="G69" s="160"/>
      <c r="H69" s="148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  <c r="T69" s="124"/>
      <c r="U69" s="124"/>
      <c r="V69" s="124"/>
      <c r="W69" s="124"/>
      <c r="X69" s="124"/>
      <c r="Y69" s="124"/>
    </row>
    <row r="70" spans="1:25" ht="23.25" x14ac:dyDescent="0.25">
      <c r="A70" s="131"/>
      <c r="B70" s="150"/>
      <c r="C70" s="150"/>
      <c r="D70" s="150"/>
      <c r="E70" s="151"/>
      <c r="F70" s="149"/>
      <c r="G70" s="156"/>
      <c r="H70" s="148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  <c r="T70" s="124"/>
      <c r="U70" s="124"/>
      <c r="V70" s="124"/>
      <c r="W70" s="124"/>
      <c r="X70" s="124"/>
      <c r="Y70" s="124"/>
    </row>
    <row r="71" spans="1:25" ht="23.25" x14ac:dyDescent="0.25">
      <c r="A71" s="131"/>
      <c r="B71" s="132"/>
      <c r="C71" s="132"/>
      <c r="D71" s="132"/>
      <c r="E71" s="133"/>
      <c r="F71" s="149"/>
      <c r="G71" s="156"/>
      <c r="H71" s="148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124"/>
      <c r="T71" s="124"/>
      <c r="U71" s="124"/>
      <c r="V71" s="124"/>
      <c r="W71" s="124"/>
      <c r="X71" s="124"/>
      <c r="Y71" s="124"/>
    </row>
    <row r="72" spans="1:25" ht="23.25" x14ac:dyDescent="0.25">
      <c r="A72" s="131"/>
      <c r="B72" s="150"/>
      <c r="C72" s="150"/>
      <c r="D72" s="150"/>
      <c r="E72" s="151"/>
      <c r="F72" s="159"/>
      <c r="G72" s="156"/>
      <c r="H72" s="148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124"/>
      <c r="U72" s="124"/>
      <c r="V72" s="124"/>
      <c r="W72" s="124"/>
      <c r="X72" s="124"/>
      <c r="Y72" s="124"/>
    </row>
    <row r="73" spans="1:25" ht="23.25" x14ac:dyDescent="0.25">
      <c r="A73" s="131"/>
      <c r="B73" s="131"/>
      <c r="C73" s="131"/>
      <c r="D73" s="131"/>
      <c r="E73" s="131"/>
      <c r="F73" s="149"/>
      <c r="G73" s="156"/>
      <c r="H73" s="148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124"/>
      <c r="U73" s="124"/>
      <c r="V73" s="124"/>
      <c r="W73" s="124"/>
      <c r="X73" s="124"/>
      <c r="Y73" s="124"/>
    </row>
    <row r="74" spans="1:25" ht="23.25" x14ac:dyDescent="0.25">
      <c r="A74" s="131"/>
      <c r="B74" s="154"/>
      <c r="C74" s="154"/>
      <c r="D74" s="154"/>
      <c r="E74" s="155"/>
      <c r="F74" s="149"/>
      <c r="G74" s="160"/>
      <c r="H74" s="148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124"/>
      <c r="U74" s="124"/>
      <c r="V74" s="124"/>
      <c r="W74" s="124"/>
      <c r="X74" s="124"/>
      <c r="Y74" s="124"/>
    </row>
    <row r="75" spans="1:25" ht="23.25" x14ac:dyDescent="0.25">
      <c r="A75" s="131"/>
      <c r="B75" s="154"/>
      <c r="C75" s="154"/>
      <c r="D75" s="154"/>
      <c r="E75" s="155"/>
      <c r="F75" s="158"/>
      <c r="G75" s="157"/>
      <c r="H75" s="148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24"/>
      <c r="T75" s="124"/>
      <c r="U75" s="124"/>
      <c r="V75" s="124"/>
      <c r="W75" s="124"/>
      <c r="X75" s="124"/>
      <c r="Y75" s="124"/>
    </row>
    <row r="76" spans="1:25" ht="23.25" x14ac:dyDescent="0.25">
      <c r="A76" s="131"/>
      <c r="B76" s="163"/>
      <c r="C76" s="163"/>
      <c r="D76" s="163"/>
      <c r="E76" s="163"/>
      <c r="F76" s="159"/>
      <c r="G76" s="134"/>
      <c r="H76" s="148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24"/>
      <c r="T76" s="124"/>
      <c r="U76" s="124"/>
      <c r="V76" s="124"/>
      <c r="W76" s="124"/>
      <c r="X76" s="124"/>
      <c r="Y76" s="124"/>
    </row>
    <row r="77" spans="1:25" ht="23.25" x14ac:dyDescent="0.25">
      <c r="A77" s="131"/>
      <c r="B77" s="163"/>
      <c r="C77" s="163"/>
      <c r="D77" s="163"/>
      <c r="E77" s="163"/>
      <c r="F77" s="149"/>
      <c r="G77" s="156"/>
      <c r="H77" s="148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  <c r="T77" s="124"/>
      <c r="U77" s="124"/>
      <c r="V77" s="124"/>
      <c r="W77" s="124"/>
      <c r="X77" s="124"/>
      <c r="Y77" s="124"/>
    </row>
    <row r="78" spans="1:25" ht="23.25" x14ac:dyDescent="0.25">
      <c r="A78" s="131"/>
      <c r="B78" s="150"/>
      <c r="C78" s="150"/>
      <c r="D78" s="150"/>
      <c r="E78" s="151"/>
      <c r="F78" s="134"/>
      <c r="G78" s="156"/>
      <c r="H78" s="148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124"/>
      <c r="V78" s="124"/>
      <c r="W78" s="124"/>
      <c r="X78" s="124"/>
      <c r="Y78" s="124"/>
    </row>
    <row r="79" spans="1:25" ht="23.25" x14ac:dyDescent="0.25">
      <c r="A79" s="131"/>
      <c r="B79" s="150"/>
      <c r="C79" s="150"/>
      <c r="D79" s="150"/>
      <c r="E79" s="153"/>
      <c r="F79" s="134"/>
      <c r="G79" s="156"/>
      <c r="H79" s="148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  <c r="T79" s="124"/>
      <c r="U79" s="124"/>
      <c r="V79" s="124"/>
      <c r="W79" s="124"/>
      <c r="X79" s="124"/>
      <c r="Y79" s="124"/>
    </row>
    <row r="80" spans="1:25" ht="23.25" x14ac:dyDescent="0.25">
      <c r="A80" s="131"/>
      <c r="B80" s="132"/>
      <c r="C80" s="132"/>
      <c r="D80" s="132"/>
      <c r="E80" s="133"/>
      <c r="F80" s="134"/>
      <c r="G80" s="156"/>
      <c r="H80" s="148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  <c r="T80" s="124"/>
      <c r="U80" s="124"/>
      <c r="V80" s="124"/>
      <c r="W80" s="124"/>
      <c r="X80" s="124"/>
      <c r="Y80" s="124"/>
    </row>
    <row r="81" spans="1:25" ht="23.25" x14ac:dyDescent="0.25">
      <c r="A81" s="131"/>
      <c r="B81" s="132"/>
      <c r="C81" s="132"/>
      <c r="D81" s="132"/>
      <c r="E81" s="133"/>
      <c r="F81" s="134"/>
      <c r="G81" s="156"/>
      <c r="H81" s="148"/>
      <c r="I81" s="124"/>
      <c r="J81" s="124"/>
      <c r="K81" s="124"/>
      <c r="L81" s="124"/>
      <c r="M81" s="124"/>
      <c r="N81" s="124"/>
      <c r="O81" s="124"/>
      <c r="P81" s="124"/>
      <c r="Q81" s="124"/>
      <c r="R81" s="124"/>
      <c r="S81" s="124"/>
      <c r="T81" s="124"/>
      <c r="U81" s="124"/>
      <c r="V81" s="124"/>
      <c r="W81" s="124"/>
      <c r="X81" s="124"/>
      <c r="Y81" s="124"/>
    </row>
    <row r="82" spans="1:25" ht="23.25" x14ac:dyDescent="0.25">
      <c r="A82" s="131"/>
      <c r="B82" s="132"/>
      <c r="C82" s="132"/>
      <c r="D82" s="132"/>
      <c r="E82" s="133"/>
      <c r="F82" s="134"/>
      <c r="G82" s="156"/>
      <c r="H82" s="148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  <c r="X82" s="124"/>
      <c r="Y82" s="124"/>
    </row>
    <row r="83" spans="1:25" ht="23.25" x14ac:dyDescent="0.25">
      <c r="A83" s="131"/>
      <c r="B83" s="150"/>
      <c r="C83" s="150"/>
      <c r="D83" s="150"/>
      <c r="E83" s="153"/>
      <c r="F83" s="134"/>
      <c r="G83" s="156"/>
      <c r="H83" s="148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  <c r="T83" s="124"/>
      <c r="U83" s="124"/>
      <c r="V83" s="124"/>
      <c r="W83" s="124"/>
      <c r="X83" s="124"/>
      <c r="Y83" s="124"/>
    </row>
    <row r="84" spans="1:25" ht="23.25" x14ac:dyDescent="0.25">
      <c r="A84" s="131"/>
      <c r="B84" s="132"/>
      <c r="C84" s="132"/>
      <c r="D84" s="132"/>
      <c r="E84" s="133"/>
      <c r="F84" s="134"/>
      <c r="G84" s="156"/>
      <c r="H84" s="148"/>
      <c r="I84" s="124"/>
      <c r="J84" s="124"/>
      <c r="K84" s="124"/>
      <c r="L84" s="124"/>
      <c r="M84" s="124"/>
      <c r="N84" s="124"/>
      <c r="O84" s="124"/>
      <c r="P84" s="124"/>
      <c r="Q84" s="124"/>
      <c r="R84" s="124"/>
      <c r="S84" s="124"/>
      <c r="T84" s="124"/>
      <c r="U84" s="124"/>
      <c r="V84" s="124"/>
      <c r="W84" s="124"/>
      <c r="X84" s="124"/>
      <c r="Y84" s="124"/>
    </row>
    <row r="85" spans="1:25" ht="23.25" x14ac:dyDescent="0.25">
      <c r="A85" s="131"/>
      <c r="B85" s="132"/>
      <c r="C85" s="132"/>
      <c r="D85" s="132"/>
      <c r="E85" s="133"/>
      <c r="F85" s="134"/>
      <c r="G85" s="160"/>
      <c r="H85" s="148"/>
      <c r="I85" s="124"/>
      <c r="J85" s="124"/>
      <c r="K85" s="124"/>
      <c r="L85" s="124"/>
      <c r="M85" s="124"/>
      <c r="N85" s="124"/>
      <c r="O85" s="124"/>
      <c r="P85" s="124"/>
      <c r="Q85" s="124"/>
      <c r="R85" s="124"/>
      <c r="S85" s="124"/>
      <c r="T85" s="124"/>
      <c r="U85" s="124"/>
      <c r="V85" s="124"/>
      <c r="W85" s="124"/>
      <c r="X85" s="124"/>
      <c r="Y85" s="124"/>
    </row>
    <row r="86" spans="1:25" ht="23.25" x14ac:dyDescent="0.25">
      <c r="A86" s="131"/>
      <c r="B86" s="150"/>
      <c r="C86" s="150"/>
      <c r="D86" s="150"/>
      <c r="E86" s="161"/>
      <c r="F86" s="134"/>
      <c r="G86" s="160"/>
      <c r="H86" s="148"/>
      <c r="I86" s="124"/>
      <c r="J86" s="124"/>
      <c r="K86" s="124"/>
      <c r="L86" s="124"/>
      <c r="M86" s="124"/>
      <c r="N86" s="124"/>
      <c r="O86" s="124"/>
      <c r="P86" s="124"/>
      <c r="Q86" s="124"/>
      <c r="R86" s="124"/>
      <c r="S86" s="124"/>
      <c r="T86" s="124"/>
      <c r="U86" s="124"/>
      <c r="V86" s="124"/>
      <c r="W86" s="124"/>
      <c r="X86" s="124"/>
      <c r="Y86" s="124"/>
    </row>
    <row r="87" spans="1:25" ht="23.25" x14ac:dyDescent="0.25">
      <c r="A87" s="131"/>
      <c r="B87" s="150"/>
      <c r="C87" s="150"/>
      <c r="D87" s="150"/>
      <c r="E87" s="161"/>
      <c r="F87" s="149"/>
      <c r="G87" s="156"/>
      <c r="H87" s="148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124"/>
      <c r="V87" s="124"/>
      <c r="W87" s="124"/>
      <c r="X87" s="124"/>
      <c r="Y87" s="124"/>
    </row>
    <row r="88" spans="1:25" ht="23.25" x14ac:dyDescent="0.25">
      <c r="A88" s="131"/>
      <c r="B88" s="132"/>
      <c r="C88" s="132"/>
      <c r="D88" s="132"/>
      <c r="E88" s="133"/>
      <c r="F88" s="149"/>
      <c r="G88" s="156"/>
      <c r="H88" s="148"/>
      <c r="I88" s="124"/>
      <c r="J88" s="124"/>
      <c r="K88" s="124"/>
      <c r="L88" s="124"/>
      <c r="M88" s="124"/>
      <c r="N88" s="124"/>
      <c r="O88" s="124"/>
      <c r="P88" s="124"/>
      <c r="Q88" s="124"/>
      <c r="R88" s="124"/>
      <c r="S88" s="124"/>
      <c r="T88" s="124"/>
      <c r="U88" s="124"/>
      <c r="V88" s="124"/>
      <c r="W88" s="124"/>
      <c r="X88" s="124"/>
      <c r="Y88" s="124"/>
    </row>
    <row r="89" spans="1:25" ht="23.25" x14ac:dyDescent="0.25">
      <c r="A89" s="131"/>
      <c r="B89" s="150"/>
      <c r="C89" s="150"/>
      <c r="D89" s="150"/>
      <c r="E89" s="151"/>
      <c r="F89" s="149"/>
      <c r="G89" s="156"/>
      <c r="H89" s="148"/>
      <c r="I89" s="124"/>
      <c r="J89" s="124"/>
      <c r="K89" s="124"/>
      <c r="L89" s="124"/>
      <c r="M89" s="124"/>
      <c r="N89" s="124"/>
      <c r="O89" s="124"/>
      <c r="P89" s="124"/>
      <c r="Q89" s="124"/>
      <c r="R89" s="124"/>
      <c r="S89" s="124"/>
      <c r="T89" s="124"/>
      <c r="U89" s="124"/>
      <c r="V89" s="124"/>
      <c r="W89" s="124"/>
      <c r="X89" s="124"/>
      <c r="Y89" s="124"/>
    </row>
    <row r="90" spans="1:25" ht="23.25" x14ac:dyDescent="0.25">
      <c r="A90" s="131"/>
      <c r="B90" s="150"/>
      <c r="C90" s="150"/>
      <c r="D90" s="150"/>
      <c r="E90" s="151"/>
      <c r="F90" s="149"/>
      <c r="G90" s="156"/>
      <c r="H90" s="148"/>
      <c r="I90" s="124"/>
      <c r="J90" s="124"/>
      <c r="K90" s="124"/>
      <c r="L90" s="124"/>
      <c r="M90" s="124"/>
      <c r="N90" s="124"/>
      <c r="O90" s="124"/>
      <c r="P90" s="124"/>
      <c r="Q90" s="124"/>
      <c r="R90" s="124"/>
      <c r="S90" s="124"/>
      <c r="T90" s="124"/>
      <c r="U90" s="124"/>
      <c r="V90" s="124"/>
      <c r="W90" s="124"/>
      <c r="X90" s="124"/>
      <c r="Y90" s="124"/>
    </row>
    <row r="91" spans="1:25" ht="23.25" x14ac:dyDescent="0.25">
      <c r="A91" s="131"/>
      <c r="B91" s="132"/>
      <c r="C91" s="132"/>
      <c r="D91" s="132"/>
      <c r="E91" s="133"/>
      <c r="F91" s="149"/>
      <c r="G91" s="156"/>
      <c r="H91" s="148"/>
      <c r="I91" s="124"/>
      <c r="J91" s="124"/>
      <c r="K91" s="124"/>
      <c r="L91" s="124"/>
      <c r="M91" s="124"/>
      <c r="N91" s="124"/>
      <c r="O91" s="124"/>
      <c r="P91" s="124"/>
      <c r="Q91" s="124"/>
      <c r="R91" s="124"/>
      <c r="S91" s="124"/>
      <c r="T91" s="124"/>
      <c r="U91" s="124"/>
      <c r="V91" s="124"/>
      <c r="W91" s="124"/>
      <c r="X91" s="124"/>
      <c r="Y91" s="124"/>
    </row>
    <row r="92" spans="1:25" ht="23.25" x14ac:dyDescent="0.25">
      <c r="A92" s="131"/>
      <c r="B92" s="132"/>
      <c r="C92" s="132"/>
      <c r="D92" s="132"/>
      <c r="E92" s="133"/>
      <c r="F92" s="149"/>
      <c r="G92" s="156"/>
      <c r="H92" s="148"/>
      <c r="I92" s="124"/>
      <c r="J92" s="124"/>
      <c r="K92" s="124"/>
      <c r="L92" s="124"/>
      <c r="M92" s="124"/>
      <c r="N92" s="124"/>
      <c r="O92" s="124"/>
      <c r="P92" s="124"/>
      <c r="Q92" s="124"/>
      <c r="R92" s="124"/>
      <c r="S92" s="124"/>
      <c r="T92" s="124"/>
      <c r="U92" s="124"/>
      <c r="V92" s="124"/>
      <c r="W92" s="124"/>
      <c r="X92" s="124"/>
      <c r="Y92" s="124"/>
    </row>
    <row r="93" spans="1:25" ht="23.25" x14ac:dyDescent="0.25">
      <c r="A93" s="131"/>
      <c r="B93" s="132"/>
      <c r="C93" s="132"/>
      <c r="D93" s="132"/>
      <c r="E93" s="133"/>
      <c r="F93" s="149"/>
      <c r="G93" s="156"/>
      <c r="H93" s="148"/>
      <c r="I93" s="124"/>
      <c r="J93" s="124"/>
      <c r="K93" s="124"/>
      <c r="L93" s="124"/>
      <c r="M93" s="124"/>
      <c r="N93" s="124"/>
      <c r="O93" s="124"/>
      <c r="P93" s="124"/>
      <c r="Q93" s="124"/>
      <c r="R93" s="124"/>
      <c r="S93" s="124"/>
      <c r="T93" s="124"/>
      <c r="U93" s="124"/>
      <c r="V93" s="124"/>
      <c r="W93" s="124"/>
      <c r="X93" s="124"/>
      <c r="Y93" s="124"/>
    </row>
    <row r="94" spans="1:25" ht="23.25" x14ac:dyDescent="0.25">
      <c r="A94" s="131"/>
      <c r="B94" s="163"/>
      <c r="C94" s="163"/>
      <c r="D94" s="163"/>
      <c r="E94" s="163"/>
      <c r="F94" s="149"/>
      <c r="G94" s="156"/>
      <c r="H94" s="148"/>
      <c r="I94" s="124"/>
      <c r="J94" s="124"/>
      <c r="K94" s="124"/>
      <c r="L94" s="124"/>
      <c r="M94" s="124"/>
      <c r="N94" s="124"/>
      <c r="O94" s="124"/>
      <c r="P94" s="124"/>
      <c r="Q94" s="124"/>
      <c r="R94" s="124"/>
      <c r="S94" s="124"/>
      <c r="T94" s="124"/>
      <c r="U94" s="124"/>
      <c r="V94" s="124"/>
      <c r="W94" s="124"/>
      <c r="X94" s="124"/>
      <c r="Y94" s="124"/>
    </row>
    <row r="95" spans="1:25" ht="23.25" x14ac:dyDescent="0.25">
      <c r="A95" s="131"/>
      <c r="B95" s="163"/>
      <c r="C95" s="163"/>
      <c r="D95" s="163"/>
      <c r="E95" s="163"/>
      <c r="F95" s="134"/>
      <c r="G95" s="156"/>
      <c r="H95" s="148"/>
      <c r="I95" s="124"/>
      <c r="J95" s="124"/>
      <c r="K95" s="124"/>
      <c r="L95" s="124"/>
      <c r="M95" s="124"/>
      <c r="N95" s="124"/>
      <c r="O95" s="124"/>
      <c r="P95" s="124"/>
      <c r="Q95" s="124"/>
      <c r="R95" s="124"/>
      <c r="S95" s="124"/>
      <c r="T95" s="124"/>
      <c r="U95" s="124"/>
      <c r="V95" s="124"/>
      <c r="W95" s="124"/>
      <c r="X95" s="124"/>
      <c r="Y95" s="124"/>
    </row>
    <row r="96" spans="1:25" ht="23.25" x14ac:dyDescent="0.25">
      <c r="A96" s="131"/>
      <c r="B96" s="153"/>
      <c r="C96" s="153"/>
      <c r="D96" s="153"/>
      <c r="E96" s="153"/>
      <c r="F96" s="134"/>
      <c r="G96" s="156"/>
      <c r="H96" s="148"/>
      <c r="I96" s="124"/>
      <c r="J96" s="124"/>
      <c r="K96" s="124"/>
      <c r="L96" s="124"/>
      <c r="M96" s="124"/>
      <c r="N96" s="124"/>
      <c r="O96" s="124"/>
      <c r="P96" s="124"/>
      <c r="Q96" s="124"/>
      <c r="R96" s="124"/>
      <c r="S96" s="124"/>
      <c r="T96" s="124"/>
      <c r="U96" s="124"/>
      <c r="V96" s="124"/>
      <c r="W96" s="124"/>
      <c r="X96" s="124"/>
      <c r="Y96" s="124"/>
    </row>
    <row r="97" spans="1:25" ht="23.25" x14ac:dyDescent="0.25">
      <c r="A97" s="131"/>
      <c r="B97" s="132"/>
      <c r="C97" s="132"/>
      <c r="D97" s="132"/>
      <c r="E97" s="133"/>
      <c r="F97" s="152"/>
      <c r="G97" s="156"/>
      <c r="H97" s="148"/>
      <c r="I97" s="124"/>
      <c r="J97" s="124"/>
      <c r="K97" s="124"/>
      <c r="L97" s="124"/>
      <c r="M97" s="124"/>
      <c r="N97" s="124"/>
      <c r="O97" s="124"/>
      <c r="P97" s="124"/>
      <c r="Q97" s="124"/>
      <c r="R97" s="124"/>
      <c r="S97" s="124"/>
      <c r="T97" s="124"/>
      <c r="U97" s="124"/>
      <c r="V97" s="124"/>
      <c r="W97" s="124"/>
      <c r="X97" s="124"/>
      <c r="Y97" s="124"/>
    </row>
    <row r="98" spans="1:25" ht="23.25" x14ac:dyDescent="0.25">
      <c r="A98" s="131"/>
      <c r="B98" s="132"/>
      <c r="C98" s="132"/>
      <c r="D98" s="132"/>
      <c r="E98" s="133"/>
      <c r="F98" s="147"/>
      <c r="G98" s="157"/>
      <c r="H98" s="148"/>
      <c r="I98" s="124"/>
      <c r="J98" s="124"/>
      <c r="K98" s="124"/>
      <c r="L98" s="124"/>
      <c r="M98" s="124"/>
      <c r="N98" s="124"/>
      <c r="O98" s="124"/>
      <c r="P98" s="124"/>
      <c r="Q98" s="124"/>
      <c r="R98" s="124"/>
      <c r="S98" s="124"/>
      <c r="T98" s="124"/>
      <c r="U98" s="124"/>
      <c r="V98" s="124"/>
      <c r="W98" s="124"/>
      <c r="X98" s="124"/>
      <c r="Y98" s="124"/>
    </row>
    <row r="99" spans="1:25" ht="23.25" x14ac:dyDescent="0.25">
      <c r="A99" s="131"/>
      <c r="B99" s="163"/>
      <c r="C99" s="163"/>
      <c r="D99" s="163"/>
      <c r="E99" s="163"/>
      <c r="F99" s="131"/>
      <c r="G99" s="156"/>
      <c r="H99" s="148"/>
      <c r="I99" s="124"/>
      <c r="J99" s="124"/>
      <c r="K99" s="124"/>
      <c r="L99" s="124"/>
      <c r="M99" s="124"/>
      <c r="N99" s="124"/>
      <c r="O99" s="124"/>
      <c r="P99" s="124"/>
      <c r="Q99" s="124"/>
      <c r="R99" s="124"/>
      <c r="S99" s="124"/>
      <c r="T99" s="124"/>
      <c r="U99" s="124"/>
      <c r="V99" s="124"/>
      <c r="W99" s="124"/>
      <c r="X99" s="124"/>
      <c r="Y99" s="124"/>
    </row>
    <row r="100" spans="1:25" ht="23.25" x14ac:dyDescent="0.25">
      <c r="A100" s="131"/>
      <c r="B100" s="163"/>
      <c r="C100" s="163"/>
      <c r="D100" s="163"/>
      <c r="E100" s="163"/>
      <c r="F100" s="134"/>
      <c r="G100" s="135"/>
      <c r="H100" s="148"/>
      <c r="I100" s="124"/>
      <c r="J100" s="124"/>
      <c r="K100" s="124"/>
      <c r="L100" s="124"/>
      <c r="M100" s="124"/>
      <c r="N100" s="124"/>
      <c r="O100" s="124"/>
      <c r="P100" s="124"/>
      <c r="Q100" s="124"/>
      <c r="R100" s="124"/>
      <c r="S100" s="124"/>
      <c r="T100" s="124"/>
      <c r="U100" s="124"/>
      <c r="V100" s="124"/>
      <c r="W100" s="124"/>
      <c r="X100" s="124"/>
      <c r="Y100" s="124"/>
    </row>
    <row r="101" spans="1:25" ht="23.25" x14ac:dyDescent="0.25">
      <c r="A101" s="131"/>
      <c r="B101" s="132"/>
      <c r="C101" s="132"/>
      <c r="D101" s="132"/>
      <c r="E101" s="133"/>
      <c r="F101" s="162"/>
      <c r="G101" s="156"/>
      <c r="H101" s="148"/>
      <c r="I101" s="124"/>
      <c r="J101" s="124"/>
      <c r="K101" s="124"/>
      <c r="L101" s="124"/>
      <c r="M101" s="124"/>
      <c r="N101" s="124"/>
      <c r="O101" s="124"/>
      <c r="P101" s="124"/>
      <c r="Q101" s="124"/>
      <c r="R101" s="124"/>
      <c r="S101" s="124"/>
      <c r="T101" s="124"/>
      <c r="U101" s="124"/>
      <c r="V101" s="124"/>
      <c r="W101" s="124"/>
      <c r="X101" s="124"/>
      <c r="Y101" s="124"/>
    </row>
    <row r="102" spans="1:25" ht="23.25" x14ac:dyDescent="0.25">
      <c r="A102" s="131"/>
      <c r="B102" s="132"/>
      <c r="C102" s="132"/>
      <c r="D102" s="132"/>
      <c r="E102" s="133"/>
      <c r="F102" s="134"/>
      <c r="G102" s="135"/>
      <c r="H102" s="148"/>
      <c r="I102" s="124"/>
      <c r="J102" s="124"/>
      <c r="K102" s="124"/>
      <c r="L102" s="124"/>
      <c r="M102" s="124"/>
      <c r="N102" s="124"/>
      <c r="O102" s="124"/>
      <c r="P102" s="124"/>
      <c r="Q102" s="124"/>
      <c r="R102" s="124"/>
      <c r="S102" s="124"/>
      <c r="T102" s="124"/>
      <c r="U102" s="124"/>
      <c r="V102" s="124"/>
      <c r="W102" s="124"/>
      <c r="X102" s="124"/>
      <c r="Y102" s="124"/>
    </row>
    <row r="103" spans="1:25" ht="23.25" x14ac:dyDescent="0.25">
      <c r="A103" s="131"/>
      <c r="B103" s="132"/>
      <c r="C103" s="132"/>
      <c r="D103" s="132"/>
      <c r="E103" s="133"/>
      <c r="F103" s="134"/>
      <c r="G103" s="135"/>
      <c r="H103" s="148"/>
      <c r="I103" s="124"/>
      <c r="J103" s="124"/>
      <c r="K103" s="124"/>
      <c r="L103" s="124"/>
      <c r="M103" s="124"/>
      <c r="N103" s="124"/>
      <c r="O103" s="124"/>
      <c r="P103" s="124"/>
      <c r="Q103" s="124"/>
      <c r="R103" s="124"/>
      <c r="S103" s="124"/>
      <c r="T103" s="124"/>
      <c r="U103" s="124"/>
      <c r="V103" s="124"/>
      <c r="W103" s="124"/>
      <c r="X103" s="124"/>
      <c r="Y103" s="124"/>
    </row>
    <row r="104" spans="1:25" ht="23.25" x14ac:dyDescent="0.25">
      <c r="A104" s="131"/>
      <c r="B104" s="132"/>
      <c r="C104" s="132"/>
      <c r="D104" s="132"/>
      <c r="E104" s="133"/>
      <c r="F104" s="158"/>
      <c r="G104" s="157"/>
      <c r="H104" s="148"/>
      <c r="I104" s="124"/>
      <c r="J104" s="124"/>
      <c r="K104" s="124"/>
      <c r="L104" s="124"/>
      <c r="M104" s="124"/>
      <c r="N104" s="124"/>
      <c r="O104" s="124"/>
      <c r="P104" s="124"/>
      <c r="Q104" s="124"/>
      <c r="R104" s="124"/>
      <c r="S104" s="124"/>
      <c r="T104" s="124"/>
      <c r="U104" s="124"/>
      <c r="V104" s="124"/>
      <c r="W104" s="124"/>
      <c r="X104" s="124"/>
      <c r="Y104" s="124"/>
    </row>
    <row r="105" spans="1:25" ht="23.25" x14ac:dyDescent="0.25">
      <c r="A105" s="131"/>
      <c r="B105" s="163"/>
      <c r="C105" s="163"/>
      <c r="D105" s="163"/>
      <c r="E105" s="163"/>
      <c r="F105" s="159"/>
      <c r="G105" s="156"/>
      <c r="H105" s="148"/>
      <c r="I105" s="124"/>
      <c r="J105" s="124"/>
      <c r="K105" s="124"/>
      <c r="L105" s="124"/>
      <c r="M105" s="124"/>
      <c r="N105" s="124"/>
      <c r="O105" s="124"/>
      <c r="P105" s="124"/>
      <c r="Q105" s="124"/>
      <c r="R105" s="124"/>
      <c r="S105" s="124"/>
      <c r="T105" s="124"/>
      <c r="U105" s="124"/>
      <c r="V105" s="124"/>
      <c r="W105" s="124"/>
      <c r="X105" s="124"/>
      <c r="Y105" s="124"/>
    </row>
    <row r="106" spans="1:25" ht="23.25" x14ac:dyDescent="0.25">
      <c r="B106" s="163"/>
      <c r="C106" s="163"/>
      <c r="D106" s="163"/>
      <c r="E106" s="163"/>
      <c r="F106" s="149"/>
      <c r="G106" s="156"/>
      <c r="H106" s="148"/>
      <c r="I106" s="124"/>
      <c r="J106" s="124"/>
      <c r="K106" s="124"/>
      <c r="L106" s="124"/>
      <c r="M106" s="124"/>
      <c r="N106" s="124"/>
      <c r="O106" s="124"/>
      <c r="P106" s="124"/>
      <c r="Q106" s="124"/>
      <c r="R106" s="124"/>
      <c r="S106" s="124"/>
      <c r="T106" s="124"/>
      <c r="U106" s="124"/>
      <c r="V106" s="124"/>
      <c r="W106" s="124"/>
      <c r="X106" s="124"/>
      <c r="Y106" s="124"/>
    </row>
    <row r="107" spans="1:25" x14ac:dyDescent="0.25">
      <c r="A107" s="136" t="e">
        <f>IF(#REF!&lt;&gt;#REF!,#REF!,"")</f>
        <v>#REF!</v>
      </c>
      <c r="B107" s="132"/>
      <c r="C107" s="132"/>
      <c r="D107" s="132"/>
      <c r="E107" s="133"/>
      <c r="F107" s="149"/>
      <c r="G107" s="156"/>
      <c r="I107" s="124"/>
      <c r="J107" s="124"/>
      <c r="K107" s="124"/>
      <c r="L107" s="124"/>
      <c r="M107" s="124"/>
      <c r="N107" s="124"/>
      <c r="O107" s="124"/>
      <c r="P107" s="124"/>
      <c r="Q107" s="124"/>
      <c r="R107" s="124"/>
      <c r="S107" s="124"/>
      <c r="T107" s="124"/>
      <c r="U107" s="124"/>
      <c r="V107" s="124"/>
      <c r="W107" s="124"/>
      <c r="X107" s="124"/>
      <c r="Y107" s="124"/>
    </row>
    <row r="108" spans="1:25" x14ac:dyDescent="0.25">
      <c r="B108" s="132"/>
      <c r="C108" s="132"/>
      <c r="D108" s="132"/>
      <c r="E108" s="133"/>
      <c r="F108" s="149"/>
      <c r="G108" s="156"/>
      <c r="I108" s="124"/>
      <c r="J108" s="124"/>
      <c r="K108" s="124"/>
      <c r="L108" s="124"/>
      <c r="M108" s="124"/>
      <c r="N108" s="124"/>
      <c r="O108" s="124"/>
      <c r="P108" s="124"/>
      <c r="Q108" s="124"/>
      <c r="R108" s="124"/>
      <c r="S108" s="124"/>
      <c r="T108" s="124"/>
      <c r="U108" s="124"/>
      <c r="V108" s="124"/>
      <c r="W108" s="124"/>
      <c r="X108" s="124"/>
      <c r="Y108" s="124"/>
    </row>
    <row r="109" spans="1:25" x14ac:dyDescent="0.25">
      <c r="B109" s="132"/>
      <c r="C109" s="132"/>
      <c r="D109" s="132"/>
      <c r="E109" s="133"/>
      <c r="F109" s="131"/>
      <c r="G109" s="131"/>
      <c r="I109" s="124"/>
      <c r="J109" s="124"/>
      <c r="K109" s="124"/>
      <c r="L109" s="124"/>
      <c r="M109" s="124"/>
      <c r="N109" s="124"/>
      <c r="O109" s="124"/>
      <c r="P109" s="124"/>
      <c r="Q109" s="124"/>
      <c r="R109" s="124"/>
      <c r="S109" s="124"/>
      <c r="T109" s="124"/>
      <c r="U109" s="124"/>
      <c r="V109" s="124"/>
      <c r="W109" s="124"/>
      <c r="X109" s="124"/>
      <c r="Y109" s="124"/>
    </row>
    <row r="110" spans="1:25" x14ac:dyDescent="0.25">
      <c r="B110" s="131"/>
      <c r="C110" s="131"/>
      <c r="D110" s="131"/>
      <c r="E110" s="131"/>
      <c r="I110" s="124"/>
      <c r="J110" s="124"/>
      <c r="K110" s="124"/>
      <c r="L110" s="124"/>
      <c r="M110" s="124"/>
      <c r="N110" s="124"/>
      <c r="O110" s="124"/>
      <c r="P110" s="124"/>
      <c r="Q110" s="124"/>
      <c r="R110" s="124"/>
      <c r="S110" s="124"/>
      <c r="T110" s="124"/>
      <c r="U110" s="124"/>
      <c r="V110" s="124"/>
      <c r="W110" s="124"/>
      <c r="X110" s="124"/>
      <c r="Y110" s="124"/>
    </row>
    <row r="111" spans="1:25" x14ac:dyDescent="0.25">
      <c r="I111" s="124"/>
      <c r="J111" s="124"/>
      <c r="K111" s="124"/>
      <c r="L111" s="124"/>
      <c r="M111" s="124"/>
      <c r="N111" s="124"/>
      <c r="O111" s="124"/>
      <c r="P111" s="124"/>
      <c r="Q111" s="124"/>
      <c r="R111" s="124"/>
      <c r="S111" s="124"/>
      <c r="T111" s="124"/>
      <c r="U111" s="124"/>
      <c r="V111" s="124"/>
      <c r="W111" s="124"/>
      <c r="X111" s="124"/>
      <c r="Y111" s="124"/>
    </row>
    <row r="112" spans="1:25" x14ac:dyDescent="0.25">
      <c r="I112" s="124"/>
      <c r="J112" s="124"/>
      <c r="K112" s="124"/>
      <c r="L112" s="124"/>
      <c r="M112" s="124"/>
      <c r="N112" s="124"/>
      <c r="O112" s="124"/>
      <c r="P112" s="124"/>
      <c r="Q112" s="124"/>
      <c r="R112" s="124"/>
      <c r="S112" s="124"/>
      <c r="T112" s="124"/>
      <c r="U112" s="124"/>
      <c r="V112" s="124"/>
      <c r="W112" s="124"/>
      <c r="X112" s="124"/>
      <c r="Y112" s="124"/>
    </row>
    <row r="113" spans="9:25" x14ac:dyDescent="0.25">
      <c r="I113" s="124"/>
      <c r="J113" s="124"/>
      <c r="K113" s="124"/>
      <c r="L113" s="124"/>
      <c r="M113" s="124"/>
      <c r="N113" s="124"/>
      <c r="O113" s="124"/>
      <c r="P113" s="124"/>
      <c r="Q113" s="124"/>
      <c r="R113" s="124"/>
      <c r="S113" s="124"/>
      <c r="T113" s="124"/>
      <c r="U113" s="124"/>
      <c r="V113" s="124"/>
      <c r="W113" s="124"/>
      <c r="X113" s="124"/>
      <c r="Y113" s="124"/>
    </row>
    <row r="114" spans="9:25" x14ac:dyDescent="0.25">
      <c r="I114" s="124"/>
      <c r="J114" s="124"/>
      <c r="K114" s="124"/>
      <c r="L114" s="124"/>
      <c r="M114" s="124"/>
      <c r="N114" s="124"/>
      <c r="O114" s="124"/>
      <c r="P114" s="124"/>
      <c r="Q114" s="124"/>
      <c r="R114" s="124"/>
      <c r="S114" s="124"/>
      <c r="T114" s="124"/>
      <c r="U114" s="124"/>
      <c r="V114" s="124"/>
      <c r="W114" s="124"/>
      <c r="X114" s="124"/>
      <c r="Y114" s="124"/>
    </row>
    <row r="115" spans="9:25" x14ac:dyDescent="0.25">
      <c r="I115" s="124"/>
      <c r="J115" s="124"/>
      <c r="K115" s="124"/>
      <c r="L115" s="124"/>
      <c r="M115" s="124"/>
      <c r="N115" s="124"/>
      <c r="O115" s="124"/>
      <c r="P115" s="124"/>
      <c r="Q115" s="124"/>
      <c r="R115" s="124"/>
      <c r="S115" s="124"/>
      <c r="T115" s="124"/>
      <c r="U115" s="124"/>
      <c r="V115" s="124"/>
      <c r="W115" s="124"/>
      <c r="X115" s="124"/>
      <c r="Y115" s="124"/>
    </row>
    <row r="116" spans="9:25" x14ac:dyDescent="0.25">
      <c r="I116" s="124"/>
      <c r="J116" s="124"/>
      <c r="K116" s="124"/>
      <c r="L116" s="124"/>
      <c r="M116" s="124"/>
      <c r="N116" s="124"/>
      <c r="O116" s="124"/>
      <c r="P116" s="124"/>
      <c r="Q116" s="124"/>
      <c r="R116" s="124"/>
      <c r="S116" s="124"/>
      <c r="T116" s="124"/>
      <c r="U116" s="124"/>
      <c r="V116" s="124"/>
      <c r="W116" s="124"/>
      <c r="X116" s="124"/>
      <c r="Y116" s="124"/>
    </row>
    <row r="117" spans="9:25" x14ac:dyDescent="0.25">
      <c r="I117" s="124"/>
      <c r="J117" s="124"/>
      <c r="K117" s="124"/>
      <c r="L117" s="124"/>
      <c r="M117" s="124"/>
      <c r="N117" s="124"/>
      <c r="O117" s="124"/>
      <c r="P117" s="124"/>
      <c r="Q117" s="124"/>
      <c r="R117" s="124"/>
      <c r="S117" s="124"/>
      <c r="T117" s="124"/>
      <c r="U117" s="124"/>
      <c r="V117" s="124"/>
      <c r="W117" s="124"/>
      <c r="X117" s="124"/>
      <c r="Y117" s="124"/>
    </row>
    <row r="118" spans="9:25" x14ac:dyDescent="0.25">
      <c r="I118" s="124"/>
      <c r="J118" s="124"/>
      <c r="K118" s="124"/>
      <c r="L118" s="124"/>
      <c r="M118" s="124"/>
      <c r="N118" s="124"/>
      <c r="O118" s="124"/>
      <c r="P118" s="124"/>
      <c r="Q118" s="124"/>
      <c r="R118" s="124"/>
      <c r="S118" s="124"/>
      <c r="T118" s="124"/>
      <c r="U118" s="124"/>
      <c r="V118" s="124"/>
      <c r="W118" s="124"/>
      <c r="X118" s="124"/>
      <c r="Y118" s="124"/>
    </row>
    <row r="119" spans="9:25" x14ac:dyDescent="0.25">
      <c r="I119" s="124"/>
      <c r="J119" s="124"/>
      <c r="K119" s="124"/>
      <c r="L119" s="124"/>
      <c r="M119" s="124"/>
      <c r="N119" s="124"/>
      <c r="O119" s="124"/>
      <c r="P119" s="124"/>
      <c r="Q119" s="124"/>
      <c r="R119" s="124"/>
      <c r="S119" s="124"/>
      <c r="T119" s="124"/>
      <c r="U119" s="124"/>
      <c r="V119" s="124"/>
      <c r="W119" s="124"/>
      <c r="X119" s="124"/>
      <c r="Y119" s="124"/>
    </row>
    <row r="120" spans="9:25" x14ac:dyDescent="0.25">
      <c r="I120" s="124"/>
      <c r="J120" s="124"/>
      <c r="K120" s="124"/>
      <c r="L120" s="124"/>
      <c r="M120" s="124"/>
      <c r="N120" s="124"/>
      <c r="O120" s="124"/>
      <c r="P120" s="124"/>
      <c r="Q120" s="124"/>
      <c r="R120" s="124"/>
      <c r="S120" s="124"/>
      <c r="T120" s="124"/>
      <c r="U120" s="124"/>
      <c r="V120" s="124"/>
      <c r="W120" s="124"/>
      <c r="X120" s="124"/>
      <c r="Y120" s="124"/>
    </row>
    <row r="121" spans="9:25" x14ac:dyDescent="0.25">
      <c r="I121" s="124"/>
      <c r="J121" s="124"/>
      <c r="K121" s="124"/>
      <c r="L121" s="124"/>
      <c r="M121" s="124"/>
      <c r="N121" s="124"/>
      <c r="O121" s="124"/>
      <c r="P121" s="124"/>
      <c r="Q121" s="124"/>
      <c r="R121" s="124"/>
      <c r="S121" s="124"/>
      <c r="T121" s="124"/>
      <c r="U121" s="124"/>
      <c r="V121" s="124"/>
      <c r="W121" s="124"/>
      <c r="X121" s="124"/>
      <c r="Y121" s="124"/>
    </row>
    <row r="122" spans="9:25" x14ac:dyDescent="0.25">
      <c r="I122" s="124"/>
      <c r="J122" s="124"/>
      <c r="K122" s="124"/>
      <c r="L122" s="124"/>
      <c r="M122" s="124"/>
      <c r="N122" s="124"/>
      <c r="O122" s="124"/>
      <c r="P122" s="124"/>
      <c r="Q122" s="124"/>
      <c r="R122" s="124"/>
      <c r="S122" s="124"/>
      <c r="T122" s="124"/>
      <c r="U122" s="124"/>
      <c r="V122" s="124"/>
      <c r="W122" s="124"/>
      <c r="X122" s="124"/>
      <c r="Y122" s="124"/>
    </row>
    <row r="123" spans="9:25" x14ac:dyDescent="0.25">
      <c r="I123" s="124"/>
      <c r="J123" s="124"/>
      <c r="K123" s="124"/>
      <c r="L123" s="124"/>
      <c r="M123" s="124"/>
      <c r="N123" s="124"/>
      <c r="O123" s="124"/>
      <c r="P123" s="124"/>
      <c r="Q123" s="124"/>
      <c r="R123" s="124"/>
      <c r="S123" s="124"/>
      <c r="T123" s="124"/>
      <c r="U123" s="124"/>
      <c r="V123" s="124"/>
      <c r="W123" s="124"/>
      <c r="X123" s="124"/>
      <c r="Y123" s="124"/>
    </row>
    <row r="124" spans="9:25" x14ac:dyDescent="0.25">
      <c r="I124" s="124"/>
      <c r="J124" s="124"/>
      <c r="K124" s="124"/>
      <c r="L124" s="124"/>
      <c r="M124" s="124"/>
      <c r="N124" s="124"/>
      <c r="O124" s="124"/>
      <c r="P124" s="124"/>
      <c r="Q124" s="124"/>
      <c r="R124" s="124"/>
      <c r="S124" s="124"/>
      <c r="T124" s="124"/>
      <c r="U124" s="124"/>
      <c r="V124" s="124"/>
      <c r="W124" s="124"/>
      <c r="X124" s="124"/>
      <c r="Y124" s="124"/>
    </row>
    <row r="125" spans="9:25" x14ac:dyDescent="0.25">
      <c r="I125" s="124"/>
      <c r="J125" s="124"/>
      <c r="K125" s="124"/>
      <c r="L125" s="124"/>
      <c r="M125" s="124"/>
      <c r="N125" s="124"/>
      <c r="O125" s="124"/>
      <c r="P125" s="124"/>
      <c r="Q125" s="124"/>
      <c r="R125" s="124"/>
      <c r="S125" s="124"/>
      <c r="T125" s="124"/>
      <c r="U125" s="124"/>
      <c r="V125" s="124"/>
      <c r="W125" s="124"/>
      <c r="X125" s="124"/>
      <c r="Y125" s="124"/>
    </row>
    <row r="126" spans="9:25" x14ac:dyDescent="0.25">
      <c r="I126" s="124"/>
      <c r="J126" s="124"/>
      <c r="K126" s="124"/>
      <c r="L126" s="124"/>
      <c r="M126" s="124"/>
      <c r="N126" s="124"/>
      <c r="O126" s="124"/>
      <c r="P126" s="124"/>
      <c r="Q126" s="124"/>
      <c r="R126" s="124"/>
      <c r="S126" s="124"/>
      <c r="T126" s="124"/>
      <c r="U126" s="124"/>
      <c r="V126" s="124"/>
      <c r="W126" s="124"/>
      <c r="X126" s="124"/>
      <c r="Y126" s="124"/>
    </row>
    <row r="127" spans="9:25" x14ac:dyDescent="0.25">
      <c r="I127" s="124"/>
      <c r="J127" s="124"/>
      <c r="K127" s="124"/>
      <c r="L127" s="124"/>
      <c r="M127" s="124"/>
      <c r="N127" s="124"/>
      <c r="O127" s="124"/>
      <c r="P127" s="124"/>
      <c r="Q127" s="124"/>
      <c r="R127" s="124"/>
      <c r="S127" s="124"/>
      <c r="T127" s="124"/>
      <c r="U127" s="124"/>
      <c r="V127" s="124"/>
      <c r="W127" s="124"/>
      <c r="X127" s="124"/>
      <c r="Y127" s="124"/>
    </row>
    <row r="128" spans="9:25" x14ac:dyDescent="0.25">
      <c r="I128" s="124"/>
      <c r="J128" s="124"/>
      <c r="K128" s="124"/>
      <c r="L128" s="124"/>
      <c r="M128" s="124"/>
      <c r="N128" s="124"/>
      <c r="O128" s="124"/>
      <c r="P128" s="124"/>
      <c r="Q128" s="124"/>
      <c r="R128" s="124"/>
      <c r="S128" s="124"/>
      <c r="T128" s="124"/>
      <c r="U128" s="124"/>
      <c r="V128" s="124"/>
      <c r="W128" s="124"/>
      <c r="X128" s="124"/>
      <c r="Y128" s="124"/>
    </row>
    <row r="129" spans="9:25" x14ac:dyDescent="0.25">
      <c r="I129" s="124"/>
      <c r="J129" s="124"/>
      <c r="K129" s="124"/>
      <c r="L129" s="124"/>
      <c r="M129" s="124"/>
      <c r="N129" s="124"/>
      <c r="O129" s="124"/>
      <c r="P129" s="124"/>
      <c r="Q129" s="124"/>
      <c r="R129" s="124"/>
      <c r="S129" s="124"/>
      <c r="T129" s="124"/>
      <c r="U129" s="124"/>
      <c r="V129" s="124"/>
      <c r="W129" s="124"/>
      <c r="X129" s="124"/>
      <c r="Y129" s="124"/>
    </row>
    <row r="130" spans="9:25" x14ac:dyDescent="0.25">
      <c r="I130" s="124"/>
      <c r="J130" s="124"/>
      <c r="K130" s="124"/>
      <c r="L130" s="124"/>
      <c r="M130" s="124"/>
      <c r="N130" s="124"/>
      <c r="O130" s="124"/>
      <c r="P130" s="124"/>
      <c r="Q130" s="124"/>
      <c r="R130" s="124"/>
      <c r="S130" s="124"/>
      <c r="T130" s="124"/>
      <c r="U130" s="124"/>
      <c r="V130" s="124"/>
      <c r="W130" s="124"/>
      <c r="X130" s="124"/>
      <c r="Y130" s="124"/>
    </row>
    <row r="131" spans="9:25" x14ac:dyDescent="0.25">
      <c r="I131" s="124"/>
      <c r="J131" s="124"/>
      <c r="K131" s="124"/>
      <c r="L131" s="124"/>
      <c r="M131" s="124"/>
      <c r="N131" s="124"/>
      <c r="O131" s="124"/>
      <c r="P131" s="124"/>
      <c r="Q131" s="124"/>
      <c r="R131" s="124"/>
      <c r="S131" s="124"/>
      <c r="T131" s="124"/>
      <c r="U131" s="124"/>
      <c r="V131" s="124"/>
      <c r="W131" s="124"/>
      <c r="X131" s="124"/>
      <c r="Y131" s="124"/>
    </row>
    <row r="132" spans="9:25" x14ac:dyDescent="0.25">
      <c r="I132" s="124"/>
      <c r="J132" s="124"/>
      <c r="K132" s="124"/>
      <c r="L132" s="124"/>
      <c r="M132" s="124"/>
      <c r="N132" s="124"/>
      <c r="O132" s="124"/>
      <c r="P132" s="124"/>
      <c r="Q132" s="124"/>
      <c r="R132" s="124"/>
      <c r="S132" s="124"/>
      <c r="T132" s="124"/>
      <c r="U132" s="124"/>
      <c r="V132" s="124"/>
      <c r="W132" s="124"/>
      <c r="X132" s="124"/>
      <c r="Y132" s="124"/>
    </row>
    <row r="133" spans="9:25" x14ac:dyDescent="0.25">
      <c r="I133" s="124"/>
      <c r="J133" s="124"/>
      <c r="K133" s="124"/>
      <c r="L133" s="124"/>
      <c r="M133" s="124"/>
      <c r="N133" s="124"/>
      <c r="O133" s="124"/>
      <c r="P133" s="124"/>
      <c r="Q133" s="124"/>
      <c r="R133" s="124"/>
      <c r="S133" s="124"/>
      <c r="T133" s="124"/>
      <c r="U133" s="124"/>
      <c r="V133" s="124"/>
      <c r="W133" s="124"/>
      <c r="X133" s="124"/>
      <c r="Y133" s="124"/>
    </row>
    <row r="134" spans="9:25" x14ac:dyDescent="0.25">
      <c r="I134" s="124"/>
      <c r="J134" s="124"/>
      <c r="K134" s="124"/>
      <c r="L134" s="124"/>
      <c r="M134" s="124"/>
      <c r="N134" s="124"/>
      <c r="O134" s="124"/>
      <c r="P134" s="124"/>
      <c r="Q134" s="124"/>
      <c r="R134" s="124"/>
      <c r="S134" s="124"/>
      <c r="T134" s="124"/>
      <c r="U134" s="124"/>
      <c r="V134" s="124"/>
      <c r="W134" s="124"/>
      <c r="X134" s="124"/>
      <c r="Y134" s="124"/>
    </row>
    <row r="135" spans="9:25" x14ac:dyDescent="0.25">
      <c r="I135" s="124"/>
      <c r="J135" s="124"/>
      <c r="K135" s="124"/>
      <c r="L135" s="124"/>
      <c r="M135" s="124"/>
      <c r="N135" s="124"/>
      <c r="O135" s="124"/>
      <c r="P135" s="124"/>
      <c r="Q135" s="124"/>
      <c r="R135" s="124"/>
      <c r="S135" s="124"/>
      <c r="T135" s="124"/>
      <c r="U135" s="124"/>
      <c r="V135" s="124"/>
      <c r="W135" s="124"/>
      <c r="X135" s="124"/>
      <c r="Y135" s="124"/>
    </row>
    <row r="136" spans="9:25" x14ac:dyDescent="0.25">
      <c r="I136" s="124"/>
      <c r="J136" s="124"/>
      <c r="K136" s="124"/>
      <c r="L136" s="124"/>
      <c r="M136" s="124"/>
      <c r="N136" s="124"/>
      <c r="O136" s="124"/>
      <c r="P136" s="124"/>
      <c r="Q136" s="124"/>
      <c r="R136" s="124"/>
      <c r="S136" s="124"/>
      <c r="T136" s="124"/>
      <c r="U136" s="124"/>
      <c r="V136" s="124"/>
      <c r="W136" s="124"/>
      <c r="X136" s="124"/>
      <c r="Y136" s="124"/>
    </row>
    <row r="137" spans="9:25" x14ac:dyDescent="0.25">
      <c r="I137" s="124"/>
      <c r="J137" s="124"/>
      <c r="K137" s="124"/>
      <c r="L137" s="124"/>
      <c r="M137" s="124"/>
      <c r="N137" s="124"/>
      <c r="O137" s="124"/>
      <c r="P137" s="124"/>
      <c r="Q137" s="124"/>
      <c r="R137" s="124"/>
      <c r="S137" s="124"/>
      <c r="T137" s="124"/>
      <c r="U137" s="124"/>
      <c r="V137" s="124"/>
      <c r="W137" s="124"/>
      <c r="X137" s="124"/>
      <c r="Y137" s="124"/>
    </row>
    <row r="138" spans="9:25" x14ac:dyDescent="0.25">
      <c r="I138" s="124"/>
      <c r="J138" s="124"/>
      <c r="K138" s="124"/>
      <c r="L138" s="124"/>
      <c r="M138" s="124"/>
      <c r="N138" s="124"/>
      <c r="O138" s="124"/>
      <c r="P138" s="124"/>
      <c r="Q138" s="124"/>
      <c r="R138" s="124"/>
      <c r="S138" s="124"/>
      <c r="T138" s="124"/>
      <c r="U138" s="124"/>
      <c r="V138" s="124"/>
      <c r="W138" s="124"/>
      <c r="X138" s="124"/>
      <c r="Y138" s="124"/>
    </row>
    <row r="139" spans="9:25" x14ac:dyDescent="0.25">
      <c r="I139" s="124"/>
      <c r="J139" s="124"/>
      <c r="K139" s="124"/>
      <c r="L139" s="124"/>
      <c r="M139" s="124"/>
      <c r="N139" s="124"/>
      <c r="O139" s="124"/>
      <c r="P139" s="124"/>
      <c r="Q139" s="124"/>
      <c r="R139" s="124"/>
      <c r="S139" s="124"/>
      <c r="T139" s="124"/>
      <c r="U139" s="124"/>
      <c r="V139" s="124"/>
      <c r="W139" s="124"/>
      <c r="X139" s="124"/>
      <c r="Y139" s="124"/>
    </row>
    <row r="140" spans="9:25" x14ac:dyDescent="0.25">
      <c r="I140" s="124"/>
      <c r="J140" s="124"/>
      <c r="K140" s="124"/>
      <c r="L140" s="124"/>
      <c r="M140" s="124"/>
      <c r="N140" s="124"/>
      <c r="O140" s="124"/>
      <c r="P140" s="124"/>
      <c r="Q140" s="124"/>
      <c r="R140" s="124"/>
      <c r="S140" s="124"/>
      <c r="T140" s="124"/>
      <c r="U140" s="124"/>
      <c r="V140" s="124"/>
      <c r="W140" s="124"/>
      <c r="X140" s="124"/>
      <c r="Y140" s="124"/>
    </row>
    <row r="141" spans="9:25" x14ac:dyDescent="0.25">
      <c r="I141" s="124"/>
      <c r="J141" s="124"/>
      <c r="K141" s="124"/>
      <c r="L141" s="124"/>
      <c r="M141" s="124"/>
      <c r="N141" s="124"/>
      <c r="O141" s="124"/>
      <c r="P141" s="124"/>
      <c r="Q141" s="124"/>
      <c r="R141" s="124"/>
      <c r="S141" s="124"/>
      <c r="T141" s="124"/>
      <c r="U141" s="124"/>
      <c r="V141" s="124"/>
      <c r="W141" s="124"/>
      <c r="X141" s="124"/>
      <c r="Y141" s="124"/>
    </row>
    <row r="142" spans="9:25" x14ac:dyDescent="0.25">
      <c r="I142" s="124"/>
      <c r="J142" s="124"/>
      <c r="K142" s="124"/>
      <c r="L142" s="124"/>
      <c r="M142" s="124"/>
      <c r="N142" s="124"/>
      <c r="O142" s="124"/>
      <c r="P142" s="124"/>
      <c r="Q142" s="124"/>
      <c r="R142" s="124"/>
      <c r="S142" s="124"/>
      <c r="T142" s="124"/>
      <c r="U142" s="124"/>
      <c r="V142" s="124"/>
      <c r="W142" s="124"/>
      <c r="X142" s="124"/>
      <c r="Y142" s="124"/>
    </row>
    <row r="143" spans="9:25" x14ac:dyDescent="0.25">
      <c r="I143" s="124"/>
      <c r="J143" s="124"/>
      <c r="K143" s="124"/>
      <c r="L143" s="124"/>
      <c r="M143" s="124"/>
      <c r="N143" s="124"/>
      <c r="O143" s="124"/>
      <c r="P143" s="124"/>
      <c r="Q143" s="124"/>
      <c r="R143" s="124"/>
      <c r="S143" s="124"/>
      <c r="T143" s="124"/>
      <c r="U143" s="124"/>
      <c r="V143" s="124"/>
      <c r="W143" s="124"/>
      <c r="X143" s="124"/>
      <c r="Y143" s="124"/>
    </row>
    <row r="144" spans="9:25" x14ac:dyDescent="0.25">
      <c r="I144" s="124"/>
      <c r="J144" s="124"/>
      <c r="K144" s="124"/>
      <c r="L144" s="124"/>
      <c r="M144" s="124"/>
      <c r="N144" s="124"/>
      <c r="O144" s="124"/>
      <c r="P144" s="124"/>
      <c r="Q144" s="124"/>
      <c r="R144" s="124"/>
      <c r="S144" s="124"/>
      <c r="T144" s="124"/>
      <c r="U144" s="124"/>
      <c r="V144" s="124"/>
      <c r="W144" s="124"/>
      <c r="X144" s="124"/>
      <c r="Y144" s="124"/>
    </row>
    <row r="145" spans="9:25" x14ac:dyDescent="0.25">
      <c r="I145" s="124"/>
      <c r="J145" s="124"/>
      <c r="K145" s="124"/>
      <c r="L145" s="124"/>
      <c r="M145" s="124"/>
      <c r="N145" s="124"/>
      <c r="O145" s="124"/>
      <c r="P145" s="124"/>
      <c r="Q145" s="124"/>
      <c r="R145" s="124"/>
      <c r="S145" s="124"/>
      <c r="T145" s="124"/>
      <c r="U145" s="124"/>
      <c r="V145" s="124"/>
      <c r="W145" s="124"/>
      <c r="X145" s="124"/>
      <c r="Y145" s="124"/>
    </row>
    <row r="146" spans="9:25" x14ac:dyDescent="0.25">
      <c r="I146" s="124"/>
      <c r="J146" s="124"/>
      <c r="K146" s="124"/>
      <c r="L146" s="124"/>
      <c r="M146" s="124"/>
      <c r="N146" s="124"/>
      <c r="O146" s="124"/>
      <c r="P146" s="124"/>
      <c r="Q146" s="124"/>
      <c r="R146" s="124"/>
      <c r="S146" s="124"/>
      <c r="T146" s="124"/>
      <c r="U146" s="124"/>
      <c r="V146" s="124"/>
      <c r="W146" s="124"/>
      <c r="X146" s="124"/>
      <c r="Y146" s="124"/>
    </row>
    <row r="147" spans="9:25" x14ac:dyDescent="0.25">
      <c r="I147" s="124"/>
      <c r="J147" s="124"/>
      <c r="K147" s="124"/>
      <c r="L147" s="124"/>
      <c r="M147" s="124"/>
      <c r="N147" s="124"/>
      <c r="O147" s="124"/>
      <c r="P147" s="124"/>
      <c r="Q147" s="124"/>
      <c r="R147" s="124"/>
      <c r="S147" s="124"/>
      <c r="T147" s="124"/>
      <c r="U147" s="124"/>
      <c r="V147" s="124"/>
      <c r="W147" s="124"/>
      <c r="X147" s="124"/>
      <c r="Y147" s="124"/>
    </row>
    <row r="148" spans="9:25" x14ac:dyDescent="0.25">
      <c r="I148" s="124"/>
      <c r="J148" s="124"/>
      <c r="K148" s="124"/>
      <c r="L148" s="124"/>
      <c r="M148" s="124"/>
      <c r="N148" s="124"/>
      <c r="O148" s="124"/>
      <c r="P148" s="124"/>
      <c r="Q148" s="124"/>
      <c r="R148" s="124"/>
      <c r="S148" s="124"/>
      <c r="T148" s="124"/>
      <c r="U148" s="124"/>
      <c r="V148" s="124"/>
      <c r="W148" s="124"/>
      <c r="X148" s="124"/>
      <c r="Y148" s="124"/>
    </row>
    <row r="149" spans="9:25" x14ac:dyDescent="0.25">
      <c r="I149" s="124"/>
      <c r="J149" s="124"/>
      <c r="K149" s="124"/>
      <c r="L149" s="124"/>
      <c r="M149" s="124"/>
      <c r="N149" s="124"/>
      <c r="O149" s="124"/>
      <c r="P149" s="124"/>
      <c r="Q149" s="124"/>
      <c r="R149" s="124"/>
      <c r="S149" s="124"/>
      <c r="T149" s="124"/>
      <c r="U149" s="124"/>
      <c r="V149" s="124"/>
      <c r="W149" s="124"/>
      <c r="X149" s="124"/>
      <c r="Y149" s="124"/>
    </row>
    <row r="150" spans="9:25" x14ac:dyDescent="0.25">
      <c r="I150" s="124"/>
      <c r="J150" s="124"/>
      <c r="K150" s="124"/>
      <c r="L150" s="124"/>
      <c r="M150" s="124"/>
      <c r="N150" s="124"/>
      <c r="O150" s="124"/>
      <c r="P150" s="124"/>
      <c r="Q150" s="124"/>
      <c r="R150" s="124"/>
      <c r="S150" s="124"/>
      <c r="T150" s="124"/>
      <c r="U150" s="124"/>
      <c r="V150" s="124"/>
      <c r="W150" s="124"/>
      <c r="X150" s="124"/>
      <c r="Y150" s="124"/>
    </row>
    <row r="151" spans="9:25" x14ac:dyDescent="0.25">
      <c r="I151" s="124"/>
      <c r="J151" s="124"/>
      <c r="K151" s="124"/>
      <c r="L151" s="124"/>
      <c r="M151" s="124"/>
      <c r="N151" s="124"/>
      <c r="O151" s="124"/>
      <c r="P151" s="124"/>
      <c r="Q151" s="124"/>
      <c r="R151" s="124"/>
      <c r="S151" s="124"/>
      <c r="T151" s="124"/>
      <c r="U151" s="124"/>
      <c r="V151" s="124"/>
      <c r="W151" s="124"/>
      <c r="X151" s="124"/>
      <c r="Y151" s="124"/>
    </row>
    <row r="152" spans="9:25" x14ac:dyDescent="0.25">
      <c r="I152" s="124"/>
      <c r="J152" s="124"/>
      <c r="K152" s="124"/>
      <c r="L152" s="124"/>
      <c r="M152" s="124"/>
      <c r="N152" s="124"/>
      <c r="O152" s="124"/>
      <c r="P152" s="124"/>
      <c r="Q152" s="124"/>
      <c r="R152" s="124"/>
      <c r="S152" s="124"/>
      <c r="T152" s="124"/>
      <c r="U152" s="124"/>
      <c r="V152" s="124"/>
      <c r="W152" s="124"/>
      <c r="X152" s="124"/>
      <c r="Y152" s="124"/>
    </row>
    <row r="153" spans="9:25" x14ac:dyDescent="0.25">
      <c r="I153" s="124"/>
      <c r="J153" s="124"/>
      <c r="K153" s="124"/>
      <c r="L153" s="124"/>
      <c r="M153" s="124"/>
      <c r="N153" s="124"/>
      <c r="O153" s="124"/>
      <c r="P153" s="124"/>
      <c r="Q153" s="124"/>
      <c r="R153" s="124"/>
      <c r="S153" s="124"/>
      <c r="T153" s="124"/>
      <c r="U153" s="124"/>
      <c r="V153" s="124"/>
      <c r="W153" s="124"/>
      <c r="X153" s="124"/>
      <c r="Y153" s="124"/>
    </row>
    <row r="154" spans="9:25" x14ac:dyDescent="0.25">
      <c r="I154" s="124"/>
      <c r="J154" s="124"/>
      <c r="K154" s="124"/>
      <c r="L154" s="124"/>
      <c r="M154" s="124"/>
      <c r="N154" s="124"/>
      <c r="O154" s="124"/>
      <c r="P154" s="124"/>
      <c r="Q154" s="124"/>
      <c r="R154" s="124"/>
      <c r="S154" s="124"/>
      <c r="T154" s="124"/>
      <c r="U154" s="124"/>
      <c r="V154" s="124"/>
      <c r="W154" s="124"/>
      <c r="X154" s="124"/>
      <c r="Y154" s="124"/>
    </row>
    <row r="155" spans="9:25" x14ac:dyDescent="0.25">
      <c r="I155" s="124"/>
      <c r="J155" s="124"/>
      <c r="K155" s="124"/>
      <c r="L155" s="124"/>
      <c r="M155" s="124"/>
      <c r="N155" s="124"/>
      <c r="O155" s="124"/>
      <c r="P155" s="124"/>
      <c r="Q155" s="124"/>
      <c r="R155" s="124"/>
      <c r="S155" s="124"/>
      <c r="T155" s="124"/>
      <c r="U155" s="124"/>
      <c r="V155" s="124"/>
      <c r="W155" s="124"/>
      <c r="X155" s="124"/>
      <c r="Y155" s="124"/>
    </row>
    <row r="156" spans="9:25" x14ac:dyDescent="0.25">
      <c r="I156" s="124"/>
      <c r="J156" s="124"/>
      <c r="K156" s="124"/>
      <c r="L156" s="124"/>
      <c r="M156" s="124"/>
      <c r="N156" s="124"/>
      <c r="O156" s="124"/>
      <c r="P156" s="124"/>
      <c r="Q156" s="124"/>
      <c r="R156" s="124"/>
      <c r="S156" s="124"/>
      <c r="T156" s="124"/>
      <c r="U156" s="124"/>
      <c r="V156" s="124"/>
      <c r="W156" s="124"/>
      <c r="X156" s="124"/>
      <c r="Y156" s="124"/>
    </row>
    <row r="157" spans="9:25" x14ac:dyDescent="0.25">
      <c r="I157" s="124"/>
      <c r="J157" s="124"/>
      <c r="K157" s="124"/>
      <c r="L157" s="124"/>
      <c r="M157" s="124"/>
      <c r="N157" s="124"/>
      <c r="O157" s="124"/>
      <c r="P157" s="124"/>
      <c r="Q157" s="124"/>
      <c r="R157" s="124"/>
      <c r="S157" s="124"/>
      <c r="T157" s="124"/>
      <c r="U157" s="124"/>
      <c r="V157" s="124"/>
      <c r="W157" s="124"/>
      <c r="X157" s="124"/>
      <c r="Y157" s="124"/>
    </row>
    <row r="158" spans="9:25" x14ac:dyDescent="0.25">
      <c r="I158" s="124"/>
      <c r="J158" s="124"/>
      <c r="K158" s="124"/>
      <c r="L158" s="124"/>
      <c r="M158" s="124"/>
      <c r="N158" s="124"/>
      <c r="O158" s="124"/>
      <c r="P158" s="124"/>
      <c r="Q158" s="124"/>
      <c r="R158" s="124"/>
      <c r="S158" s="124"/>
      <c r="T158" s="124"/>
      <c r="U158" s="124"/>
      <c r="V158" s="124"/>
      <c r="W158" s="124"/>
      <c r="X158" s="124"/>
      <c r="Y158" s="124"/>
    </row>
    <row r="159" spans="9:25" x14ac:dyDescent="0.25">
      <c r="I159" s="124"/>
      <c r="J159" s="124"/>
      <c r="K159" s="124"/>
      <c r="L159" s="124"/>
      <c r="M159" s="124"/>
      <c r="N159" s="124"/>
      <c r="O159" s="124"/>
      <c r="P159" s="124"/>
      <c r="Q159" s="124"/>
      <c r="R159" s="124"/>
      <c r="S159" s="124"/>
      <c r="T159" s="124"/>
      <c r="U159" s="124"/>
      <c r="V159" s="124"/>
      <c r="W159" s="124"/>
      <c r="X159" s="124"/>
      <c r="Y159" s="124"/>
    </row>
    <row r="160" spans="9:25" x14ac:dyDescent="0.25">
      <c r="I160" s="124"/>
      <c r="J160" s="124"/>
      <c r="K160" s="124"/>
      <c r="L160" s="124"/>
      <c r="M160" s="124"/>
      <c r="N160" s="124"/>
      <c r="O160" s="124"/>
      <c r="P160" s="124"/>
      <c r="Q160" s="124"/>
      <c r="R160" s="124"/>
      <c r="S160" s="124"/>
      <c r="T160" s="124"/>
      <c r="U160" s="124"/>
      <c r="V160" s="124"/>
      <c r="W160" s="124"/>
      <c r="X160" s="124"/>
      <c r="Y160" s="124"/>
    </row>
    <row r="161" spans="9:25" x14ac:dyDescent="0.25">
      <c r="I161" s="124"/>
      <c r="J161" s="124"/>
      <c r="K161" s="124"/>
      <c r="L161" s="124"/>
      <c r="M161" s="124"/>
      <c r="N161" s="124"/>
      <c r="O161" s="124"/>
      <c r="P161" s="124"/>
      <c r="Q161" s="124"/>
      <c r="R161" s="124"/>
      <c r="S161" s="124"/>
      <c r="T161" s="124"/>
      <c r="U161" s="124"/>
      <c r="V161" s="124"/>
      <c r="W161" s="124"/>
      <c r="X161" s="124"/>
      <c r="Y161" s="124"/>
    </row>
    <row r="162" spans="9:25" x14ac:dyDescent="0.25">
      <c r="I162" s="124"/>
      <c r="J162" s="124"/>
      <c r="K162" s="124"/>
      <c r="L162" s="124"/>
      <c r="M162" s="124"/>
      <c r="N162" s="124"/>
      <c r="O162" s="124"/>
      <c r="P162" s="124"/>
      <c r="Q162" s="124"/>
      <c r="R162" s="124"/>
      <c r="S162" s="124"/>
      <c r="T162" s="124"/>
      <c r="U162" s="124"/>
      <c r="V162" s="124"/>
      <c r="W162" s="124"/>
      <c r="X162" s="124"/>
      <c r="Y162" s="124"/>
    </row>
    <row r="163" spans="9:25" x14ac:dyDescent="0.25">
      <c r="I163" s="124"/>
      <c r="J163" s="124"/>
      <c r="K163" s="124"/>
      <c r="L163" s="124"/>
      <c r="M163" s="124"/>
      <c r="N163" s="124"/>
      <c r="O163" s="124"/>
      <c r="P163" s="124"/>
      <c r="Q163" s="124"/>
      <c r="R163" s="124"/>
      <c r="S163" s="124"/>
      <c r="T163" s="124"/>
      <c r="U163" s="124"/>
      <c r="V163" s="124"/>
      <c r="W163" s="124"/>
      <c r="X163" s="124"/>
      <c r="Y163" s="124"/>
    </row>
    <row r="164" spans="9:25" x14ac:dyDescent="0.25">
      <c r="I164" s="124"/>
      <c r="J164" s="124"/>
      <c r="K164" s="124"/>
      <c r="L164" s="124"/>
      <c r="M164" s="124"/>
      <c r="N164" s="124"/>
      <c r="O164" s="124"/>
      <c r="P164" s="124"/>
      <c r="Q164" s="124"/>
      <c r="R164" s="124"/>
      <c r="S164" s="124"/>
      <c r="T164" s="124"/>
      <c r="U164" s="124"/>
      <c r="V164" s="124"/>
      <c r="W164" s="124"/>
      <c r="X164" s="124"/>
      <c r="Y164" s="124"/>
    </row>
    <row r="165" spans="9:25" x14ac:dyDescent="0.25">
      <c r="I165" s="124"/>
      <c r="J165" s="124"/>
      <c r="K165" s="124"/>
      <c r="L165" s="124"/>
      <c r="M165" s="124"/>
      <c r="N165" s="124"/>
      <c r="O165" s="124"/>
      <c r="P165" s="124"/>
      <c r="Q165" s="124"/>
      <c r="R165" s="124"/>
      <c r="S165" s="124"/>
      <c r="T165" s="124"/>
      <c r="U165" s="124"/>
      <c r="V165" s="124"/>
      <c r="W165" s="124"/>
      <c r="X165" s="124"/>
      <c r="Y165" s="124"/>
    </row>
    <row r="166" spans="9:25" x14ac:dyDescent="0.25">
      <c r="I166" s="124"/>
      <c r="J166" s="124"/>
      <c r="K166" s="124"/>
      <c r="L166" s="124"/>
      <c r="M166" s="124"/>
      <c r="N166" s="124"/>
      <c r="O166" s="124"/>
      <c r="P166" s="124"/>
      <c r="Q166" s="124"/>
      <c r="R166" s="124"/>
      <c r="S166" s="124"/>
      <c r="T166" s="124"/>
      <c r="U166" s="124"/>
      <c r="V166" s="124"/>
      <c r="W166" s="124"/>
      <c r="X166" s="124"/>
      <c r="Y166" s="124"/>
    </row>
    <row r="167" spans="9:25" x14ac:dyDescent="0.25">
      <c r="I167" s="124"/>
      <c r="J167" s="124"/>
      <c r="K167" s="124"/>
      <c r="L167" s="124"/>
      <c r="M167" s="124"/>
      <c r="N167" s="124"/>
      <c r="O167" s="124"/>
      <c r="P167" s="124"/>
      <c r="Q167" s="124"/>
      <c r="R167" s="124"/>
      <c r="S167" s="124"/>
      <c r="T167" s="124"/>
      <c r="U167" s="124"/>
      <c r="V167" s="124"/>
      <c r="W167" s="124"/>
      <c r="X167" s="124"/>
      <c r="Y167" s="124"/>
    </row>
    <row r="168" spans="9:25" x14ac:dyDescent="0.25">
      <c r="I168" s="124"/>
      <c r="J168" s="124"/>
      <c r="K168" s="124"/>
      <c r="L168" s="124"/>
      <c r="M168" s="124"/>
      <c r="N168" s="124"/>
      <c r="O168" s="124"/>
      <c r="P168" s="124"/>
      <c r="Q168" s="124"/>
      <c r="R168" s="124"/>
      <c r="S168" s="124"/>
      <c r="T168" s="124"/>
      <c r="U168" s="124"/>
      <c r="V168" s="124"/>
      <c r="W168" s="124"/>
      <c r="X168" s="124"/>
      <c r="Y168" s="124"/>
    </row>
    <row r="169" spans="9:25" x14ac:dyDescent="0.25">
      <c r="I169" s="124"/>
      <c r="J169" s="124"/>
      <c r="K169" s="124"/>
      <c r="L169" s="124"/>
      <c r="M169" s="124"/>
      <c r="N169" s="124"/>
      <c r="O169" s="124"/>
      <c r="P169" s="124"/>
      <c r="Q169" s="124"/>
      <c r="R169" s="124"/>
      <c r="S169" s="124"/>
      <c r="T169" s="124"/>
      <c r="U169" s="124"/>
      <c r="V169" s="124"/>
      <c r="W169" s="124"/>
      <c r="X169" s="124"/>
      <c r="Y169" s="124"/>
    </row>
    <row r="170" spans="9:25" x14ac:dyDescent="0.25">
      <c r="I170" s="124"/>
      <c r="J170" s="124"/>
      <c r="K170" s="124"/>
      <c r="L170" s="124"/>
      <c r="M170" s="124"/>
      <c r="N170" s="124"/>
      <c r="O170" s="124"/>
      <c r="P170" s="124"/>
      <c r="Q170" s="124"/>
      <c r="R170" s="124"/>
      <c r="S170" s="124"/>
      <c r="T170" s="124"/>
      <c r="U170" s="124"/>
      <c r="V170" s="124"/>
      <c r="W170" s="124"/>
      <c r="X170" s="124"/>
      <c r="Y170" s="124"/>
    </row>
    <row r="171" spans="9:25" x14ac:dyDescent="0.25">
      <c r="I171" s="124"/>
      <c r="J171" s="124"/>
      <c r="K171" s="124"/>
      <c r="L171" s="124"/>
      <c r="M171" s="124"/>
      <c r="N171" s="124"/>
      <c r="O171" s="124"/>
      <c r="P171" s="124"/>
      <c r="Q171" s="124"/>
      <c r="R171" s="124"/>
      <c r="S171" s="124"/>
      <c r="T171" s="124"/>
      <c r="U171" s="124"/>
      <c r="V171" s="124"/>
      <c r="W171" s="124"/>
      <c r="X171" s="124"/>
      <c r="Y171" s="124"/>
    </row>
    <row r="172" spans="9:25" x14ac:dyDescent="0.25">
      <c r="I172" s="124"/>
      <c r="J172" s="124"/>
      <c r="K172" s="124"/>
      <c r="L172" s="124"/>
      <c r="M172" s="124"/>
      <c r="N172" s="124"/>
      <c r="O172" s="124"/>
      <c r="P172" s="124"/>
      <c r="Q172" s="124"/>
      <c r="R172" s="124"/>
      <c r="S172" s="124"/>
      <c r="T172" s="124"/>
      <c r="U172" s="124"/>
      <c r="V172" s="124"/>
      <c r="W172" s="124"/>
      <c r="X172" s="124"/>
      <c r="Y172" s="124"/>
    </row>
    <row r="173" spans="9:25" x14ac:dyDescent="0.25">
      <c r="I173" s="124"/>
      <c r="J173" s="124"/>
      <c r="K173" s="124"/>
      <c r="L173" s="124"/>
      <c r="M173" s="124"/>
      <c r="N173" s="124"/>
      <c r="O173" s="124"/>
      <c r="P173" s="124"/>
      <c r="Q173" s="124"/>
      <c r="R173" s="124"/>
      <c r="S173" s="124"/>
      <c r="T173" s="124"/>
      <c r="U173" s="124"/>
      <c r="V173" s="124"/>
      <c r="W173" s="124"/>
      <c r="X173" s="124"/>
      <c r="Y173" s="124"/>
    </row>
    <row r="174" spans="9:25" x14ac:dyDescent="0.25">
      <c r="I174" s="124"/>
      <c r="J174" s="124"/>
      <c r="K174" s="124"/>
      <c r="L174" s="124"/>
      <c r="M174" s="124"/>
      <c r="N174" s="124"/>
      <c r="O174" s="124"/>
      <c r="P174" s="124"/>
      <c r="Q174" s="124"/>
      <c r="R174" s="124"/>
      <c r="S174" s="124"/>
      <c r="T174" s="124"/>
      <c r="U174" s="124"/>
      <c r="V174" s="124"/>
      <c r="W174" s="124"/>
      <c r="X174" s="124"/>
      <c r="Y174" s="124"/>
    </row>
    <row r="175" spans="9:25" x14ac:dyDescent="0.25">
      <c r="I175" s="124"/>
      <c r="J175" s="124"/>
      <c r="K175" s="124"/>
      <c r="L175" s="124"/>
      <c r="M175" s="124"/>
      <c r="N175" s="124"/>
      <c r="O175" s="124"/>
      <c r="P175" s="124"/>
      <c r="Q175" s="124"/>
      <c r="R175" s="124"/>
      <c r="S175" s="124"/>
      <c r="T175" s="124"/>
      <c r="U175" s="124"/>
      <c r="V175" s="124"/>
      <c r="W175" s="124"/>
      <c r="X175" s="124"/>
      <c r="Y175" s="124"/>
    </row>
    <row r="176" spans="9:25" x14ac:dyDescent="0.25">
      <c r="I176" s="124"/>
      <c r="J176" s="124"/>
      <c r="K176" s="124"/>
      <c r="L176" s="124"/>
      <c r="M176" s="124"/>
      <c r="N176" s="124"/>
      <c r="O176" s="124"/>
      <c r="P176" s="124"/>
      <c r="Q176" s="124"/>
      <c r="R176" s="124"/>
      <c r="S176" s="124"/>
      <c r="T176" s="124"/>
      <c r="U176" s="124"/>
      <c r="V176" s="124"/>
      <c r="W176" s="124"/>
      <c r="X176" s="124"/>
      <c r="Y176" s="124"/>
    </row>
    <row r="177" spans="9:25" x14ac:dyDescent="0.25">
      <c r="I177" s="124"/>
      <c r="J177" s="124"/>
      <c r="K177" s="124"/>
      <c r="L177" s="124"/>
      <c r="M177" s="124"/>
      <c r="N177" s="124"/>
      <c r="O177" s="124"/>
      <c r="P177" s="124"/>
      <c r="Q177" s="124"/>
      <c r="R177" s="124"/>
      <c r="S177" s="124"/>
      <c r="T177" s="124"/>
      <c r="U177" s="124"/>
      <c r="V177" s="124"/>
      <c r="W177" s="124"/>
      <c r="X177" s="124"/>
      <c r="Y177" s="124"/>
    </row>
    <row r="178" spans="9:25" x14ac:dyDescent="0.25">
      <c r="I178" s="124"/>
      <c r="J178" s="124"/>
      <c r="K178" s="124"/>
      <c r="L178" s="124"/>
      <c r="M178" s="124"/>
      <c r="N178" s="124"/>
      <c r="O178" s="124"/>
      <c r="P178" s="124"/>
      <c r="Q178" s="124"/>
      <c r="R178" s="124"/>
      <c r="S178" s="124"/>
      <c r="T178" s="124"/>
      <c r="U178" s="124"/>
      <c r="V178" s="124"/>
      <c r="W178" s="124"/>
      <c r="X178" s="124"/>
      <c r="Y178" s="124"/>
    </row>
    <row r="179" spans="9:25" x14ac:dyDescent="0.25">
      <c r="I179" s="124"/>
      <c r="J179" s="124"/>
      <c r="K179" s="124"/>
      <c r="L179" s="124"/>
      <c r="M179" s="124"/>
      <c r="N179" s="124"/>
      <c r="O179" s="124"/>
      <c r="P179" s="124"/>
      <c r="Q179" s="124"/>
      <c r="R179" s="124"/>
      <c r="S179" s="124"/>
      <c r="T179" s="124"/>
      <c r="U179" s="124"/>
      <c r="V179" s="124"/>
      <c r="W179" s="124"/>
      <c r="X179" s="124"/>
      <c r="Y179" s="124"/>
    </row>
    <row r="180" spans="9:25" x14ac:dyDescent="0.25">
      <c r="I180" s="124"/>
      <c r="J180" s="124"/>
      <c r="K180" s="124"/>
      <c r="L180" s="124"/>
      <c r="M180" s="124"/>
      <c r="N180" s="124"/>
      <c r="O180" s="124"/>
      <c r="P180" s="124"/>
      <c r="Q180" s="124"/>
      <c r="R180" s="124"/>
      <c r="S180" s="124"/>
      <c r="T180" s="124"/>
      <c r="U180" s="124"/>
      <c r="V180" s="124"/>
      <c r="W180" s="124"/>
      <c r="X180" s="124"/>
      <c r="Y180" s="124"/>
    </row>
    <row r="181" spans="9:25" x14ac:dyDescent="0.25">
      <c r="I181" s="124"/>
      <c r="J181" s="124"/>
      <c r="K181" s="124"/>
      <c r="L181" s="124"/>
      <c r="M181" s="124"/>
      <c r="N181" s="124"/>
      <c r="O181" s="124"/>
      <c r="P181" s="124"/>
      <c r="Q181" s="124"/>
      <c r="R181" s="124"/>
      <c r="S181" s="124"/>
      <c r="T181" s="124"/>
      <c r="U181" s="124"/>
      <c r="V181" s="124"/>
      <c r="W181" s="124"/>
      <c r="X181" s="124"/>
      <c r="Y181" s="124"/>
    </row>
    <row r="182" spans="9:25" x14ac:dyDescent="0.25">
      <c r="I182" s="124"/>
      <c r="J182" s="124"/>
      <c r="K182" s="124"/>
      <c r="L182" s="124"/>
      <c r="M182" s="124"/>
      <c r="N182" s="124"/>
      <c r="O182" s="124"/>
      <c r="P182" s="124"/>
      <c r="Q182" s="124"/>
      <c r="R182" s="124"/>
      <c r="S182" s="124"/>
      <c r="T182" s="124"/>
      <c r="U182" s="124"/>
      <c r="V182" s="124"/>
      <c r="W182" s="124"/>
      <c r="X182" s="124"/>
      <c r="Y182" s="124"/>
    </row>
    <row r="183" spans="9:25" x14ac:dyDescent="0.25">
      <c r="I183" s="124"/>
      <c r="J183" s="124"/>
      <c r="K183" s="124"/>
      <c r="L183" s="124"/>
      <c r="M183" s="124"/>
      <c r="N183" s="124"/>
      <c r="O183" s="124"/>
      <c r="P183" s="124"/>
      <c r="Q183" s="124"/>
      <c r="R183" s="124"/>
      <c r="S183" s="124"/>
      <c r="T183" s="124"/>
      <c r="U183" s="124"/>
      <c r="V183" s="124"/>
      <c r="W183" s="124"/>
      <c r="X183" s="124"/>
      <c r="Y183" s="124"/>
    </row>
    <row r="184" spans="9:25" x14ac:dyDescent="0.25">
      <c r="I184" s="124"/>
      <c r="J184" s="124"/>
      <c r="K184" s="124"/>
      <c r="L184" s="124"/>
      <c r="M184" s="124"/>
      <c r="N184" s="124"/>
      <c r="O184" s="124"/>
      <c r="P184" s="124"/>
      <c r="Q184" s="124"/>
      <c r="R184" s="124"/>
      <c r="S184" s="124"/>
      <c r="T184" s="124"/>
      <c r="U184" s="124"/>
      <c r="V184" s="124"/>
      <c r="W184" s="124"/>
      <c r="X184" s="124"/>
      <c r="Y184" s="124"/>
    </row>
    <row r="185" spans="9:25" x14ac:dyDescent="0.25">
      <c r="I185" s="124"/>
      <c r="J185" s="124"/>
      <c r="K185" s="124"/>
      <c r="L185" s="124"/>
      <c r="M185" s="124"/>
      <c r="N185" s="124"/>
      <c r="O185" s="124"/>
      <c r="P185" s="124"/>
      <c r="Q185" s="124"/>
      <c r="R185" s="124"/>
      <c r="S185" s="124"/>
      <c r="T185" s="124"/>
      <c r="U185" s="124"/>
      <c r="V185" s="124"/>
      <c r="W185" s="124"/>
      <c r="X185" s="124"/>
      <c r="Y185" s="124"/>
    </row>
    <row r="186" spans="9:25" x14ac:dyDescent="0.25">
      <c r="I186" s="124"/>
      <c r="J186" s="124"/>
      <c r="K186" s="124"/>
      <c r="L186" s="124"/>
      <c r="M186" s="124"/>
      <c r="N186" s="124"/>
      <c r="O186" s="124"/>
      <c r="P186" s="124"/>
      <c r="Q186" s="124"/>
      <c r="R186" s="124"/>
      <c r="S186" s="124"/>
      <c r="T186" s="124"/>
      <c r="U186" s="124"/>
      <c r="V186" s="124"/>
      <c r="W186" s="124"/>
      <c r="X186" s="124"/>
      <c r="Y186" s="124"/>
    </row>
    <row r="187" spans="9:25" x14ac:dyDescent="0.25">
      <c r="I187" s="124"/>
      <c r="J187" s="124"/>
      <c r="K187" s="124"/>
      <c r="L187" s="124"/>
      <c r="M187" s="124"/>
      <c r="N187" s="124"/>
      <c r="O187" s="124"/>
      <c r="P187" s="124"/>
      <c r="Q187" s="124"/>
      <c r="R187" s="124"/>
      <c r="S187" s="124"/>
      <c r="T187" s="124"/>
      <c r="U187" s="124"/>
      <c r="V187" s="124"/>
      <c r="W187" s="124"/>
      <c r="X187" s="124"/>
      <c r="Y187" s="124"/>
    </row>
    <row r="188" spans="9:25" x14ac:dyDescent="0.25">
      <c r="I188" s="124"/>
      <c r="J188" s="124"/>
      <c r="K188" s="124"/>
      <c r="L188" s="124"/>
      <c r="M188" s="124"/>
      <c r="N188" s="124"/>
      <c r="O188" s="124"/>
      <c r="P188" s="124"/>
      <c r="Q188" s="124"/>
      <c r="R188" s="124"/>
      <c r="S188" s="124"/>
      <c r="T188" s="124"/>
      <c r="U188" s="124"/>
      <c r="V188" s="124"/>
      <c r="W188" s="124"/>
      <c r="X188" s="124"/>
      <c r="Y188" s="124"/>
    </row>
    <row r="189" spans="9:25" x14ac:dyDescent="0.25">
      <c r="I189" s="124"/>
      <c r="J189" s="124"/>
      <c r="K189" s="124"/>
      <c r="L189" s="124"/>
      <c r="M189" s="124"/>
      <c r="N189" s="124"/>
      <c r="O189" s="124"/>
      <c r="P189" s="124"/>
      <c r="Q189" s="124"/>
      <c r="R189" s="124"/>
      <c r="S189" s="124"/>
      <c r="T189" s="124"/>
      <c r="U189" s="124"/>
      <c r="V189" s="124"/>
      <c r="W189" s="124"/>
      <c r="X189" s="124"/>
      <c r="Y189" s="124"/>
    </row>
    <row r="190" spans="9:25" x14ac:dyDescent="0.25">
      <c r="I190" s="124"/>
      <c r="J190" s="124"/>
      <c r="K190" s="124"/>
      <c r="L190" s="124"/>
      <c r="M190" s="124"/>
      <c r="N190" s="124"/>
      <c r="O190" s="124"/>
      <c r="P190" s="124"/>
      <c r="Q190" s="124"/>
      <c r="R190" s="124"/>
      <c r="S190" s="124"/>
      <c r="T190" s="124"/>
      <c r="U190" s="124"/>
      <c r="V190" s="124"/>
      <c r="W190" s="124"/>
      <c r="X190" s="124"/>
      <c r="Y190" s="124"/>
    </row>
    <row r="191" spans="9:25" x14ac:dyDescent="0.25">
      <c r="I191" s="124"/>
      <c r="J191" s="124"/>
      <c r="K191" s="124"/>
      <c r="L191" s="124"/>
      <c r="M191" s="124"/>
      <c r="N191" s="124"/>
      <c r="O191" s="124"/>
      <c r="P191" s="124"/>
      <c r="Q191" s="124"/>
      <c r="R191" s="124"/>
      <c r="S191" s="124"/>
      <c r="T191" s="124"/>
      <c r="U191" s="124"/>
      <c r="V191" s="124"/>
      <c r="W191" s="124"/>
      <c r="X191" s="124"/>
      <c r="Y191" s="124"/>
    </row>
    <row r="192" spans="9:25" x14ac:dyDescent="0.25">
      <c r="I192" s="124"/>
      <c r="J192" s="124"/>
      <c r="K192" s="124"/>
      <c r="L192" s="124"/>
      <c r="M192" s="124"/>
      <c r="N192" s="124"/>
      <c r="O192" s="124"/>
      <c r="P192" s="124"/>
      <c r="Q192" s="124"/>
      <c r="R192" s="124"/>
      <c r="S192" s="124"/>
      <c r="T192" s="124"/>
      <c r="U192" s="124"/>
      <c r="V192" s="124"/>
      <c r="W192" s="124"/>
      <c r="X192" s="124"/>
      <c r="Y192" s="124"/>
    </row>
    <row r="193" spans="9:25" x14ac:dyDescent="0.25">
      <c r="I193" s="124"/>
      <c r="J193" s="124"/>
      <c r="K193" s="124"/>
      <c r="L193" s="124"/>
      <c r="M193" s="124"/>
      <c r="N193" s="124"/>
      <c r="O193" s="124"/>
      <c r="P193" s="124"/>
      <c r="Q193" s="124"/>
      <c r="R193" s="124"/>
      <c r="S193" s="124"/>
      <c r="T193" s="124"/>
      <c r="U193" s="124"/>
      <c r="V193" s="124"/>
      <c r="W193" s="124"/>
      <c r="X193" s="124"/>
      <c r="Y193" s="124"/>
    </row>
    <row r="194" spans="9:25" x14ac:dyDescent="0.25">
      <c r="I194" s="124"/>
      <c r="J194" s="124"/>
      <c r="K194" s="124"/>
      <c r="L194" s="124"/>
      <c r="M194" s="124"/>
      <c r="N194" s="124"/>
      <c r="O194" s="124"/>
      <c r="P194" s="124"/>
      <c r="Q194" s="124"/>
      <c r="R194" s="124"/>
      <c r="S194" s="124"/>
      <c r="T194" s="124"/>
      <c r="U194" s="124"/>
      <c r="V194" s="124"/>
      <c r="W194" s="124"/>
      <c r="X194" s="124"/>
      <c r="Y194" s="124"/>
    </row>
    <row r="195" spans="9:25" x14ac:dyDescent="0.25">
      <c r="I195" s="124"/>
      <c r="J195" s="124"/>
      <c r="K195" s="124"/>
      <c r="L195" s="124"/>
      <c r="M195" s="124"/>
      <c r="N195" s="124"/>
      <c r="O195" s="124"/>
      <c r="P195" s="124"/>
      <c r="Q195" s="124"/>
      <c r="R195" s="124"/>
      <c r="S195" s="124"/>
      <c r="T195" s="124"/>
      <c r="U195" s="124"/>
      <c r="V195" s="124"/>
      <c r="W195" s="124"/>
      <c r="X195" s="124"/>
      <c r="Y195" s="124"/>
    </row>
    <row r="196" spans="9:25" x14ac:dyDescent="0.25">
      <c r="I196" s="124"/>
      <c r="J196" s="124"/>
      <c r="K196" s="124"/>
      <c r="L196" s="124"/>
      <c r="M196" s="124"/>
      <c r="N196" s="124"/>
      <c r="O196" s="124"/>
      <c r="P196" s="124"/>
      <c r="Q196" s="124"/>
      <c r="R196" s="124"/>
      <c r="S196" s="124"/>
      <c r="T196" s="124"/>
      <c r="U196" s="124"/>
      <c r="V196" s="124"/>
      <c r="W196" s="124"/>
      <c r="X196" s="124"/>
      <c r="Y196" s="124"/>
    </row>
    <row r="197" spans="9:25" x14ac:dyDescent="0.25">
      <c r="I197" s="124"/>
      <c r="J197" s="124"/>
      <c r="K197" s="124"/>
      <c r="L197" s="124"/>
      <c r="M197" s="124"/>
      <c r="N197" s="124"/>
      <c r="O197" s="124"/>
      <c r="P197" s="124"/>
      <c r="Q197" s="124"/>
      <c r="R197" s="124"/>
      <c r="S197" s="124"/>
      <c r="T197" s="124"/>
      <c r="U197" s="124"/>
      <c r="V197" s="124"/>
      <c r="W197" s="124"/>
      <c r="X197" s="124"/>
      <c r="Y197" s="124"/>
    </row>
    <row r="198" spans="9:25" x14ac:dyDescent="0.25">
      <c r="I198" s="124"/>
      <c r="J198" s="124"/>
      <c r="K198" s="124"/>
      <c r="L198" s="124"/>
      <c r="M198" s="124"/>
      <c r="N198" s="124"/>
      <c r="O198" s="124"/>
      <c r="P198" s="124"/>
      <c r="Q198" s="124"/>
      <c r="R198" s="124"/>
      <c r="S198" s="124"/>
      <c r="T198" s="124"/>
      <c r="U198" s="124"/>
      <c r="V198" s="124"/>
      <c r="W198" s="124"/>
      <c r="X198" s="124"/>
      <c r="Y198" s="124"/>
    </row>
    <row r="199" spans="9:25" x14ac:dyDescent="0.25">
      <c r="I199" s="124"/>
      <c r="J199" s="124"/>
      <c r="K199" s="124"/>
      <c r="L199" s="124"/>
      <c r="M199" s="124"/>
      <c r="N199" s="124"/>
      <c r="O199" s="124"/>
      <c r="P199" s="124"/>
      <c r="Q199" s="124"/>
      <c r="R199" s="124"/>
      <c r="S199" s="124"/>
      <c r="T199" s="124"/>
      <c r="U199" s="124"/>
      <c r="V199" s="124"/>
      <c r="W199" s="124"/>
      <c r="X199" s="124"/>
      <c r="Y199" s="124"/>
    </row>
    <row r="200" spans="9:25" x14ac:dyDescent="0.25">
      <c r="I200" s="124"/>
      <c r="J200" s="124"/>
      <c r="K200" s="124"/>
      <c r="L200" s="124"/>
      <c r="M200" s="124"/>
      <c r="N200" s="124"/>
      <c r="O200" s="124"/>
      <c r="P200" s="124"/>
      <c r="Q200" s="124"/>
      <c r="R200" s="124"/>
      <c r="S200" s="124"/>
      <c r="T200" s="124"/>
      <c r="U200" s="124"/>
      <c r="V200" s="124"/>
      <c r="W200" s="124"/>
      <c r="X200" s="124"/>
      <c r="Y200" s="124"/>
    </row>
    <row r="201" spans="9:25" x14ac:dyDescent="0.25">
      <c r="I201" s="124"/>
      <c r="J201" s="124"/>
      <c r="K201" s="124"/>
      <c r="L201" s="124"/>
      <c r="M201" s="124"/>
      <c r="N201" s="124"/>
      <c r="O201" s="124"/>
      <c r="P201" s="124"/>
      <c r="Q201" s="124"/>
      <c r="R201" s="124"/>
      <c r="S201" s="124"/>
      <c r="T201" s="124"/>
      <c r="U201" s="124"/>
      <c r="V201" s="124"/>
      <c r="W201" s="124"/>
      <c r="X201" s="124"/>
      <c r="Y201" s="124"/>
    </row>
    <row r="202" spans="9:25" x14ac:dyDescent="0.25">
      <c r="I202" s="124"/>
      <c r="J202" s="124"/>
      <c r="K202" s="124"/>
      <c r="L202" s="124"/>
      <c r="M202" s="124"/>
      <c r="N202" s="124"/>
      <c r="O202" s="124"/>
      <c r="P202" s="124"/>
      <c r="Q202" s="124"/>
      <c r="R202" s="124"/>
      <c r="S202" s="124"/>
      <c r="T202" s="124"/>
      <c r="U202" s="124"/>
      <c r="V202" s="124"/>
      <c r="W202" s="124"/>
      <c r="X202" s="124"/>
      <c r="Y202" s="124"/>
    </row>
    <row r="203" spans="9:25" x14ac:dyDescent="0.25">
      <c r="I203" s="124"/>
      <c r="J203" s="124"/>
      <c r="K203" s="124"/>
      <c r="L203" s="124"/>
      <c r="M203" s="124"/>
      <c r="N203" s="124"/>
      <c r="O203" s="124"/>
      <c r="P203" s="124"/>
      <c r="Q203" s="124"/>
      <c r="R203" s="124"/>
      <c r="S203" s="124"/>
      <c r="T203" s="124"/>
      <c r="U203" s="124"/>
      <c r="V203" s="124"/>
      <c r="W203" s="124"/>
      <c r="X203" s="124"/>
      <c r="Y203" s="124"/>
    </row>
    <row r="204" spans="9:25" x14ac:dyDescent="0.25">
      <c r="I204" s="124"/>
      <c r="J204" s="124"/>
      <c r="K204" s="124"/>
      <c r="L204" s="124"/>
      <c r="M204" s="124"/>
      <c r="N204" s="124"/>
      <c r="O204" s="124"/>
      <c r="P204" s="124"/>
      <c r="Q204" s="124"/>
      <c r="R204" s="124"/>
      <c r="S204" s="124"/>
      <c r="T204" s="124"/>
      <c r="U204" s="124"/>
      <c r="V204" s="124"/>
      <c r="W204" s="124"/>
      <c r="X204" s="124"/>
      <c r="Y204" s="124"/>
    </row>
    <row r="205" spans="9:25" x14ac:dyDescent="0.25">
      <c r="I205" s="124"/>
      <c r="J205" s="124"/>
      <c r="K205" s="124"/>
      <c r="L205" s="124"/>
      <c r="M205" s="124"/>
      <c r="N205" s="124"/>
      <c r="O205" s="124"/>
      <c r="P205" s="124"/>
      <c r="Q205" s="124"/>
      <c r="R205" s="124"/>
      <c r="S205" s="124"/>
      <c r="T205" s="124"/>
      <c r="U205" s="124"/>
      <c r="V205" s="124"/>
      <c r="W205" s="124"/>
      <c r="X205" s="124"/>
      <c r="Y205" s="124"/>
    </row>
    <row r="206" spans="9:25" x14ac:dyDescent="0.25">
      <c r="I206" s="124"/>
      <c r="J206" s="124"/>
      <c r="K206" s="124"/>
      <c r="L206" s="124"/>
      <c r="M206" s="124"/>
      <c r="N206" s="124"/>
      <c r="O206" s="124"/>
      <c r="P206" s="124"/>
      <c r="Q206" s="124"/>
      <c r="R206" s="124"/>
      <c r="S206" s="124"/>
      <c r="T206" s="124"/>
      <c r="U206" s="124"/>
      <c r="V206" s="124"/>
      <c r="W206" s="124"/>
      <c r="X206" s="124"/>
      <c r="Y206" s="124"/>
    </row>
  </sheetData>
  <mergeCells count="3">
    <mergeCell ref="B1:H1"/>
    <mergeCell ref="B3:C3"/>
    <mergeCell ref="B6:E7"/>
  </mergeCells>
  <dataValidations count="1">
    <dataValidation type="list" allowBlank="1" showInputMessage="1" showErrorMessage="1" sqref="C53 C8:C15 C17:C24 C26:C33 C35:C42 C44:C51">
      <formula1>List_Variable_Sizes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/>
  <dimension ref="A1:Y194"/>
  <sheetViews>
    <sheetView tabSelected="1" zoomScale="60" zoomScaleNormal="60" workbookViewId="0">
      <pane ySplit="5" topLeftCell="A6" activePane="bottomLeft" state="frozen"/>
      <selection pane="bottomLeft" activeCell="A32" sqref="A32"/>
    </sheetView>
  </sheetViews>
  <sheetFormatPr defaultRowHeight="15" x14ac:dyDescent="0.25"/>
  <cols>
    <col min="1" max="1" width="13.28515625" style="62" customWidth="1"/>
    <col min="2" max="2" width="51.85546875" style="57" customWidth="1"/>
    <col min="3" max="4" width="16.140625" style="57" customWidth="1"/>
    <col min="5" max="5" width="193" style="57" customWidth="1"/>
    <col min="6" max="6" width="34.85546875" style="57" customWidth="1"/>
    <col min="7" max="7" width="17.7109375" style="57" bestFit="1" customWidth="1"/>
    <col min="8" max="8" width="42" style="32" customWidth="1"/>
    <col min="9" max="9" width="19.7109375" style="32" customWidth="1"/>
    <col min="10" max="10" width="20.42578125" style="32" customWidth="1"/>
    <col min="11" max="25" width="9.140625" style="32"/>
    <col min="26" max="16384" width="9.140625" style="57"/>
  </cols>
  <sheetData>
    <row r="1" spans="1:25" ht="27" customHeight="1" x14ac:dyDescent="0.25">
      <c r="B1" s="112" t="s">
        <v>225</v>
      </c>
      <c r="C1" s="112"/>
      <c r="D1" s="112"/>
      <c r="E1" s="112"/>
      <c r="F1" s="112"/>
      <c r="G1" s="112"/>
      <c r="H1" s="112"/>
      <c r="I1" s="10"/>
      <c r="J1" s="10"/>
      <c r="K1" s="10"/>
      <c r="L1" s="10"/>
      <c r="M1" s="10"/>
      <c r="N1" s="10"/>
      <c r="O1" s="10"/>
      <c r="P1" s="10"/>
    </row>
    <row r="2" spans="1:25" ht="15" customHeight="1" x14ac:dyDescent="0.25"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</row>
    <row r="3" spans="1:25" ht="15" customHeight="1" x14ac:dyDescent="0.25"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</row>
    <row r="4" spans="1:25" s="62" customFormat="1" ht="46.5" x14ac:dyDescent="0.25">
      <c r="B4" s="89"/>
      <c r="C4" s="103"/>
      <c r="D4" s="103"/>
      <c r="E4" s="89"/>
      <c r="F4" s="89"/>
      <c r="G4" s="89" t="s">
        <v>212</v>
      </c>
      <c r="H4" s="8"/>
      <c r="I4" s="70"/>
      <c r="J4" s="70"/>
      <c r="K4" s="70"/>
      <c r="L4" s="70"/>
      <c r="M4" s="70"/>
      <c r="N4" s="70"/>
      <c r="O4" s="70"/>
      <c r="P4" s="70"/>
      <c r="Q4" s="8"/>
      <c r="R4" s="8"/>
      <c r="S4" s="8"/>
      <c r="T4" s="8"/>
      <c r="U4" s="8"/>
      <c r="V4" s="8"/>
      <c r="W4" s="8"/>
      <c r="X4" s="8"/>
      <c r="Y4" s="8"/>
    </row>
    <row r="5" spans="1:25" s="75" customFormat="1" ht="44.25" customHeight="1" x14ac:dyDescent="0.25">
      <c r="A5" s="104" t="s">
        <v>231</v>
      </c>
      <c r="B5" s="105" t="s">
        <v>213</v>
      </c>
      <c r="C5" s="104" t="s">
        <v>232</v>
      </c>
      <c r="D5" s="104" t="s">
        <v>233</v>
      </c>
      <c r="E5" s="104" t="s">
        <v>214</v>
      </c>
      <c r="F5" s="106" t="s">
        <v>226</v>
      </c>
      <c r="G5" s="106" t="s">
        <v>238</v>
      </c>
      <c r="H5" s="106" t="s">
        <v>237</v>
      </c>
      <c r="K5" s="103"/>
      <c r="L5" s="103"/>
      <c r="M5" s="103"/>
      <c r="N5" s="103"/>
      <c r="O5" s="103"/>
      <c r="P5" s="8"/>
      <c r="Q5" s="8"/>
      <c r="R5" s="8"/>
      <c r="S5" s="8"/>
      <c r="T5" s="8"/>
      <c r="U5" s="8"/>
      <c r="V5" s="8"/>
      <c r="W5" s="8"/>
      <c r="X5" s="8"/>
    </row>
    <row r="6" spans="1:25" ht="23.25" customHeight="1" x14ac:dyDescent="0.25">
      <c r="B6" s="116" t="s">
        <v>193</v>
      </c>
      <c r="C6" s="116"/>
      <c r="D6" s="116"/>
      <c r="E6" s="116"/>
      <c r="F6" s="67"/>
      <c r="G6" s="63"/>
      <c r="H6" s="100"/>
    </row>
    <row r="7" spans="1:25" ht="23.25" x14ac:dyDescent="0.25">
      <c r="A7" s="75"/>
      <c r="B7" s="30"/>
      <c r="C7" s="30"/>
      <c r="D7" s="30"/>
      <c r="E7" s="29"/>
      <c r="F7" s="67"/>
      <c r="G7" s="63"/>
      <c r="H7" s="100"/>
    </row>
    <row r="8" spans="1:25" ht="23.25" x14ac:dyDescent="0.25">
      <c r="A8" s="75">
        <v>0</v>
      </c>
      <c r="B8" s="66" t="s">
        <v>239</v>
      </c>
      <c r="C8" s="57" t="s">
        <v>235</v>
      </c>
      <c r="D8" s="57">
        <f>IF(OR(C8="sint64",C8="uint64",C8="double64"), 8, IF(OR(C8="sint32",C8="uint32",C8="float32"),4,IF(OR(C8="sint16",C8="uint16"),2,  IF(OR(C8="sint8",C8="uint8"),1,""))))</f>
        <v>2</v>
      </c>
      <c r="E8" s="52" t="s">
        <v>196</v>
      </c>
      <c r="F8" s="67">
        <f>2^15/60/128/'Setting Table'!C3</f>
        <v>2.1333333333333333E-2</v>
      </c>
      <c r="G8" s="63">
        <f>ROUND(F8*32768,0)</f>
        <v>699</v>
      </c>
      <c r="H8" s="100" t="str">
        <f>IF(G8&lt;&gt;"",DEC2HEX(G8,4),"")</f>
        <v>02BB</v>
      </c>
    </row>
    <row r="9" spans="1:25" ht="23.25" x14ac:dyDescent="0.25">
      <c r="A9" s="75">
        <f>IF(G9&lt;&gt;"",MAX(A$1:A8)+1,"")</f>
        <v>1</v>
      </c>
      <c r="B9" s="26" t="s">
        <v>59</v>
      </c>
      <c r="C9" s="57" t="s">
        <v>235</v>
      </c>
      <c r="D9" s="57">
        <f t="shared" ref="D9:D10" si="0">IF(OR(C9="sint64",C9="uint64",C9="double64"), 8, IF(OR(C9="sint32",C9="uint32",C9="float32"),4,IF(OR(C9="sint16",C9="uint16"),2,  IF(OR(C9="sint8",C9="uint8"),1,""))))</f>
        <v>2</v>
      </c>
      <c r="E9" s="65" t="s">
        <v>49</v>
      </c>
      <c r="F9" s="67">
        <f>'Setting Table'!C18/128</f>
        <v>9.1406249999999994E-2</v>
      </c>
      <c r="G9" s="63">
        <f>ROUND(F9*32768,0)</f>
        <v>2995</v>
      </c>
      <c r="H9" s="100" t="str">
        <f>IF(G9&lt;&gt;"",DEC2HEX(G9,4),"")</f>
        <v>0BB3</v>
      </c>
      <c r="J9" s="57"/>
      <c r="K9" s="57"/>
      <c r="L9" s="57"/>
    </row>
    <row r="10" spans="1:25" ht="23.25" x14ac:dyDescent="0.25">
      <c r="A10" s="75">
        <f>IF(G10&lt;&gt;"",MAX(A$1:A9)+1,"")</f>
        <v>2</v>
      </c>
      <c r="B10" s="66" t="s">
        <v>240</v>
      </c>
      <c r="C10" s="57" t="s">
        <v>235</v>
      </c>
      <c r="D10" s="57">
        <f t="shared" si="0"/>
        <v>2</v>
      </c>
      <c r="E10" s="65" t="s">
        <v>73</v>
      </c>
      <c r="F10" s="67">
        <f>'Setting Table'!C7*'Setting Table'!C18</f>
        <v>1029.5999999999999</v>
      </c>
      <c r="G10" s="63">
        <f>ROUND(F10,0)</f>
        <v>1030</v>
      </c>
      <c r="H10" s="100" t="str">
        <f>IF(G10&lt;&gt;"",DEC2HEX(G10,4),"")</f>
        <v>0406</v>
      </c>
    </row>
    <row r="11" spans="1:25" ht="23.25" x14ac:dyDescent="0.25">
      <c r="A11" s="61"/>
      <c r="B11" s="61"/>
      <c r="C11" s="61"/>
      <c r="D11" s="61"/>
      <c r="E11" s="61"/>
      <c r="F11" s="45"/>
      <c r="G11" s="44"/>
      <c r="H11" s="35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</row>
    <row r="12" spans="1:25" ht="23.25" x14ac:dyDescent="0.25">
      <c r="A12" s="61"/>
      <c r="B12" s="50"/>
      <c r="C12" s="50"/>
      <c r="D12" s="50"/>
      <c r="E12" s="50"/>
      <c r="F12" s="46"/>
      <c r="G12" s="18"/>
      <c r="H12" s="35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</row>
    <row r="13" spans="1:25" ht="23.25" x14ac:dyDescent="0.25">
      <c r="A13" s="61"/>
      <c r="B13" s="50"/>
      <c r="C13" s="50"/>
      <c r="D13" s="50"/>
      <c r="E13" s="50"/>
      <c r="F13" s="36"/>
      <c r="G13" s="43"/>
      <c r="H13" s="35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</row>
    <row r="14" spans="1:25" ht="23.25" x14ac:dyDescent="0.25">
      <c r="A14" s="61"/>
      <c r="B14" s="37"/>
      <c r="C14" s="37"/>
      <c r="D14" s="37"/>
      <c r="E14" s="38"/>
      <c r="F14" s="18"/>
      <c r="G14" s="43"/>
      <c r="H14" s="35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</row>
    <row r="15" spans="1:25" ht="23.25" x14ac:dyDescent="0.25">
      <c r="A15" s="61"/>
      <c r="B15" s="37"/>
      <c r="C15" s="37"/>
      <c r="D15" s="37"/>
      <c r="E15" s="40"/>
      <c r="F15" s="18"/>
      <c r="G15" s="43"/>
      <c r="H15" s="35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</row>
    <row r="16" spans="1:25" ht="23.25" x14ac:dyDescent="0.25">
      <c r="A16" s="61"/>
      <c r="B16" s="16"/>
      <c r="C16" s="16"/>
      <c r="D16" s="16"/>
      <c r="E16" s="17"/>
      <c r="F16" s="18"/>
      <c r="G16" s="43"/>
      <c r="H16" s="35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</row>
    <row r="17" spans="1:25" ht="23.25" x14ac:dyDescent="0.25">
      <c r="A17" s="61"/>
      <c r="B17" s="16"/>
      <c r="C17" s="16"/>
      <c r="D17" s="16"/>
      <c r="E17" s="17"/>
      <c r="F17" s="18"/>
      <c r="G17" s="43"/>
      <c r="H17" s="35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</row>
    <row r="18" spans="1:25" ht="23.25" x14ac:dyDescent="0.25">
      <c r="A18" s="61"/>
      <c r="B18" s="16"/>
      <c r="C18" s="16"/>
      <c r="D18" s="16"/>
      <c r="E18" s="17"/>
      <c r="F18" s="18"/>
      <c r="G18" s="43"/>
      <c r="H18" s="35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</row>
    <row r="19" spans="1:25" ht="23.25" x14ac:dyDescent="0.25">
      <c r="A19" s="61"/>
      <c r="B19" s="37"/>
      <c r="C19" s="37"/>
      <c r="D19" s="37"/>
      <c r="E19" s="40"/>
      <c r="F19" s="18"/>
      <c r="G19" s="43"/>
      <c r="H19" s="35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</row>
    <row r="20" spans="1:25" ht="23.25" x14ac:dyDescent="0.25">
      <c r="A20" s="61"/>
      <c r="B20" s="16"/>
      <c r="C20" s="16"/>
      <c r="D20" s="16"/>
      <c r="E20" s="17"/>
      <c r="F20" s="18"/>
      <c r="G20" s="43"/>
      <c r="H20" s="35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</row>
    <row r="21" spans="1:25" ht="23.25" x14ac:dyDescent="0.25">
      <c r="A21" s="61"/>
      <c r="B21" s="16"/>
      <c r="C21" s="16"/>
      <c r="D21" s="16"/>
      <c r="E21" s="17"/>
      <c r="F21" s="18"/>
      <c r="G21" s="47"/>
      <c r="H21" s="35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</row>
    <row r="22" spans="1:25" ht="23.25" x14ac:dyDescent="0.25">
      <c r="A22" s="61"/>
      <c r="B22" s="37"/>
      <c r="C22" s="37"/>
      <c r="D22" s="37"/>
      <c r="E22" s="38"/>
      <c r="F22" s="18"/>
      <c r="G22" s="47"/>
      <c r="H22" s="35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</row>
    <row r="23" spans="1:25" ht="23.25" x14ac:dyDescent="0.25">
      <c r="A23" s="61"/>
      <c r="B23" s="37"/>
      <c r="C23" s="37"/>
      <c r="D23" s="37"/>
      <c r="E23" s="38"/>
      <c r="F23" s="36"/>
      <c r="G23" s="43"/>
      <c r="H23" s="35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</row>
    <row r="24" spans="1:25" ht="23.25" x14ac:dyDescent="0.25">
      <c r="A24" s="61"/>
      <c r="B24" s="16"/>
      <c r="C24" s="16"/>
      <c r="D24" s="16"/>
      <c r="E24" s="17"/>
      <c r="F24" s="36"/>
      <c r="G24" s="43"/>
      <c r="H24" s="35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</row>
    <row r="25" spans="1:25" ht="23.25" x14ac:dyDescent="0.25">
      <c r="A25" s="61"/>
      <c r="B25" s="37"/>
      <c r="C25" s="37"/>
      <c r="D25" s="37"/>
      <c r="E25" s="38"/>
      <c r="F25" s="36"/>
      <c r="G25" s="43"/>
      <c r="H25" s="35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</row>
    <row r="26" spans="1:25" ht="23.25" x14ac:dyDescent="0.25">
      <c r="A26" s="61"/>
      <c r="B26" s="61"/>
      <c r="C26" s="61"/>
      <c r="D26" s="61"/>
      <c r="E26" s="61"/>
      <c r="F26" s="36"/>
      <c r="G26" s="43"/>
      <c r="H26" s="35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</row>
    <row r="27" spans="1:25" ht="23.25" x14ac:dyDescent="0.25">
      <c r="A27" s="61"/>
      <c r="B27" s="16"/>
      <c r="C27" s="16"/>
      <c r="D27" s="16"/>
      <c r="E27" s="17"/>
      <c r="F27" s="36"/>
      <c r="G27" s="43"/>
      <c r="H27" s="35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</row>
    <row r="28" spans="1:25" ht="23.25" x14ac:dyDescent="0.25">
      <c r="A28" s="61"/>
      <c r="B28" s="16"/>
      <c r="C28" s="16"/>
      <c r="D28" s="16"/>
      <c r="E28" s="17"/>
      <c r="F28" s="36"/>
      <c r="G28" s="43"/>
      <c r="H28" s="35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</row>
    <row r="29" spans="1:25" ht="23.25" x14ac:dyDescent="0.25">
      <c r="A29" s="61"/>
      <c r="B29" s="37"/>
      <c r="C29" s="37"/>
      <c r="D29" s="37"/>
      <c r="E29" s="38"/>
      <c r="F29" s="18"/>
      <c r="G29" s="43"/>
      <c r="H29" s="35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</row>
    <row r="30" spans="1:25" ht="23.25" x14ac:dyDescent="0.25">
      <c r="A30" s="61"/>
      <c r="B30" s="16"/>
      <c r="C30" s="16"/>
      <c r="D30" s="16"/>
      <c r="E30" s="17"/>
      <c r="F30" s="36"/>
      <c r="G30" s="43"/>
      <c r="H30" s="35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</row>
    <row r="31" spans="1:25" ht="23.25" x14ac:dyDescent="0.25">
      <c r="A31" s="61"/>
      <c r="B31" s="16"/>
      <c r="C31" s="16"/>
      <c r="D31" s="16"/>
      <c r="E31" s="17"/>
      <c r="F31" s="45"/>
      <c r="G31" s="44"/>
      <c r="H31" s="35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</row>
    <row r="32" spans="1:25" ht="23.25" x14ac:dyDescent="0.25">
      <c r="A32" s="61"/>
      <c r="B32" s="51"/>
      <c r="C32" s="51"/>
      <c r="D32" s="51"/>
      <c r="E32" s="51"/>
      <c r="F32" s="46"/>
      <c r="G32" s="18"/>
      <c r="H32" s="35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</row>
    <row r="33" spans="1:25" ht="23.25" x14ac:dyDescent="0.25">
      <c r="A33" s="61"/>
      <c r="B33" s="51"/>
      <c r="C33" s="51"/>
      <c r="D33" s="51"/>
      <c r="E33" s="51"/>
      <c r="F33" s="36"/>
      <c r="G33" s="43"/>
      <c r="H33" s="35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</row>
    <row r="34" spans="1:25" ht="23.25" x14ac:dyDescent="0.25">
      <c r="A34" s="61"/>
      <c r="B34" s="37"/>
      <c r="C34" s="37"/>
      <c r="D34" s="37"/>
      <c r="E34" s="38"/>
      <c r="F34" s="18"/>
      <c r="G34" s="43"/>
      <c r="H34" s="35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</row>
    <row r="35" spans="1:25" ht="23.25" x14ac:dyDescent="0.25">
      <c r="A35" s="61"/>
      <c r="B35" s="37"/>
      <c r="C35" s="37"/>
      <c r="D35" s="37"/>
      <c r="E35" s="40"/>
      <c r="F35" s="18"/>
      <c r="G35" s="43"/>
      <c r="H35" s="35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</row>
    <row r="36" spans="1:25" ht="23.25" x14ac:dyDescent="0.25">
      <c r="A36" s="61"/>
      <c r="B36" s="16"/>
      <c r="C36" s="16"/>
      <c r="D36" s="16"/>
      <c r="E36" s="17"/>
      <c r="F36" s="18"/>
      <c r="G36" s="43"/>
      <c r="H36" s="35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</row>
    <row r="37" spans="1:25" ht="23.25" x14ac:dyDescent="0.25">
      <c r="A37" s="61"/>
      <c r="B37" s="16"/>
      <c r="C37" s="16"/>
      <c r="D37" s="16"/>
      <c r="E37" s="17"/>
      <c r="F37" s="18"/>
      <c r="G37" s="43"/>
      <c r="H37" s="35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</row>
    <row r="38" spans="1:25" ht="23.25" x14ac:dyDescent="0.25">
      <c r="A38" s="61"/>
      <c r="B38" s="16"/>
      <c r="C38" s="16"/>
      <c r="D38" s="16"/>
      <c r="E38" s="17"/>
      <c r="F38" s="18"/>
      <c r="G38" s="43"/>
      <c r="H38" s="35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</row>
    <row r="39" spans="1:25" ht="23.25" x14ac:dyDescent="0.25">
      <c r="A39" s="61"/>
      <c r="B39" s="37"/>
      <c r="C39" s="37"/>
      <c r="D39" s="37"/>
      <c r="E39" s="40"/>
      <c r="F39" s="18"/>
      <c r="G39" s="43"/>
      <c r="H39" s="35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</row>
    <row r="40" spans="1:25" ht="23.25" x14ac:dyDescent="0.25">
      <c r="A40" s="61"/>
      <c r="B40" s="16"/>
      <c r="C40" s="16"/>
      <c r="D40" s="16"/>
      <c r="E40" s="17"/>
      <c r="F40" s="18"/>
      <c r="G40" s="43"/>
      <c r="H40" s="35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</row>
    <row r="41" spans="1:25" ht="23.25" x14ac:dyDescent="0.25">
      <c r="A41" s="61"/>
      <c r="B41" s="16"/>
      <c r="C41" s="16"/>
      <c r="D41" s="16"/>
      <c r="E41" s="17"/>
      <c r="F41" s="18"/>
      <c r="G41" s="47"/>
      <c r="H41" s="35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</row>
    <row r="42" spans="1:25" ht="23.25" x14ac:dyDescent="0.25">
      <c r="A42" s="61"/>
      <c r="B42" s="37"/>
      <c r="C42" s="37"/>
      <c r="D42" s="37"/>
      <c r="E42" s="38"/>
      <c r="F42" s="18"/>
      <c r="G42" s="47"/>
      <c r="H42" s="35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</row>
    <row r="43" spans="1:25" ht="23.25" x14ac:dyDescent="0.25">
      <c r="A43" s="61"/>
      <c r="B43" s="37"/>
      <c r="C43" s="37"/>
      <c r="D43" s="37"/>
      <c r="E43" s="38"/>
      <c r="F43" s="36"/>
      <c r="G43" s="43"/>
      <c r="H43" s="35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</row>
    <row r="44" spans="1:25" ht="23.25" x14ac:dyDescent="0.25">
      <c r="A44" s="61"/>
      <c r="B44" s="16"/>
      <c r="C44" s="16"/>
      <c r="D44" s="16"/>
      <c r="E44" s="17"/>
      <c r="F44" s="36"/>
      <c r="G44" s="43"/>
      <c r="H44" s="35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</row>
    <row r="45" spans="1:25" ht="23.25" x14ac:dyDescent="0.25">
      <c r="A45" s="61"/>
      <c r="B45" s="37"/>
      <c r="C45" s="37"/>
      <c r="D45" s="37"/>
      <c r="E45" s="38"/>
      <c r="F45" s="46"/>
      <c r="G45" s="43"/>
      <c r="H45" s="35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</row>
    <row r="46" spans="1:25" ht="23.25" x14ac:dyDescent="0.25">
      <c r="A46" s="61"/>
      <c r="B46" s="61"/>
      <c r="C46" s="61"/>
      <c r="D46" s="61"/>
      <c r="E46" s="61"/>
      <c r="F46" s="45"/>
      <c r="G46" s="44"/>
      <c r="H46" s="35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</row>
    <row r="47" spans="1:25" ht="23.25" x14ac:dyDescent="0.25">
      <c r="A47" s="61"/>
      <c r="B47" s="51"/>
      <c r="C47" s="51"/>
      <c r="D47" s="51"/>
      <c r="E47" s="51"/>
      <c r="F47" s="46"/>
      <c r="G47" s="18"/>
      <c r="H47" s="35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</row>
    <row r="48" spans="1:25" ht="23.25" x14ac:dyDescent="0.25">
      <c r="A48" s="61"/>
      <c r="B48" s="51"/>
      <c r="C48" s="51"/>
      <c r="D48" s="51"/>
      <c r="E48" s="51"/>
      <c r="F48" s="36"/>
      <c r="G48" s="43"/>
      <c r="H48" s="35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</row>
    <row r="49" spans="1:25" ht="23.25" x14ac:dyDescent="0.25">
      <c r="A49" s="61"/>
      <c r="B49" s="37"/>
      <c r="C49" s="37"/>
      <c r="D49" s="37"/>
      <c r="E49" s="38"/>
      <c r="F49" s="18"/>
      <c r="G49" s="43"/>
      <c r="H49" s="35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</row>
    <row r="50" spans="1:25" ht="23.25" x14ac:dyDescent="0.25">
      <c r="A50" s="61"/>
      <c r="B50" s="37"/>
      <c r="C50" s="37"/>
      <c r="D50" s="37"/>
      <c r="E50" s="40"/>
      <c r="F50" s="18"/>
      <c r="G50" s="43"/>
      <c r="H50" s="35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</row>
    <row r="51" spans="1:25" ht="23.25" x14ac:dyDescent="0.25">
      <c r="A51" s="61"/>
      <c r="B51" s="16"/>
      <c r="C51" s="16"/>
      <c r="D51" s="16"/>
      <c r="E51" s="17"/>
      <c r="F51" s="18"/>
      <c r="G51" s="43"/>
      <c r="H51" s="35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</row>
    <row r="52" spans="1:25" ht="23.25" x14ac:dyDescent="0.25">
      <c r="A52" s="61"/>
      <c r="B52" s="16"/>
      <c r="C52" s="16"/>
      <c r="D52" s="16"/>
      <c r="E52" s="17"/>
      <c r="F52" s="18"/>
      <c r="G52" s="43"/>
      <c r="H52" s="35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</row>
    <row r="53" spans="1:25" ht="23.25" x14ac:dyDescent="0.25">
      <c r="A53" s="61"/>
      <c r="B53" s="16"/>
      <c r="C53" s="16"/>
      <c r="D53" s="16"/>
      <c r="E53" s="17"/>
      <c r="F53" s="18"/>
      <c r="G53" s="43"/>
      <c r="H53" s="35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</row>
    <row r="54" spans="1:25" ht="23.25" x14ac:dyDescent="0.25">
      <c r="A54" s="61"/>
      <c r="B54" s="37"/>
      <c r="C54" s="37"/>
      <c r="D54" s="37"/>
      <c r="E54" s="40"/>
      <c r="F54" s="18"/>
      <c r="G54" s="43"/>
      <c r="H54" s="35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</row>
    <row r="55" spans="1:25" ht="23.25" x14ac:dyDescent="0.25">
      <c r="A55" s="61"/>
      <c r="B55" s="16"/>
      <c r="C55" s="16"/>
      <c r="D55" s="16"/>
      <c r="E55" s="17"/>
      <c r="F55" s="18"/>
      <c r="G55" s="43"/>
      <c r="H55" s="35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</row>
    <row r="56" spans="1:25" ht="23.25" x14ac:dyDescent="0.25">
      <c r="A56" s="61"/>
      <c r="B56" s="16"/>
      <c r="C56" s="16"/>
      <c r="D56" s="16"/>
      <c r="E56" s="17"/>
      <c r="F56" s="18"/>
      <c r="G56" s="47"/>
      <c r="H56" s="35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</row>
    <row r="57" spans="1:25" ht="23.25" x14ac:dyDescent="0.25">
      <c r="A57" s="61"/>
      <c r="B57" s="37"/>
      <c r="C57" s="37"/>
      <c r="D57" s="37"/>
      <c r="E57" s="38"/>
      <c r="F57" s="18"/>
      <c r="G57" s="47"/>
      <c r="H57" s="35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</row>
    <row r="58" spans="1:25" ht="23.25" x14ac:dyDescent="0.25">
      <c r="A58" s="61"/>
      <c r="B58" s="37"/>
      <c r="C58" s="37"/>
      <c r="D58" s="37"/>
      <c r="E58" s="38"/>
      <c r="F58" s="36"/>
      <c r="G58" s="43"/>
      <c r="H58" s="35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</row>
    <row r="59" spans="1:25" ht="23.25" x14ac:dyDescent="0.25">
      <c r="A59" s="61"/>
      <c r="B59" s="16"/>
      <c r="C59" s="16"/>
      <c r="D59" s="16"/>
      <c r="E59" s="17"/>
      <c r="F59" s="36"/>
      <c r="G59" s="43"/>
      <c r="H59" s="35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</row>
    <row r="60" spans="1:25" ht="23.25" x14ac:dyDescent="0.25">
      <c r="A60" s="61"/>
      <c r="B60" s="37"/>
      <c r="C60" s="37"/>
      <c r="D60" s="37"/>
      <c r="E60" s="38"/>
      <c r="F60" s="46"/>
      <c r="G60" s="43"/>
      <c r="H60" s="35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</row>
    <row r="61" spans="1:25" ht="23.25" x14ac:dyDescent="0.25">
      <c r="A61" s="61"/>
      <c r="B61" s="61"/>
      <c r="C61" s="61"/>
      <c r="D61" s="61"/>
      <c r="E61" s="61"/>
      <c r="F61" s="36"/>
      <c r="G61" s="43"/>
      <c r="H61" s="35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</row>
    <row r="62" spans="1:25" ht="23.25" x14ac:dyDescent="0.25">
      <c r="A62" s="61"/>
      <c r="B62" s="41"/>
      <c r="C62" s="41"/>
      <c r="D62" s="41"/>
      <c r="E62" s="42"/>
      <c r="F62" s="36"/>
      <c r="G62" s="47"/>
      <c r="H62" s="35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</row>
    <row r="63" spans="1:25" ht="23.25" x14ac:dyDescent="0.25">
      <c r="A63" s="61"/>
      <c r="B63" s="41"/>
      <c r="C63" s="41"/>
      <c r="D63" s="41"/>
      <c r="E63" s="42"/>
      <c r="F63" s="45"/>
      <c r="G63" s="44"/>
      <c r="H63" s="35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</row>
    <row r="64" spans="1:25" ht="23.25" x14ac:dyDescent="0.25">
      <c r="A64" s="61"/>
      <c r="B64" s="50"/>
      <c r="C64" s="50"/>
      <c r="D64" s="50"/>
      <c r="E64" s="50"/>
      <c r="F64" s="46"/>
      <c r="G64" s="18"/>
      <c r="H64" s="35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</row>
    <row r="65" spans="1:25" ht="23.25" x14ac:dyDescent="0.25">
      <c r="A65" s="61"/>
      <c r="B65" s="50"/>
      <c r="C65" s="50"/>
      <c r="D65" s="50"/>
      <c r="E65" s="50"/>
      <c r="F65" s="36"/>
      <c r="G65" s="43"/>
      <c r="H65" s="35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</row>
    <row r="66" spans="1:25" ht="23.25" x14ac:dyDescent="0.25">
      <c r="A66" s="61"/>
      <c r="B66" s="37"/>
      <c r="C66" s="37"/>
      <c r="D66" s="37"/>
      <c r="E66" s="38"/>
      <c r="F66" s="18"/>
      <c r="G66" s="43"/>
      <c r="H66" s="35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</row>
    <row r="67" spans="1:25" ht="23.25" x14ac:dyDescent="0.25">
      <c r="A67" s="61"/>
      <c r="B67" s="37"/>
      <c r="C67" s="37"/>
      <c r="D67" s="37"/>
      <c r="E67" s="40"/>
      <c r="F67" s="18"/>
      <c r="G67" s="43"/>
      <c r="H67" s="35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</row>
    <row r="68" spans="1:25" ht="23.25" x14ac:dyDescent="0.25">
      <c r="A68" s="61"/>
      <c r="B68" s="16"/>
      <c r="C68" s="16"/>
      <c r="D68" s="16"/>
      <c r="E68" s="17"/>
      <c r="F68" s="18"/>
      <c r="G68" s="43"/>
      <c r="H68" s="35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</row>
    <row r="69" spans="1:25" ht="23.25" x14ac:dyDescent="0.25">
      <c r="A69" s="61"/>
      <c r="B69" s="16"/>
      <c r="C69" s="16"/>
      <c r="D69" s="16"/>
      <c r="E69" s="17"/>
      <c r="F69" s="18"/>
      <c r="G69" s="43"/>
      <c r="H69" s="35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</row>
    <row r="70" spans="1:25" ht="23.25" x14ac:dyDescent="0.25">
      <c r="A70" s="61"/>
      <c r="B70" s="16"/>
      <c r="C70" s="16"/>
      <c r="D70" s="16"/>
      <c r="E70" s="17"/>
      <c r="F70" s="18"/>
      <c r="G70" s="43"/>
      <c r="H70" s="35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</row>
    <row r="71" spans="1:25" ht="23.25" x14ac:dyDescent="0.25">
      <c r="A71" s="61"/>
      <c r="B71" s="37"/>
      <c r="C71" s="37"/>
      <c r="D71" s="37"/>
      <c r="E71" s="40"/>
      <c r="F71" s="18"/>
      <c r="G71" s="43"/>
      <c r="H71" s="35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</row>
    <row r="72" spans="1:25" ht="23.25" x14ac:dyDescent="0.25">
      <c r="A72" s="61"/>
      <c r="B72" s="16"/>
      <c r="C72" s="16"/>
      <c r="D72" s="16"/>
      <c r="E72" s="17"/>
      <c r="F72" s="18"/>
      <c r="G72" s="43"/>
      <c r="H72" s="35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</row>
    <row r="73" spans="1:25" ht="23.25" x14ac:dyDescent="0.25">
      <c r="A73" s="61"/>
      <c r="B73" s="16"/>
      <c r="C73" s="16"/>
      <c r="D73" s="16"/>
      <c r="E73" s="17"/>
      <c r="F73" s="18"/>
      <c r="G73" s="47"/>
      <c r="H73" s="35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</row>
    <row r="74" spans="1:25" ht="23.25" x14ac:dyDescent="0.25">
      <c r="A74" s="61"/>
      <c r="B74" s="37"/>
      <c r="C74" s="37"/>
      <c r="D74" s="37"/>
      <c r="E74" s="48"/>
      <c r="F74" s="18"/>
      <c r="G74" s="47"/>
      <c r="H74" s="35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</row>
    <row r="75" spans="1:25" ht="23.25" x14ac:dyDescent="0.25">
      <c r="A75" s="61"/>
      <c r="B75" s="37"/>
      <c r="C75" s="37"/>
      <c r="D75" s="37"/>
      <c r="E75" s="48"/>
      <c r="F75" s="36"/>
      <c r="G75" s="43"/>
      <c r="H75" s="35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</row>
    <row r="76" spans="1:25" ht="23.25" x14ac:dyDescent="0.25">
      <c r="A76" s="61"/>
      <c r="B76" s="16"/>
      <c r="C76" s="16"/>
      <c r="D76" s="16"/>
      <c r="E76" s="17"/>
      <c r="F76" s="36"/>
      <c r="G76" s="43"/>
      <c r="H76" s="35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</row>
    <row r="77" spans="1:25" ht="23.25" x14ac:dyDescent="0.25">
      <c r="A77" s="61"/>
      <c r="B77" s="37"/>
      <c r="C77" s="37"/>
      <c r="D77" s="37"/>
      <c r="E77" s="38"/>
      <c r="F77" s="36"/>
      <c r="G77" s="43"/>
      <c r="H77" s="35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</row>
    <row r="78" spans="1:25" ht="23.25" x14ac:dyDescent="0.25">
      <c r="A78" s="61"/>
      <c r="B78" s="37"/>
      <c r="C78" s="37"/>
      <c r="D78" s="37"/>
      <c r="E78" s="38"/>
      <c r="F78" s="36"/>
      <c r="G78" s="43"/>
      <c r="H78" s="35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</row>
    <row r="79" spans="1:25" ht="23.25" x14ac:dyDescent="0.25">
      <c r="A79" s="61"/>
      <c r="B79" s="16"/>
      <c r="C79" s="16"/>
      <c r="D79" s="16"/>
      <c r="E79" s="17"/>
      <c r="F79" s="36"/>
      <c r="G79" s="43"/>
      <c r="H79" s="35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</row>
    <row r="80" spans="1:25" ht="23.25" x14ac:dyDescent="0.25">
      <c r="A80" s="61"/>
      <c r="B80" s="16"/>
      <c r="C80" s="16"/>
      <c r="D80" s="16"/>
      <c r="E80" s="17"/>
      <c r="F80" s="36"/>
      <c r="G80" s="43"/>
      <c r="H80" s="35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</row>
    <row r="81" spans="1:25" ht="23.25" x14ac:dyDescent="0.25">
      <c r="A81" s="61"/>
      <c r="B81" s="16"/>
      <c r="C81" s="16"/>
      <c r="D81" s="16"/>
      <c r="E81" s="17"/>
      <c r="F81" s="36"/>
      <c r="G81" s="43"/>
      <c r="H81" s="35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</row>
    <row r="82" spans="1:25" ht="23.25" x14ac:dyDescent="0.25">
      <c r="A82" s="61"/>
      <c r="B82" s="50"/>
      <c r="C82" s="50"/>
      <c r="D82" s="50"/>
      <c r="E82" s="50"/>
      <c r="F82" s="36"/>
      <c r="G82" s="43"/>
      <c r="H82" s="35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</row>
    <row r="83" spans="1:25" ht="23.25" x14ac:dyDescent="0.25">
      <c r="A83" s="61"/>
      <c r="B83" s="50"/>
      <c r="C83" s="50"/>
      <c r="D83" s="50"/>
      <c r="E83" s="50"/>
      <c r="F83" s="18"/>
      <c r="G83" s="43"/>
      <c r="H83" s="35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</row>
    <row r="84" spans="1:25" ht="23.25" x14ac:dyDescent="0.25">
      <c r="A84" s="61"/>
      <c r="B84" s="40"/>
      <c r="C84" s="40"/>
      <c r="D84" s="40"/>
      <c r="E84" s="40"/>
      <c r="F84" s="18"/>
      <c r="G84" s="43"/>
      <c r="H84" s="35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</row>
    <row r="85" spans="1:25" ht="23.25" x14ac:dyDescent="0.25">
      <c r="A85" s="61"/>
      <c r="B85" s="16"/>
      <c r="C85" s="16"/>
      <c r="D85" s="16"/>
      <c r="E85" s="17"/>
      <c r="F85" s="39"/>
      <c r="G85" s="43"/>
      <c r="H85" s="35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</row>
    <row r="86" spans="1:25" ht="23.25" x14ac:dyDescent="0.25">
      <c r="A86" s="61"/>
      <c r="B86" s="16"/>
      <c r="C86" s="16"/>
      <c r="D86" s="16"/>
      <c r="E86" s="17"/>
      <c r="F86" s="34"/>
      <c r="G86" s="44"/>
      <c r="H86" s="35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</row>
    <row r="87" spans="1:25" ht="23.25" x14ac:dyDescent="0.25">
      <c r="A87" s="61"/>
      <c r="B87" s="50"/>
      <c r="C87" s="50"/>
      <c r="D87" s="50"/>
      <c r="E87" s="50"/>
      <c r="F87" s="61"/>
      <c r="G87" s="43"/>
      <c r="H87" s="35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</row>
    <row r="88" spans="1:25" ht="23.25" x14ac:dyDescent="0.25">
      <c r="A88" s="61"/>
      <c r="B88" s="50"/>
      <c r="C88" s="50"/>
      <c r="D88" s="50"/>
      <c r="E88" s="50"/>
      <c r="F88" s="18"/>
      <c r="G88" s="19"/>
      <c r="H88" s="35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</row>
    <row r="89" spans="1:25" ht="23.25" x14ac:dyDescent="0.25">
      <c r="A89" s="61"/>
      <c r="B89" s="16"/>
      <c r="C89" s="16"/>
      <c r="D89" s="16"/>
      <c r="E89" s="17"/>
      <c r="F89" s="49"/>
      <c r="G89" s="43"/>
      <c r="H89" s="35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</row>
    <row r="90" spans="1:25" ht="23.25" x14ac:dyDescent="0.25">
      <c r="A90" s="61"/>
      <c r="B90" s="16"/>
      <c r="C90" s="16"/>
      <c r="D90" s="16"/>
      <c r="E90" s="17"/>
      <c r="F90" s="18"/>
      <c r="G90" s="19"/>
      <c r="H90" s="35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</row>
    <row r="91" spans="1:25" ht="23.25" x14ac:dyDescent="0.25">
      <c r="A91" s="61"/>
      <c r="B91" s="16"/>
      <c r="C91" s="16"/>
      <c r="D91" s="16"/>
      <c r="E91" s="17"/>
      <c r="F91" s="18"/>
      <c r="G91" s="19"/>
      <c r="H91" s="35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</row>
    <row r="92" spans="1:25" ht="23.25" x14ac:dyDescent="0.25">
      <c r="A92" s="61"/>
      <c r="B92" s="16"/>
      <c r="C92" s="16"/>
      <c r="D92" s="16"/>
      <c r="E92" s="17"/>
      <c r="F92" s="45"/>
      <c r="G92" s="44"/>
      <c r="H92" s="35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</row>
    <row r="93" spans="1:25" ht="23.25" x14ac:dyDescent="0.25">
      <c r="A93" s="61"/>
      <c r="B93" s="50"/>
      <c r="C93" s="50"/>
      <c r="D93" s="50"/>
      <c r="E93" s="50"/>
      <c r="F93" s="46"/>
      <c r="G93" s="43"/>
      <c r="H93" s="35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</row>
    <row r="94" spans="1:25" ht="23.25" x14ac:dyDescent="0.25">
      <c r="B94" s="50"/>
      <c r="C94" s="50"/>
      <c r="D94" s="50"/>
      <c r="E94" s="50"/>
      <c r="F94" s="36"/>
      <c r="G94" s="43"/>
      <c r="H94" s="35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</row>
    <row r="95" spans="1:25" x14ac:dyDescent="0.25">
      <c r="A95" s="62" t="e">
        <f>IF(#REF!&lt;&gt;#REF!,#REF!,"")</f>
        <v>#REF!</v>
      </c>
      <c r="B95" s="16"/>
      <c r="C95" s="16"/>
      <c r="D95" s="16"/>
      <c r="E95" s="17"/>
      <c r="F95" s="36"/>
      <c r="G95" s="43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</row>
    <row r="96" spans="1:25" x14ac:dyDescent="0.25">
      <c r="B96" s="16"/>
      <c r="C96" s="16"/>
      <c r="D96" s="16"/>
      <c r="E96" s="17"/>
      <c r="F96" s="36"/>
      <c r="G96" s="43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</row>
    <row r="97" spans="2:25" x14ac:dyDescent="0.25">
      <c r="B97" s="16"/>
      <c r="C97" s="16"/>
      <c r="D97" s="16"/>
      <c r="E97" s="17"/>
      <c r="F97" s="61"/>
      <c r="G97" s="61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</row>
    <row r="98" spans="2:25" x14ac:dyDescent="0.25">
      <c r="B98" s="61"/>
      <c r="C98" s="61"/>
      <c r="D98" s="61"/>
      <c r="E98" s="61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</row>
    <row r="99" spans="2:25" x14ac:dyDescent="0.25"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</row>
    <row r="100" spans="2:25" x14ac:dyDescent="0.25"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</row>
    <row r="101" spans="2:25" x14ac:dyDescent="0.25"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</row>
    <row r="102" spans="2:25" x14ac:dyDescent="0.25"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</row>
    <row r="103" spans="2:25" x14ac:dyDescent="0.25"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</row>
    <row r="104" spans="2:25" x14ac:dyDescent="0.25"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</row>
    <row r="105" spans="2:25" x14ac:dyDescent="0.25"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</row>
    <row r="106" spans="2:25" x14ac:dyDescent="0.25"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</row>
    <row r="107" spans="2:25" x14ac:dyDescent="0.25"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</row>
    <row r="108" spans="2:25" x14ac:dyDescent="0.25"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</row>
    <row r="109" spans="2:25" x14ac:dyDescent="0.25"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</row>
    <row r="110" spans="2:25" x14ac:dyDescent="0.25"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</row>
    <row r="111" spans="2:25" x14ac:dyDescent="0.25"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</row>
    <row r="112" spans="2:25" x14ac:dyDescent="0.25"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</row>
    <row r="113" spans="9:25" x14ac:dyDescent="0.25"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</row>
    <row r="114" spans="9:25" x14ac:dyDescent="0.25"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</row>
    <row r="115" spans="9:25" x14ac:dyDescent="0.25"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</row>
    <row r="116" spans="9:25" x14ac:dyDescent="0.25"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</row>
    <row r="117" spans="9:25" x14ac:dyDescent="0.25"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</row>
    <row r="118" spans="9:25" x14ac:dyDescent="0.25"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</row>
    <row r="119" spans="9:25" x14ac:dyDescent="0.25"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</row>
    <row r="120" spans="9:25" x14ac:dyDescent="0.25"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</row>
    <row r="121" spans="9:25" x14ac:dyDescent="0.25"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</row>
    <row r="122" spans="9:25" x14ac:dyDescent="0.25"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</row>
    <row r="123" spans="9:25" x14ac:dyDescent="0.25"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</row>
    <row r="124" spans="9:25" x14ac:dyDescent="0.25"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</row>
    <row r="125" spans="9:25" x14ac:dyDescent="0.25"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</row>
    <row r="126" spans="9:25" x14ac:dyDescent="0.25"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</row>
    <row r="127" spans="9:25" x14ac:dyDescent="0.25"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</row>
    <row r="128" spans="9:25" x14ac:dyDescent="0.25"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</row>
    <row r="129" spans="9:25" x14ac:dyDescent="0.25"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</row>
    <row r="130" spans="9:25" x14ac:dyDescent="0.25"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</row>
    <row r="131" spans="9:25" x14ac:dyDescent="0.25"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</row>
    <row r="132" spans="9:25" x14ac:dyDescent="0.25"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</row>
    <row r="133" spans="9:25" x14ac:dyDescent="0.25"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</row>
    <row r="134" spans="9:25" x14ac:dyDescent="0.25"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</row>
    <row r="135" spans="9:25" x14ac:dyDescent="0.25"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</row>
    <row r="136" spans="9:25" x14ac:dyDescent="0.25"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</row>
    <row r="137" spans="9:25" x14ac:dyDescent="0.25"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</row>
    <row r="138" spans="9:25" x14ac:dyDescent="0.25"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</row>
    <row r="139" spans="9:25" x14ac:dyDescent="0.25"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</row>
    <row r="140" spans="9:25" x14ac:dyDescent="0.25"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</row>
    <row r="141" spans="9:25" x14ac:dyDescent="0.25"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</row>
    <row r="142" spans="9:25" x14ac:dyDescent="0.25"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</row>
    <row r="143" spans="9:25" x14ac:dyDescent="0.25"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</row>
    <row r="144" spans="9:25" x14ac:dyDescent="0.25"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</row>
    <row r="145" spans="9:25" x14ac:dyDescent="0.25"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</row>
    <row r="146" spans="9:25" x14ac:dyDescent="0.25"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</row>
    <row r="147" spans="9:25" x14ac:dyDescent="0.25"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</row>
    <row r="148" spans="9:25" x14ac:dyDescent="0.25"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</row>
    <row r="149" spans="9:25" x14ac:dyDescent="0.25"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</row>
    <row r="150" spans="9:25" x14ac:dyDescent="0.25"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</row>
    <row r="151" spans="9:25" x14ac:dyDescent="0.25"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</row>
    <row r="152" spans="9:25" x14ac:dyDescent="0.25"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</row>
    <row r="153" spans="9:25" x14ac:dyDescent="0.25"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</row>
    <row r="154" spans="9:25" x14ac:dyDescent="0.25"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</row>
    <row r="155" spans="9:25" x14ac:dyDescent="0.25"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</row>
    <row r="156" spans="9:25" x14ac:dyDescent="0.25"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</row>
    <row r="157" spans="9:25" x14ac:dyDescent="0.25"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</row>
    <row r="158" spans="9:25" x14ac:dyDescent="0.25"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</row>
    <row r="159" spans="9:25" x14ac:dyDescent="0.25"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</row>
    <row r="160" spans="9:25" x14ac:dyDescent="0.25"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</row>
    <row r="161" spans="9:25" x14ac:dyDescent="0.25"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</row>
    <row r="162" spans="9:25" x14ac:dyDescent="0.25"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</row>
    <row r="163" spans="9:25" x14ac:dyDescent="0.25"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</row>
    <row r="164" spans="9:25" x14ac:dyDescent="0.25"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</row>
    <row r="165" spans="9:25" x14ac:dyDescent="0.25"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</row>
    <row r="166" spans="9:25" x14ac:dyDescent="0.25"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</row>
    <row r="167" spans="9:25" x14ac:dyDescent="0.25"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</row>
    <row r="168" spans="9:25" x14ac:dyDescent="0.25"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</row>
    <row r="169" spans="9:25" x14ac:dyDescent="0.25"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</row>
    <row r="170" spans="9:25" x14ac:dyDescent="0.25"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</row>
    <row r="171" spans="9:25" x14ac:dyDescent="0.25"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</row>
    <row r="172" spans="9:25" x14ac:dyDescent="0.25"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</row>
    <row r="173" spans="9:25" x14ac:dyDescent="0.25"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</row>
    <row r="174" spans="9:25" x14ac:dyDescent="0.25"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</row>
    <row r="175" spans="9:25" x14ac:dyDescent="0.25"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</row>
    <row r="176" spans="9:25" x14ac:dyDescent="0.25"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</row>
    <row r="177" spans="9:25" x14ac:dyDescent="0.25"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</row>
    <row r="178" spans="9:25" x14ac:dyDescent="0.25"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</row>
    <row r="179" spans="9:25" x14ac:dyDescent="0.25"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</row>
    <row r="180" spans="9:25" x14ac:dyDescent="0.25"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</row>
    <row r="181" spans="9:25" x14ac:dyDescent="0.25"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</row>
    <row r="182" spans="9:25" x14ac:dyDescent="0.25"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</row>
    <row r="183" spans="9:25" x14ac:dyDescent="0.25"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</row>
    <row r="184" spans="9:25" x14ac:dyDescent="0.25"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</row>
    <row r="185" spans="9:25" x14ac:dyDescent="0.25"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</row>
    <row r="186" spans="9:25" x14ac:dyDescent="0.25"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</row>
    <row r="187" spans="9:25" x14ac:dyDescent="0.25"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</row>
    <row r="188" spans="9:25" x14ac:dyDescent="0.25"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</row>
    <row r="189" spans="9:25" x14ac:dyDescent="0.25"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</row>
    <row r="190" spans="9:25" x14ac:dyDescent="0.25"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</row>
    <row r="191" spans="9:25" x14ac:dyDescent="0.25"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</row>
    <row r="192" spans="9:25" x14ac:dyDescent="0.25"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</row>
    <row r="193" spans="9:25" x14ac:dyDescent="0.25"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</row>
    <row r="194" spans="9:25" x14ac:dyDescent="0.25"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</row>
  </sheetData>
  <mergeCells count="2">
    <mergeCell ref="B6:E6"/>
    <mergeCell ref="B1:H1"/>
  </mergeCells>
  <dataValidations count="1">
    <dataValidation type="list" allowBlank="1" showInputMessage="1" showErrorMessage="1" sqref="C8:C10">
      <formula1>List_Variable_Sizes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GeneraSetting_App_Sens">
                <anchor moveWithCells="1" sizeWithCells="1">
                  <from>
                    <xdr:col>4</xdr:col>
                    <xdr:colOff>2457450</xdr:colOff>
                    <xdr:row>1</xdr:row>
                    <xdr:rowOff>161925</xdr:rowOff>
                  </from>
                  <to>
                    <xdr:col>4</xdr:col>
                    <xdr:colOff>6067425</xdr:colOff>
                    <xdr:row>3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>
    <Dept xmlns="549691a6-3b5b-4b6f-a000-280f621f5a2e"/>
    <State xmlns="cd5a5200-613b-422a-94e9-ef20e1b392bb">In Work</State>
    <IDD_x0020_Modified_x0020_By xmlns="5b9869d4-cde9-4686-b3fe-e74cffa50fe6">Fagnano Luigi</IDD_x0020_Modified_x0020_By>
    <ImportVersion xmlns="791a7af5-2972-45b0-a35f-cced854d4c7c" xsi:nil="true"/>
    <IDDVersion xmlns="75efaa2a-a37d-4c44-99c1-32b9aa25f875" xsi:nil="true"/>
    <TagsFieldForKWizComTags xmlns="5b9869d4-cde9-4686-b3fe-e74cffa50fe6">triphase_motor,arcadia_strip,pe</TagsFieldForKWizComTags>
    <ReservedDocument xmlns="75efaa2a-a37d-4c44-99c1-32b9aa25f875">true</ReservedDocument>
    <Confidential xmlns="20aa28be-609d-4372-b01c-60aadfafabfc">false</Confidential>
    <Rating xmlns="5b9869d4-cde9-4686-b3fe-e74cffa50fe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58CB85754DE0242B472D9DD88950EDB" ma:contentTypeVersion="24" ma:contentTypeDescription="Create a new document." ma:contentTypeScope="" ma:versionID="025dafc873a4e7fd346728d6b990f12d">
  <xsd:schema xmlns:xsd="http://www.w3.org/2001/XMLSchema" xmlns:p="http://schemas.microsoft.com/office/2006/metadata/properties" xmlns:ns2="549691a6-3b5b-4b6f-a000-280f621f5a2e" xmlns:ns3="5b9869d4-cde9-4686-b3fe-e74cffa50fe6" xmlns:ns4="cd5a5200-613b-422a-94e9-ef20e1b392bb" xmlns:ns5="791a7af5-2972-45b0-a35f-cced854d4c7c" xmlns:ns6="20aa28be-609d-4372-b01c-60aadfafabfc" xmlns:ns7="75efaa2a-a37d-4c44-99c1-32b9aa25f875" targetNamespace="http://schemas.microsoft.com/office/2006/metadata/properties" ma:root="true" ma:fieldsID="250449a6a57bd02203adb0e498360e0e" ns2:_="" ns3:_="" ns4:_="" ns5:_="" ns6:_="" ns7:_="">
    <xsd:import namespace="549691a6-3b5b-4b6f-a000-280f621f5a2e"/>
    <xsd:import namespace="5b9869d4-cde9-4686-b3fe-e74cffa50fe6"/>
    <xsd:import namespace="cd5a5200-613b-422a-94e9-ef20e1b392bb"/>
    <xsd:import namespace="791a7af5-2972-45b0-a35f-cced854d4c7c"/>
    <xsd:import namespace="20aa28be-609d-4372-b01c-60aadfafabfc"/>
    <xsd:import namespace="75efaa2a-a37d-4c44-99c1-32b9aa25f875"/>
    <xsd:element name="properties">
      <xsd:complexType>
        <xsd:sequence>
          <xsd:element name="documentManagement">
            <xsd:complexType>
              <xsd:all>
                <xsd:element ref="ns2:Dept" minOccurs="0"/>
                <xsd:element ref="ns3:TagsFieldForKWizComTags" minOccurs="0"/>
                <xsd:element ref="ns3:Rating" minOccurs="0"/>
                <xsd:element ref="ns3:IDD_x0020_Modified_x0020_By" minOccurs="0"/>
                <xsd:element ref="ns4:State" minOccurs="0"/>
                <xsd:element ref="ns5:ImportVersion" minOccurs="0"/>
                <xsd:element ref="ns6:Confidential" minOccurs="0"/>
                <xsd:element ref="ns7:IDDVersion" minOccurs="0"/>
                <xsd:element ref="ns7:ReservedDocument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549691a6-3b5b-4b6f-a000-280f621f5a2e" elementFormDefault="qualified">
    <xsd:import namespace="http://schemas.microsoft.com/office/2006/documentManagement/types"/>
    <xsd:element name="Dept" ma:index="8" nillable="true" ma:displayName="Dept" ma:default="" ma:description="Indesit Department" ma:internalName="Dept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DTP Cooking"/>
                    <xsd:enumeration value="DTP Cooling"/>
                    <xsd:enumeration value="DTP Laundry"/>
                    <xsd:enumeration value="DTP Dishwashing"/>
                    <xsd:enumeration value="Cross Product"/>
                  </xsd:restriction>
                </xsd:simpleType>
              </xsd:element>
            </xsd:sequence>
          </xsd:extension>
        </xsd:complexContent>
      </xsd:complexType>
    </xsd:element>
  </xsd:schema>
  <xsd:schema xmlns:xsd="http://www.w3.org/2001/XMLSchema" xmlns:dms="http://schemas.microsoft.com/office/2006/documentManagement/types" targetNamespace="5b9869d4-cde9-4686-b3fe-e74cffa50fe6" elementFormDefault="qualified">
    <xsd:import namespace="http://schemas.microsoft.com/office/2006/documentManagement/types"/>
    <xsd:element name="TagsFieldForKWizComTags" ma:index="9" nillable="true" ma:displayName="Tags" ma:internalName="TagsFieldForKWizComTags">
      <xsd:simpleType>
        <xsd:restriction base="dms:Text"/>
      </xsd:simpleType>
    </xsd:element>
    <xsd:element name="Rating" ma:index="10" nillable="true" ma:displayName="Rating" ma:decimals="1" ma:internalName="Rating">
      <xsd:simpleType>
        <xsd:restriction base="dms:Unknown"/>
      </xsd:simpleType>
    </xsd:element>
    <xsd:element name="IDD_x0020_Modified_x0020_By" ma:index="11" nillable="true" ma:displayName="IDD Modified By" ma:hidden="true" ma:internalName="IDD_x0020_Modified_x0020_By" ma:readOnly="false">
      <xsd:simpleType>
        <xsd:restriction base="dms:Text">
          <xsd:maxLength value="255"/>
        </xsd:restriction>
      </xsd:simpleType>
    </xsd:element>
  </xsd:schema>
  <xsd:schema xmlns:xsd="http://www.w3.org/2001/XMLSchema" xmlns:dms="http://schemas.microsoft.com/office/2006/documentManagement/types" targetNamespace="cd5a5200-613b-422a-94e9-ef20e1b392bb" elementFormDefault="qualified">
    <xsd:import namespace="http://schemas.microsoft.com/office/2006/documentManagement/types"/>
    <xsd:element name="State" ma:index="12" nillable="true" ma:displayName="State" ma:hidden="true" ma:internalName="State" ma:readOnly="false">
      <xsd:simpleType>
        <xsd:restriction base="dms:Text">
          <xsd:maxLength value="255"/>
        </xsd:restriction>
      </xsd:simpleType>
    </xsd:element>
  </xsd:schema>
  <xsd:schema xmlns:xsd="http://www.w3.org/2001/XMLSchema" xmlns:dms="http://schemas.microsoft.com/office/2006/documentManagement/types" targetNamespace="791a7af5-2972-45b0-a35f-cced854d4c7c" elementFormDefault="qualified">
    <xsd:import namespace="http://schemas.microsoft.com/office/2006/documentManagement/types"/>
    <xsd:element name="ImportVersion" ma:index="13" nillable="true" ma:displayName="ImportVersion" ma:hidden="true" ma:internalName="ImportVersion" ma:readOnly="false">
      <xsd:simpleType>
        <xsd:restriction base="dms:Text">
          <xsd:maxLength value="255"/>
        </xsd:restriction>
      </xsd:simpleType>
    </xsd:element>
  </xsd:schema>
  <xsd:schema xmlns:xsd="http://www.w3.org/2001/XMLSchema" xmlns:dms="http://schemas.microsoft.com/office/2006/documentManagement/types" targetNamespace="20aa28be-609d-4372-b01c-60aadfafabfc" elementFormDefault="qualified">
    <xsd:import namespace="http://schemas.microsoft.com/office/2006/documentManagement/types"/>
    <xsd:element name="Confidential" ma:index="14" nillable="true" ma:displayName="Confidential" ma:default="0" ma:internalName="Confidential" ma:readOnly="false">
      <xsd:simpleType>
        <xsd:restriction base="dms:Boolean"/>
      </xsd:simpleType>
    </xsd:element>
  </xsd:schema>
  <xsd:schema xmlns:xsd="http://www.w3.org/2001/XMLSchema" xmlns:dms="http://schemas.microsoft.com/office/2006/documentManagement/types" targetNamespace="75efaa2a-a37d-4c44-99c1-32b9aa25f875" elementFormDefault="qualified">
    <xsd:import namespace="http://schemas.microsoft.com/office/2006/documentManagement/types"/>
    <xsd:element name="IDDVersion" ma:index="16" nillable="true" ma:displayName="IDDVersion" ma:hidden="true" ma:internalName="IDDVersion" ma:readOnly="false">
      <xsd:simpleType>
        <xsd:restriction base="dms:Number"/>
      </xsd:simpleType>
    </xsd:element>
    <xsd:element name="ReservedDocument" ma:index="18" nillable="true" ma:displayName="ReservedDocument" ma:default="1" ma:internalName="ReservedDocument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BEA367-7950-4582-B7EA-61A41D4948EB}">
  <ds:schemaRefs>
    <ds:schemaRef ds:uri="791a7af5-2972-45b0-a35f-cced854d4c7c"/>
    <ds:schemaRef ds:uri="http://purl.org/dc/dcmitype/"/>
    <ds:schemaRef ds:uri="http://schemas.microsoft.com/office/2006/documentManagement/types"/>
    <ds:schemaRef ds:uri="5b9869d4-cde9-4686-b3fe-e74cffa50fe6"/>
    <ds:schemaRef ds:uri="549691a6-3b5b-4b6f-a000-280f621f5a2e"/>
    <ds:schemaRef ds:uri="http://schemas.openxmlformats.org/package/2006/metadata/core-properties"/>
    <ds:schemaRef ds:uri="http://purl.org/dc/terms/"/>
    <ds:schemaRef ds:uri="http://schemas.microsoft.com/office/2006/metadata/properties"/>
    <ds:schemaRef ds:uri="cd5a5200-613b-422a-94e9-ef20e1b392bb"/>
    <ds:schemaRef ds:uri="75efaa2a-a37d-4c44-99c1-32b9aa25f875"/>
    <ds:schemaRef ds:uri="20aa28be-609d-4372-b01c-60aadfafabfc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AF603DE3-BC1E-4E81-9F1D-B6ADB7EBE9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9691a6-3b5b-4b6f-a000-280f621f5a2e"/>
    <ds:schemaRef ds:uri="5b9869d4-cde9-4686-b3fe-e74cffa50fe6"/>
    <ds:schemaRef ds:uri="cd5a5200-613b-422a-94e9-ef20e1b392bb"/>
    <ds:schemaRef ds:uri="791a7af5-2972-45b0-a35f-cced854d4c7c"/>
    <ds:schemaRef ds:uri="20aa28be-609d-4372-b01c-60aadfafabfc"/>
    <ds:schemaRef ds:uri="75efaa2a-a37d-4c44-99c1-32b9aa25f875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1A533677-C2B3-4DEB-B2AD-21C849428F1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GUI forms</vt:lpstr>
      <vt:lpstr>Board Configuration Table</vt:lpstr>
      <vt:lpstr>Setting Table</vt:lpstr>
      <vt:lpstr>Dynamic Torque Limit</vt:lpstr>
      <vt:lpstr>Command Manager</vt:lpstr>
      <vt:lpstr>Mci Set Wm_32bit</vt:lpstr>
      <vt:lpstr>Mci Set Wm_16bit</vt:lpstr>
      <vt:lpstr>Mci Sensors Wm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Lab.Motori</cp:lastModifiedBy>
  <dcterms:created xsi:type="dcterms:W3CDTF">2014-05-30T10:38:56Z</dcterms:created>
  <dcterms:modified xsi:type="dcterms:W3CDTF">2017-11-20T15:45:14Z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0x010100D58CB85754DE0242B472D9DD88950EDB</vt:lpwstr>
  </property>
</Properties>
</file>