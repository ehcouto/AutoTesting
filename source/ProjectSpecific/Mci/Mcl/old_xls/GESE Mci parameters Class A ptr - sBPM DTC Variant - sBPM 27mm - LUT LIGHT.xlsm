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BEATOAPRJ\Windy_Mcu_Nucleus_Plt_2_5_sBpm_Dev\source\ProjectSpecific\Mci\Mcl\"/>
    </mc:Choice>
  </mc:AlternateContent>
  <bookViews>
    <workbookView xWindow="240" yWindow="105" windowWidth="9885" windowHeight="4080" firstSheet="2" activeTab="5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5" sheetId="14" r:id="rId9"/>
    <sheet name="Displ9" sheetId="18" r:id="rId10"/>
    <sheet name="Displ10" sheetId="19" r:id="rId11"/>
    <sheet name="Data validation entries" sheetId="10" r:id="rId12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10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Displ5!$A$6:$X$6</definedName>
    <definedName name="_xlnm._FilterDatabase" localSheetId="9" hidden="1">Displ9!#REF!</definedName>
    <definedName name="ALGO_BUILD_FLUX_INCREMENT">'Parameters definition'!$C$363</definedName>
    <definedName name="ALGO_BUILD_FLUX_MIN_CURRENT">'Parameters definition'!$C$361</definedName>
    <definedName name="ALGO_BUILD_FLUX_RATIO_2_FORCE_FLUX">'Parameters definition'!$C$362</definedName>
    <definedName name="ALGO_BUILD_FLUX_STARTING_TIME">'Parameters definition'!$C$360</definedName>
    <definedName name="ALGO_BUILD_FLUX_TS">'Parameters definition'!$C$359</definedName>
    <definedName name="ALGO_RES_EST_1ST_PLATEAU_TIME">'Parameters definition'!$C$390</definedName>
    <definedName name="ALGO_RES_EST_2ND_PLATEAU_TIME">'Parameters definition'!$C$391</definedName>
    <definedName name="ALGO_RES_EST_3RD_PLATEAU_TIME">'Parameters definition'!$C$392</definedName>
    <definedName name="ALGO_RES_EST_BASE_TEMP">'Parameters definition'!$C$414</definedName>
    <definedName name="ALGO_RES_EST_BASE_TEMP_COEFF">'Parameters definition'!$C$415</definedName>
    <definedName name="ALGO_RES_EST_CURR_1ST_PLATEAU">'Parameters definition'!$C$387</definedName>
    <definedName name="ALGO_RES_EST_CURR_2ND_PLATEAU">'Parameters definition'!$C$388</definedName>
    <definedName name="ALGO_RES_EST_CURR_3RD_PLATEAU">'Parameters definition'!$C$389</definedName>
    <definedName name="ALGO_RES_EST_HANDLER_TS">'Parameters definition'!$C$404</definedName>
    <definedName name="ALGO_RES_EST_NR_OF_ESTIMATION_AFTER_RESET">'Parameters definition'!$C$408</definedName>
    <definedName name="ALGO_RES_EST_NR_OF_ESTIMATION_IN_ROW_AFTER_SPIN">'Parameters definition'!$C$410</definedName>
    <definedName name="ALGO_RES_EST_NUMBER_OF_SAMPLES">'Parameters definition'!$C$397</definedName>
    <definedName name="ALGO_RES_EST_OSCILLATION_CHECK_TIME">'Parameters definition'!$C$396</definedName>
    <definedName name="ALGO_RES_EST_OSCILLATION_SPEED_THRESHOLD">'Parameters definition'!$C$401</definedName>
    <definedName name="ALGO_RES_EST_RS_FROM_BASE_TEMP">'Parameters definition'!$C$412</definedName>
    <definedName name="ALGO_RES_EST_SPEED_TO_MEAS_AGAIN">'Parameters definition'!$C$406</definedName>
    <definedName name="ALGO_RES_EST_STATOR_RESISTANCE">'Parameters definition'!$C$398</definedName>
    <definedName name="ALGO_RES_EST_TEMP_COEFF">'Parameters definition'!$C$413</definedName>
    <definedName name="ALGO_RES_EST_TIME_2_OUTDATE_RESISTANCE">'Parameters definition'!$C$402</definedName>
    <definedName name="ALGO_RES_EST_TIME_BETWEEN_MEAS_AFTER_RESET">'Parameters definition'!$C$407</definedName>
    <definedName name="ALGO_RES_EST_TIME_BETWEEN_MEAS_NORMAL_OPERATION">'Parameters definition'!$C$409</definedName>
    <definedName name="ALGO_RES_EST_TIMEOUT_1ST_PLATEAU">'Parameters definition'!$C$399</definedName>
    <definedName name="ALGO_RES_EST_TIMEOUT_2ND_PLATEAU">'Parameters definition'!$C$400</definedName>
    <definedName name="ALGO_RES_EST_TIMEOUT_THRESHOLD">'Parameters definition'!$C$386</definedName>
    <definedName name="ALGO_RES_EST_TS">'Parameters definition'!$C$403</definedName>
    <definedName name="ALGO_RES_EST_VOLTAGE_STEP_1ST_PLATEAU">'Parameters definition'!$C$393</definedName>
    <definedName name="ALGO_RES_EST_VOLTAGE_STEP_2ND_PLATEAU">'Parameters definition'!$C$394</definedName>
    <definedName name="ALGO_RES_EST_VOLTAGE_STEP_3RD_PLATEAU">'Parameters definition'!$C$395</definedName>
    <definedName name="ALGO_RUNNING_DEBOUNCER_2_IGBTS_OFF">'Parameters definition'!$C$369</definedName>
    <definedName name="ALGO_RUNNING_LOCKED_ROTOR_CURRENT_THRESHOLD">'Parameters definition'!$C$374</definedName>
    <definedName name="ALGO_RUNNING_LOCKED_ROTOR_RUNNING_THRESHOLD">'Parameters definition'!$C$373</definedName>
    <definedName name="ALGO_RUNNING_LOCKED_ROTOR_START_OR_RUNNING">'Parameters definition'!$C$371</definedName>
    <definedName name="ALGO_RUNNING_LOCKED_ROTOR_STARTING_THRESHOLD">'Parameters definition'!$C$372</definedName>
    <definedName name="ALGO_RUNNING_MIN_SPEED_2_IGBTS_OFF">'Parameters definition'!$C$368</definedName>
    <definedName name="ALGO_RUNNING_MIN_SPEED_BEFORE_STOPPING">'Parameters definition'!$C$367</definedName>
    <definedName name="ALGO_RUNNING_TIME_IGBTS_OFF_BELOW_MIN_SPEED">'Parameters definition'!$C$370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definition'!$C$170</definedName>
    <definedName name="CROSSED_CURR_POS_0">'Parameters definition'!$C$132</definedName>
    <definedName name="CROSSED_CURR_POS_1">'Parameters definition'!$C$133</definedName>
    <definedName name="CROSSED_CURR_POS_2">'Parameters definition'!$C$134</definedName>
    <definedName name="CROSSED_CURR_POS_3">'Parameters definition'!$C$135</definedName>
    <definedName name="CROSSED_CURR_POS_4">'Parameters definition'!$C$136</definedName>
    <definedName name="CROSSED_CURR_POS_5">'Parameters definition'!$C$137</definedName>
    <definedName name="CROSSED_CURR_POS_6">'Parameters definition'!$C$138</definedName>
    <definedName name="CROSSED_CURR_POS_7">'Parameters definition'!$C$139</definedName>
    <definedName name="CROSSED_IND_POS_0">'Parameters definition'!$C$124</definedName>
    <definedName name="CROSSED_IND_POS_1">'Parameters definition'!$C$125</definedName>
    <definedName name="CROSSED_IND_POS_2">'Parameters definition'!$C$126</definedName>
    <definedName name="CROSSED_IND_POS_3">'Parameters definition'!$C$127</definedName>
    <definedName name="CROSSED_IND_POS_4">'Parameters definition'!$C$128</definedName>
    <definedName name="CROSSED_IND_POS_5">'Parameters definition'!$C$129</definedName>
    <definedName name="CROSSED_IND_POS_6">'Parameters definition'!$C$130</definedName>
    <definedName name="CROSSED_IND_POS_7">'Parameters definition'!$C$131</definedName>
    <definedName name="D_CURR_CONTROL_KI">'Parameters definition'!$C$379</definedName>
    <definedName name="D_CURR_CONTROL_KP">'Parameters definition'!$C$378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definition'!$C$76</definedName>
    <definedName name="DIRECT_CURR_POS_1">'Parameters definition'!$C$77</definedName>
    <definedName name="DIRECT_CURR_POS_10">'Parameters definition'!$C$86</definedName>
    <definedName name="DIRECT_CURR_POS_11">'Parameters definition'!$C$87</definedName>
    <definedName name="DIRECT_CURR_POS_12">'Parameters definition'!$C$88</definedName>
    <definedName name="DIRECT_CURR_POS_13">'Parameters definition'!$C$89</definedName>
    <definedName name="DIRECT_CURR_POS_14">'Parameters definition'!$C$90</definedName>
    <definedName name="DIRECT_CURR_POS_15">'Parameters definition'!$C$91</definedName>
    <definedName name="DIRECT_CURR_POS_2">'Parameters definition'!$C$78</definedName>
    <definedName name="DIRECT_CURR_POS_3">'Parameters definition'!$C$79</definedName>
    <definedName name="DIRECT_CURR_POS_4">'Parameters definition'!$C$80</definedName>
    <definedName name="DIRECT_CURR_POS_5">'Parameters definition'!$C$81</definedName>
    <definedName name="DIRECT_CURR_POS_6">'Parameters definition'!$C$82</definedName>
    <definedName name="DIRECT_CURR_POS_7">'Parameters definition'!$C$83</definedName>
    <definedName name="DIRECT_CURR_POS_8">'Parameters definition'!$C$84</definedName>
    <definedName name="DIRECT_CURR_POS_9">'Parameters definition'!$C$85</definedName>
    <definedName name="DIRECT_IND_POS_0">'Parameters definition'!$C$60</definedName>
    <definedName name="DIRECT_IND_POS_1">'Parameters definition'!$C$61</definedName>
    <definedName name="DIRECT_IND_POS_10">'Parameters definition'!$C$70</definedName>
    <definedName name="DIRECT_IND_POS_11">'Parameters definition'!$C$71</definedName>
    <definedName name="DIRECT_IND_POS_12">'Parameters definition'!$C$72</definedName>
    <definedName name="DIRECT_IND_POS_13">'Parameters definition'!$C$73</definedName>
    <definedName name="DIRECT_IND_POS_14">'Parameters definition'!$C$74</definedName>
    <definedName name="DIRECT_IND_POS_15">'Parameters definition'!$C$75</definedName>
    <definedName name="DIRECT_IND_POS_2">'Parameters definition'!$C$62</definedName>
    <definedName name="DIRECT_IND_POS_3">'Parameters definition'!$C$63</definedName>
    <definedName name="DIRECT_IND_POS_4">'Parameters definition'!$C$64</definedName>
    <definedName name="DIRECT_IND_POS_5">'Parameters definition'!$C$65</definedName>
    <definedName name="DIRECT_IND_POS_6">'Parameters definition'!$C$66</definedName>
    <definedName name="DIRECT_IND_POS_7">'Parameters definition'!$C$67</definedName>
    <definedName name="DIRECT_IND_POS_8">'Parameters definition'!$C$68</definedName>
    <definedName name="DIRECT_IND_POS_9">'Parameters definition'!$C$69</definedName>
    <definedName name="DQ_CONTROLLER_MAX_FLUX">'Parameters definition'!$C$178</definedName>
    <definedName name="DQ_CONTROLLER_MAX_INPUT_VOLT_FACTOR">'Parameters definition'!$C$175</definedName>
    <definedName name="DQ_CONTROLLER_OVER_FLUX_DECREMENT">'Parameters definition'!$C$177</definedName>
    <definedName name="DQ_CONTROLLER_TS">'Parameters definition'!$C$179</definedName>
    <definedName name="DQ_CURRENT_CONTROL_TS">'Parameters definition'!$C$382</definedName>
    <definedName name="DQ_FLUX_KI_REGION_0">'Parameters definition'!$C$200</definedName>
    <definedName name="DQ_FLUX_KI_REGION_1">'Parameters definition'!$C$206</definedName>
    <definedName name="DQ_FLUX_KI_REGION_2">'Parameters definition'!$C$212</definedName>
    <definedName name="DQ_FLUX_KP_REGION_0">'Parameters definition'!$C$199</definedName>
    <definedName name="DQ_FLUX_KP_REGION_1">'Parameters definition'!$C$205</definedName>
    <definedName name="DQ_FLUX_KP_REGION_2">'Parameters definition'!$C$211</definedName>
    <definedName name="DQ_GAINS_SWTICHING_TIME_REGION_0">'Parameters definition'!$C$202</definedName>
    <definedName name="DQ_GAINS_SWTICHING_TIME_REGION_1">'Parameters definition'!$C$208</definedName>
    <definedName name="DQ_GAINS_SWTICHING_TIME_REGION_2">'Parameters definition'!$C$214</definedName>
    <definedName name="DQ_SPEED_THRESHOLD_REGION_0">'Parameters definition'!$C$201</definedName>
    <definedName name="DQ_SPEED_THRESHOLD_REGION_1">'Parameters definition'!$C$207</definedName>
    <definedName name="DQ_SPEED_THRESHOLD_REGION_2">'Parameters definition'!$C$213</definedName>
    <definedName name="DQ_STARTING_TIME">'Parameters definition'!$C$174</definedName>
    <definedName name="DQ_TORQUE_KI_REGION_0">'Parameters definition'!$C$198</definedName>
    <definedName name="DQ_TORQUE_KI_REGION_1">'Parameters definition'!$C$204</definedName>
    <definedName name="DQ_TORQUE_KI_REGION_2">'Parameters definition'!$C$210</definedName>
    <definedName name="DQ_TORQUE_KP_REGION_0">'Parameters definition'!$C$197</definedName>
    <definedName name="DQ_TORQUE_KP_REGION_1">'Parameters definition'!$C$203</definedName>
    <definedName name="DQ_TORQUE_KP_REGION_2">'Parameters definition'!$C$209</definedName>
    <definedName name="DQREF_MAX_SPEED_DROP_FACTOR">'Parameters definition'!$C$183</definedName>
    <definedName name="DQREF_MIN_AVAILABLE_VOLT_FACTOR">'Parameters definition'!$C$176</definedName>
    <definedName name="DQREF_SPEED_DROP_FACTOR">'Parameters definition'!$C$184</definedName>
    <definedName name="FLUX_REF_SCALE_TIME">'Parameters definition'!$C$180</definedName>
    <definedName name="FORCE_MAX_STARTING_TIME">'Parameters definition'!$C$149</definedName>
    <definedName name="FORCE_MAX_STARTING_TORQUE">'Parameters definition'!$C$148</definedName>
    <definedName name="K_TORQUE_ERROR">'Parameters definition'!$C$188</definedName>
    <definedName name="List_Variable_Format">'Data validation entries'!$J$8:$J$12</definedName>
    <definedName name="List_Variable_Sizes">'Data validation entries'!$F$8:$F$17</definedName>
    <definedName name="LOAD_ANGLE_COS_MAX">'Parameters definition'!$C$144</definedName>
    <definedName name="LOAD_ANGLE_KI">'Parameters definition'!$C$146</definedName>
    <definedName name="LOAD_ANGLE_KP">'Parameters definition'!$C$145</definedName>
    <definedName name="LS_INDUCTANCE">'Parameters definition'!$C$13</definedName>
    <definedName name="M_INDEX_CTRL">'Parameters definition'!$C$215</definedName>
    <definedName name="M_INDEX_REF">'Parameters definition'!$C$190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 LUTS'!$C$85</definedName>
    <definedName name="MTPAFlux_1">'Parameters definition LUTS'!$C$86</definedName>
    <definedName name="MTPAFlux_10">'Parameters definition LUTS'!$C$95</definedName>
    <definedName name="MTPAFlux_11">'Parameters definition LUTS'!$C$96</definedName>
    <definedName name="MTPAFlux_12">'Parameters definition LUTS'!$C$97</definedName>
    <definedName name="MTPAFlux_13">'Parameters definition LUTS'!$C$98</definedName>
    <definedName name="MTPAFlux_14">'Parameters definition LUTS'!$C$99</definedName>
    <definedName name="MTPAFlux_15">'Parameters definition LUTS'!$C$100</definedName>
    <definedName name="MTPAFlux_16">'Parameters definition LUTS'!$C$101</definedName>
    <definedName name="MTPAFlux_17">'Parameters definition LUTS'!$C$102</definedName>
    <definedName name="MTPAFlux_18">'Parameters definition LUTS'!$C$103</definedName>
    <definedName name="MTPAFlux_19">'Parameters definition LUTS'!$C$104</definedName>
    <definedName name="MTPAFlux_2">'Parameters definition LUTS'!$C$87</definedName>
    <definedName name="MTPAFlux_20">'Parameters definition LUTS'!$C$105</definedName>
    <definedName name="MTPAFlux_21">'Parameters definition LUTS'!$C$106</definedName>
    <definedName name="MTPAFlux_22">'Parameters definition LUTS'!$C$107</definedName>
    <definedName name="MTPAFlux_23">'Parameters definition LUTS'!$C$108</definedName>
    <definedName name="MTPAFlux_24">'Parameters definition LUTS'!$C$109</definedName>
    <definedName name="MTPAFlux_25">'Parameters definition LUTS'!$C$110</definedName>
    <definedName name="MTPAFlux_26">'Parameters definition LUTS'!$C$111</definedName>
    <definedName name="MTPAFlux_27">'Parameters definition LUTS'!$C$112</definedName>
    <definedName name="MTPAFlux_28">'Parameters definition LUTS'!$C$113</definedName>
    <definedName name="MTPAFlux_29">'Parameters definition LUTS'!$C$114</definedName>
    <definedName name="MTPAFlux_3">'Parameters definition LUTS'!$C$88</definedName>
    <definedName name="MTPAFlux_30">'Parameters definition LUTS'!$C$115</definedName>
    <definedName name="MTPAFlux_31">'Parameters definition LUTS'!$C$116</definedName>
    <definedName name="MTPAFlux_32">'Parameters definition LUTS'!$C$117</definedName>
    <definedName name="MTPAFlux_33">'Parameters definition LUTS'!$C$118</definedName>
    <definedName name="MTPAFlux_34">'Parameters definition LUTS'!$C$119</definedName>
    <definedName name="MTPAFlux_35">'Parameters definition LUTS'!$C$120</definedName>
    <definedName name="MTPAFlux_36">'Parameters definition LUTS'!$C$121</definedName>
    <definedName name="MTPAFlux_37">'Parameters definition LUTS'!$C$122</definedName>
    <definedName name="MTPAFlux_38">'Parameters definition LUTS'!$C$123</definedName>
    <definedName name="MTPAFlux_39">'Parameters definition LUTS'!$C$124</definedName>
    <definedName name="MTPAFlux_4">'Parameters definition LUTS'!$C$89</definedName>
    <definedName name="MTPAFlux_40">'Parameters definition LUTS'!$C$125</definedName>
    <definedName name="MTPAFlux_41">'Parameters definition LUTS'!$C$126</definedName>
    <definedName name="MTPAFlux_42">'Parameters definition LUTS'!$C$127</definedName>
    <definedName name="MTPAFlux_43">'Parameters definition LUTS'!$C$128</definedName>
    <definedName name="MTPAFlux_44">'Parameters definition LUTS'!$C$129</definedName>
    <definedName name="MTPAFlux_45">'Parameters definition LUTS'!$C$130</definedName>
    <definedName name="MTPAFlux_46">'Parameters definition LUTS'!$C$131</definedName>
    <definedName name="MTPAFlux_47">'Parameters definition LUTS'!$C$132</definedName>
    <definedName name="MTPAFlux_48">'Parameters definition LUTS'!$C$133</definedName>
    <definedName name="MTPAFlux_49">'Parameters definition LUTS'!$C$134</definedName>
    <definedName name="MTPAFlux_5">'Parameters definition LUTS'!$C$90</definedName>
    <definedName name="MTPAFlux_50">'Parameters definition LUTS'!$C$135</definedName>
    <definedName name="MTPAFlux_51">'Parameters definition LUTS'!$C$136</definedName>
    <definedName name="MTPAFlux_52">'Parameters definition LUTS'!$C$137</definedName>
    <definedName name="MTPAFlux_53">'Parameters definition LUTS'!$C$138</definedName>
    <definedName name="MTPAFlux_54">'Parameters definition LUTS'!$C$139</definedName>
    <definedName name="MTPAFlux_55">'Parameters definition LUTS'!$C$140</definedName>
    <definedName name="MTPAFlux_56">'Parameters definition LUTS'!$C$141</definedName>
    <definedName name="MTPAFlux_57">'Parameters definition LUTS'!$C$142</definedName>
    <definedName name="MTPAFlux_58">'Parameters definition LUTS'!$C$143</definedName>
    <definedName name="MTPAFlux_59">'Parameters definition LUTS'!$C$144</definedName>
    <definedName name="MTPAFlux_6">'Parameters definition LUTS'!$C$91</definedName>
    <definedName name="MTPAFlux_60">'Parameters definition LUTS'!$C$145</definedName>
    <definedName name="MTPAFlux_61">'Parameters definition LUTS'!$C$146</definedName>
    <definedName name="MTPAFlux_62">'Parameters definition LUTS'!$C$147</definedName>
    <definedName name="MTPAFlux_63">'Parameters definition LUTS'!$C$148</definedName>
    <definedName name="MTPAFlux_64">'Parameters definition LUTS'!$C$149</definedName>
    <definedName name="MTPAFlux_65">'Parameters definition LUTS'!$C$150</definedName>
    <definedName name="MTPAFlux_66">'Parameters definition LUTS'!$C$151</definedName>
    <definedName name="MTPAFlux_67">'Parameters definition LUTS'!$C$152</definedName>
    <definedName name="MTPAFlux_68">'Parameters definition LUTS'!$C$153</definedName>
    <definedName name="MTPAFlux_69">'Parameters definition LUTS'!$C$154</definedName>
    <definedName name="MTPAFlux_7">'Parameters definition LUTS'!$C$92</definedName>
    <definedName name="MTPAFlux_70">'Parameters definition LUTS'!$C$155</definedName>
    <definedName name="MTPAFlux_71">'Parameters definition LUTS'!$C$156</definedName>
    <definedName name="MTPAFlux_72">'Parameters definition LUTS'!$C$157</definedName>
    <definedName name="MTPAFlux_73">'Parameters definition LUTS'!$C$158</definedName>
    <definedName name="MTPAFlux_74">'Parameters definition LUTS'!$C$159</definedName>
    <definedName name="MTPAFlux_75">'Parameters definition LUTS'!$C$160</definedName>
    <definedName name="MTPAFlux_76">'Parameters definition LUTS'!$C$161</definedName>
    <definedName name="MTPAFlux_77">'Parameters definition LUTS'!$C$162</definedName>
    <definedName name="MTPAFlux_78">'Parameters definition LUTS'!$C$163</definedName>
    <definedName name="MTPAFlux_79">'Parameters definition LUTS'!$C$164</definedName>
    <definedName name="MTPAFlux_8">'Parameters definition LUTS'!$C$93</definedName>
    <definedName name="MTPAFlux_80">'Parameters definition LUTS'!$C$165</definedName>
    <definedName name="MTPAFlux_9">'Parameters definition LUTS'!$C$94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LUTS'!$C$20</definedName>
    <definedName name="MTPATorque_17">'Parameters definition LUTS'!$C$21</definedName>
    <definedName name="MTPATorque_18">'Parameters definition LUTS'!$C$22</definedName>
    <definedName name="MTPATorque_19">'Parameters definition LUTS'!$C$23</definedName>
    <definedName name="MTPATorque_2">'Parameters definition LUTS'!$C$6</definedName>
    <definedName name="MTPATorque_20">'Parameters definition LUTS'!$C$24</definedName>
    <definedName name="MTPATorque_21">'Parameters definition LUTS'!$C$25</definedName>
    <definedName name="MTPATorque_22">'Parameters definition LUTS'!$C$26</definedName>
    <definedName name="MTPATorque_23">'Parameters definition LUTS'!$C$27</definedName>
    <definedName name="MTPATorque_24">'Parameters definition LUTS'!$C$28</definedName>
    <definedName name="MTPATorque_25">'Parameters definition LUTS'!$C$29</definedName>
    <definedName name="MTPATorque_26">'Parameters definition LUTS'!$C$30</definedName>
    <definedName name="MTPATorque_27">'Parameters definition LUTS'!$C$31</definedName>
    <definedName name="MTPATorque_28">'Parameters definition LUTS'!$C$32</definedName>
    <definedName name="MTPATorque_29">'Parameters definition LUTS'!$C$33</definedName>
    <definedName name="MTPATorque_3">'Parameters definition LUTS'!$C$7</definedName>
    <definedName name="MTPATorque_30">'Parameters definition LUTS'!$C$34</definedName>
    <definedName name="MTPATorque_31">'Parameters definition LUTS'!$C$35</definedName>
    <definedName name="MTPATorque_32">'Parameters definition LUTS'!$C$36</definedName>
    <definedName name="MTPATorque_33">'Parameters definition LUTS'!$C$37</definedName>
    <definedName name="MTPATorque_34">'Parameters definition LUTS'!$C$38</definedName>
    <definedName name="MTPATorque_35">'Parameters definition LUTS'!$C$39</definedName>
    <definedName name="MTPATorque_36">'Parameters definition LUTS'!$C$40</definedName>
    <definedName name="MTPATorque_37">'Parameters definition LUTS'!$C$41</definedName>
    <definedName name="MTPATorque_38">'Parameters definition LUTS'!$C$42</definedName>
    <definedName name="MTPATorque_39">'Parameters definition LUTS'!$C$43</definedName>
    <definedName name="MTPATorque_4">'Parameters definition LUTS'!$C$8</definedName>
    <definedName name="MTPATorque_40">'Parameters definition LUTS'!$C$44</definedName>
    <definedName name="MTPATorque_41">'Parameters definition LUTS'!$C$45</definedName>
    <definedName name="MTPATorque_42">'Parameters definition LUTS'!$C$46</definedName>
    <definedName name="MTPATorque_43">'Parameters definition LUTS'!$C$47</definedName>
    <definedName name="MTPATorque_44">'Parameters definition LUTS'!$C$48</definedName>
    <definedName name="MTPATorque_45">'Parameters definition LUTS'!$C$49</definedName>
    <definedName name="MTPATorque_46">'Parameters definition LUTS'!$C$50</definedName>
    <definedName name="MTPATorque_47">'Parameters definition LUTS'!$C$51</definedName>
    <definedName name="MTPATorque_48">'Parameters definition LUTS'!$C$52</definedName>
    <definedName name="MTPATorque_49">'Parameters definition LUTS'!$C$53</definedName>
    <definedName name="MTPATorque_5">'Parameters definition LUTS'!$C$9</definedName>
    <definedName name="MTPATorque_50">'Parameters definition LUTS'!$C$54</definedName>
    <definedName name="MTPATorque_51">'Parameters definition LUTS'!$C$55</definedName>
    <definedName name="MTPATorque_52">'Parameters definition LUTS'!$C$56</definedName>
    <definedName name="MTPATorque_53">'Parameters definition LUTS'!$C$57</definedName>
    <definedName name="MTPATorque_54">'Parameters definition LUTS'!$C$58</definedName>
    <definedName name="MTPATorque_55">'Parameters definition LUTS'!$C$59</definedName>
    <definedName name="MTPATorque_56">'Parameters definition LUTS'!$C$60</definedName>
    <definedName name="MTPATorque_57">'Parameters definition LUTS'!$C$61</definedName>
    <definedName name="MTPATorque_58">'Parameters definition LUTS'!$C$62</definedName>
    <definedName name="MTPATorque_59">'Parameters definition LUTS'!$C$63</definedName>
    <definedName name="MTPATorque_6">'Parameters definition LUTS'!$C$10</definedName>
    <definedName name="MTPATorque_60">'Parameters definition LUTS'!$C$64</definedName>
    <definedName name="MTPATorque_61">'Parameters definition LUTS'!$C$65</definedName>
    <definedName name="MTPATorque_62">'Parameters definition LUTS'!$C$66</definedName>
    <definedName name="MTPATorque_63">'Parameters definition LUTS'!$C$67</definedName>
    <definedName name="MTPATorque_64">'Parameters definition LUTS'!$C$68</definedName>
    <definedName name="MTPATorque_65">'Parameters definition LUTS'!$C$69</definedName>
    <definedName name="MTPATorque_66">'Parameters definition LUTS'!$C$70</definedName>
    <definedName name="MTPATorque_67">'Parameters definition LUTS'!$C$71</definedName>
    <definedName name="MTPATorque_68">'Parameters definition LUTS'!$C$72</definedName>
    <definedName name="MTPATorque_69">'Parameters definition LUTS'!$C$73</definedName>
    <definedName name="MTPATorque_7">'Parameters definition LUTS'!$C$11</definedName>
    <definedName name="MTPATorque_70">'Parameters definition LUTS'!$C$74</definedName>
    <definedName name="MTPATorque_71">'Parameters definition LUTS'!$C$75</definedName>
    <definedName name="MTPATorque_72">'Parameters definition LUTS'!$C$76</definedName>
    <definedName name="MTPATorque_73">'Parameters definition LUTS'!$C$77</definedName>
    <definedName name="MTPATorque_74">'Parameters definition LUTS'!$C$78</definedName>
    <definedName name="MTPATorque_75">'Parameters definition LUTS'!$C$79</definedName>
    <definedName name="MTPATorque_76">'Parameters definition LUTS'!$C$80</definedName>
    <definedName name="MTPATorque_77">'Parameters definition LUTS'!$C$81</definedName>
    <definedName name="MTPATorque_78">'Parameters definition LUTS'!$C$82</definedName>
    <definedName name="MTPATorque_79">'Parameters definition LUTS'!$C$83</definedName>
    <definedName name="MTPATorque_8">'Parameters definition LUTS'!$C$12</definedName>
    <definedName name="MTPATorque_80">'Parameters definition LUTS'!$C$84</definedName>
    <definedName name="MTPATorque_9">'Parameters definition LUTS'!$C$13</definedName>
    <definedName name="MTPVAngle_0">'Parameters definition LUTS'!$C$492</definedName>
    <definedName name="MTPVAngle_1">'Parameters definition LUTS'!$C$493</definedName>
    <definedName name="MTPVAngle_10">'Parameters definition LUTS'!$C$502</definedName>
    <definedName name="MTPVAngle_100">'Parameters definition LUTS'!$C$592</definedName>
    <definedName name="MTPVAngle_101">'Parameters definition LUTS'!$C$593</definedName>
    <definedName name="MTPVAngle_102">'Parameters definition LUTS'!$C$594</definedName>
    <definedName name="MTPVAngle_103">'Parameters definition LUTS'!$C$595</definedName>
    <definedName name="MTPVAngle_104">'Parameters definition LUTS'!$C$596</definedName>
    <definedName name="MTPVAngle_105">'Parameters definition LUTS'!$C$597</definedName>
    <definedName name="MTPVAngle_106">'Parameters definition LUTS'!$C$598</definedName>
    <definedName name="MTPVAngle_107">'Parameters definition LUTS'!$C$599</definedName>
    <definedName name="MTPVAngle_108">'Parameters definition LUTS'!$C$600</definedName>
    <definedName name="MTPVAngle_109">'Parameters definition LUTS'!$C$601</definedName>
    <definedName name="MTPVAngle_11">'Parameters definition LUTS'!$C$503</definedName>
    <definedName name="MTPVAngle_110">'Parameters definition LUTS'!$C$602</definedName>
    <definedName name="MTPVAngle_111">'Parameters definition LUTS'!$C$603</definedName>
    <definedName name="MTPVAngle_112">'Parameters definition LUTS'!$C$604</definedName>
    <definedName name="MTPVAngle_113">'Parameters definition LUTS'!$C$605</definedName>
    <definedName name="MTPVAngle_114">'Parameters definition LUTS'!$C$606</definedName>
    <definedName name="MTPVAngle_115">'Parameters definition LUTS'!$C$607</definedName>
    <definedName name="MTPVAngle_116">'Parameters definition LUTS'!$C$608</definedName>
    <definedName name="MTPVAngle_117">'Parameters definition LUTS'!$C$609</definedName>
    <definedName name="MTPVAngle_118">'Parameters definition LUTS'!$C$610</definedName>
    <definedName name="MTPVAngle_119">'Parameters definition LUTS'!$C$611</definedName>
    <definedName name="MTPVAngle_12">'Parameters definition LUTS'!$C$504</definedName>
    <definedName name="MTPVAngle_120">'Parameters definition LUTS'!$C$612</definedName>
    <definedName name="MTPVAngle_121">'Parameters definition LUTS'!$C$613</definedName>
    <definedName name="MTPVAngle_122">'Parameters definition LUTS'!$C$614</definedName>
    <definedName name="MTPVAngle_123">'Parameters definition LUTS'!$C$615</definedName>
    <definedName name="MTPVAngle_124">'Parameters definition LUTS'!$C$616</definedName>
    <definedName name="MTPVAngle_125">'Parameters definition LUTS'!$C$617</definedName>
    <definedName name="MTPVAngle_126">'Parameters definition LUTS'!$C$618</definedName>
    <definedName name="MTPVAngle_127">'Parameters definition LUTS'!$C$619</definedName>
    <definedName name="MTPVAngle_128">'Parameters definition LUTS'!$C$620</definedName>
    <definedName name="MTPVAngle_129">'Parameters definition LUTS'!$C$621</definedName>
    <definedName name="MTPVAngle_13">'Parameters definition LUTS'!$C$505</definedName>
    <definedName name="MTPVAngle_130">'Parameters definition LUTS'!$C$622</definedName>
    <definedName name="MTPVAngle_131">'Parameters definition LUTS'!$C$623</definedName>
    <definedName name="MTPVAngle_132">'Parameters definition LUTS'!$C$624</definedName>
    <definedName name="MTPVAngle_133">'Parameters definition LUTS'!$C$625</definedName>
    <definedName name="MTPVAngle_134">'Parameters definition LUTS'!$C$626</definedName>
    <definedName name="MTPVAngle_135">'Parameters definition LUTS'!$C$627</definedName>
    <definedName name="MTPVAngle_136">'Parameters definition LUTS'!$C$628</definedName>
    <definedName name="MTPVAngle_137">'Parameters definition LUTS'!$C$629</definedName>
    <definedName name="MTPVAngle_138">'Parameters definition LUTS'!$C$630</definedName>
    <definedName name="MTPVAngle_139">'Parameters definition LUTS'!$C$631</definedName>
    <definedName name="MTPVAngle_14">'Parameters definition LUTS'!$C$506</definedName>
    <definedName name="MTPVAngle_140">'Parameters definition LUTS'!$C$632</definedName>
    <definedName name="MTPVAngle_141">'Parameters definition LUTS'!$C$633</definedName>
    <definedName name="MTPVAngle_142">'Parameters definition LUTS'!$C$634</definedName>
    <definedName name="MTPVAngle_143">'Parameters definition LUTS'!$C$635</definedName>
    <definedName name="MTPVAngle_144">'Parameters definition LUTS'!$C$636</definedName>
    <definedName name="MTPVAngle_145">'Parameters definition LUTS'!$C$637</definedName>
    <definedName name="MTPVAngle_146">'Parameters definition LUTS'!$C$638</definedName>
    <definedName name="MTPVAngle_147">'Parameters definition LUTS'!$C$639</definedName>
    <definedName name="MTPVAngle_148">'Parameters definition LUTS'!$C$640</definedName>
    <definedName name="MTPVAngle_149">'Parameters definition LUTS'!$C$641</definedName>
    <definedName name="MTPVAngle_15">'Parameters definition LUTS'!$C$507</definedName>
    <definedName name="MTPVAngle_150">'Parameters definition LUTS'!$C$642</definedName>
    <definedName name="MTPVAngle_151">'Parameters definition LUTS'!$C$643</definedName>
    <definedName name="MTPVAngle_152">'Parameters definition LUTS'!$C$644</definedName>
    <definedName name="MTPVAngle_153">'Parameters definition LUTS'!$C$645</definedName>
    <definedName name="MTPVAngle_154">'Parameters definition LUTS'!$C$646</definedName>
    <definedName name="MTPVAngle_155">'Parameters definition LUTS'!$C$647</definedName>
    <definedName name="MTPVAngle_156">'Parameters definition LUTS'!$C$648</definedName>
    <definedName name="MTPVAngle_157">'Parameters definition LUTS'!$C$649</definedName>
    <definedName name="MTPVAngle_158">'Parameters definition LUTS'!$C$650</definedName>
    <definedName name="MTPVAngle_159">'Parameters definition LUTS'!$C$651</definedName>
    <definedName name="MTPVAngle_16">'Parameters definition LUTS'!$C$508</definedName>
    <definedName name="MTPVAngle_160">'Parameters definition LUTS'!$C$652</definedName>
    <definedName name="MTPVAngle_17">'Parameters definition LUTS'!$C$509</definedName>
    <definedName name="MTPVAngle_18">'Parameters definition LUTS'!$C$510</definedName>
    <definedName name="MTPVAngle_19">'Parameters definition LUTS'!$C$511</definedName>
    <definedName name="MTPVAngle_2">'Parameters definition LUTS'!$C$494</definedName>
    <definedName name="MTPVAngle_20">'Parameters definition LUTS'!$C$512</definedName>
    <definedName name="MTPVAngle_21">'Parameters definition LUTS'!$C$513</definedName>
    <definedName name="MTPVAngle_22">'Parameters definition LUTS'!$C$514</definedName>
    <definedName name="MTPVAngle_23">'Parameters definition LUTS'!$C$515</definedName>
    <definedName name="MTPVAngle_24">'Parameters definition LUTS'!$C$516</definedName>
    <definedName name="MTPVAngle_25">'Parameters definition LUTS'!$C$517</definedName>
    <definedName name="MTPVAngle_26">'Parameters definition LUTS'!$C$518</definedName>
    <definedName name="MTPVAngle_27">'Parameters definition LUTS'!$C$519</definedName>
    <definedName name="MTPVAngle_28">'Parameters definition LUTS'!$C$520</definedName>
    <definedName name="MTPVAngle_29">'Parameters definition LUTS'!$C$521</definedName>
    <definedName name="MTPVAngle_3">'Parameters definition LUTS'!$C$495</definedName>
    <definedName name="MTPVAngle_30">'Parameters definition LUTS'!$C$522</definedName>
    <definedName name="MTPVAngle_31">'Parameters definition LUTS'!$C$523</definedName>
    <definedName name="MTPVAngle_32">'Parameters definition LUTS'!$C$524</definedName>
    <definedName name="MTPVAngle_33">'Parameters definition LUTS'!$C$525</definedName>
    <definedName name="MTPVAngle_34">'Parameters definition LUTS'!$C$526</definedName>
    <definedName name="MTPVAngle_35">'Parameters definition LUTS'!$C$527</definedName>
    <definedName name="MTPVAngle_36">'Parameters definition LUTS'!$C$528</definedName>
    <definedName name="MTPVAngle_37">'Parameters definition LUTS'!$C$529</definedName>
    <definedName name="MTPVAngle_38">'Parameters definition LUTS'!$C$530</definedName>
    <definedName name="MTPVAngle_39">'Parameters definition LUTS'!$C$531</definedName>
    <definedName name="MTPVAngle_4">'Parameters definition LUTS'!$C$496</definedName>
    <definedName name="MTPVAngle_40">'Parameters definition LUTS'!$C$532</definedName>
    <definedName name="MTPVAngle_41">'Parameters definition LUTS'!$C$533</definedName>
    <definedName name="MTPVAngle_42">'Parameters definition LUTS'!$C$534</definedName>
    <definedName name="MTPVAngle_43">'Parameters definition LUTS'!$C$535</definedName>
    <definedName name="MTPVAngle_44">'Parameters definition LUTS'!$C$536</definedName>
    <definedName name="MTPVAngle_45">'Parameters definition LUTS'!$C$537</definedName>
    <definedName name="MTPVAngle_46">'Parameters definition LUTS'!$C$538</definedName>
    <definedName name="MTPVAngle_47">'Parameters definition LUTS'!$C$539</definedName>
    <definedName name="MTPVAngle_48">'Parameters definition LUTS'!$C$540</definedName>
    <definedName name="MTPVAngle_49">'Parameters definition LUTS'!$C$541</definedName>
    <definedName name="MTPVAngle_5">'Parameters definition LUTS'!$C$497</definedName>
    <definedName name="MTPVAngle_50">'Parameters definition LUTS'!$C$542</definedName>
    <definedName name="MTPVAngle_51">'Parameters definition LUTS'!$C$543</definedName>
    <definedName name="MTPVAngle_52">'Parameters definition LUTS'!$C$544</definedName>
    <definedName name="MTPVAngle_53">'Parameters definition LUTS'!$C$545</definedName>
    <definedName name="MTPVAngle_54">'Parameters definition LUTS'!$C$546</definedName>
    <definedName name="MTPVAngle_55">'Parameters definition LUTS'!$C$547</definedName>
    <definedName name="MTPVAngle_56">'Parameters definition LUTS'!$C$548</definedName>
    <definedName name="MTPVAngle_57">'Parameters definition LUTS'!$C$549</definedName>
    <definedName name="MTPVAngle_58">'Parameters definition LUTS'!$C$550</definedName>
    <definedName name="MTPVAngle_59">'Parameters definition LUTS'!$C$551</definedName>
    <definedName name="MTPVAngle_6">'Parameters definition LUTS'!$C$498</definedName>
    <definedName name="MTPVAngle_60">'Parameters definition LUTS'!$C$552</definedName>
    <definedName name="MTPVAngle_61">'Parameters definition LUTS'!$C$553</definedName>
    <definedName name="MTPVAngle_62">'Parameters definition LUTS'!$C$554</definedName>
    <definedName name="MTPVAngle_63">'Parameters definition LUTS'!$C$555</definedName>
    <definedName name="MTPVAngle_64">'Parameters definition LUTS'!$C$556</definedName>
    <definedName name="MTPVAngle_65">'Parameters definition LUTS'!$C$557</definedName>
    <definedName name="MTPVAngle_66">'Parameters definition LUTS'!$C$558</definedName>
    <definedName name="MTPVAngle_67">'Parameters definition LUTS'!$C$559</definedName>
    <definedName name="MTPVAngle_68">'Parameters definition LUTS'!$C$560</definedName>
    <definedName name="MTPVAngle_69">'Parameters definition LUTS'!$C$561</definedName>
    <definedName name="MTPVAngle_7">'Parameters definition LUTS'!$C$499</definedName>
    <definedName name="MTPVAngle_70">'Parameters definition LUTS'!$C$562</definedName>
    <definedName name="MTPVAngle_71">'Parameters definition LUTS'!$C$563</definedName>
    <definedName name="MTPVAngle_72">'Parameters definition LUTS'!$C$564</definedName>
    <definedName name="MTPVAngle_73">'Parameters definition LUTS'!$C$565</definedName>
    <definedName name="MTPVAngle_74">'Parameters definition LUTS'!$C$566</definedName>
    <definedName name="MTPVAngle_75">'Parameters definition LUTS'!$C$567</definedName>
    <definedName name="MTPVAngle_76">'Parameters definition LUTS'!$C$568</definedName>
    <definedName name="MTPVAngle_77">'Parameters definition LUTS'!$C$569</definedName>
    <definedName name="MTPVAngle_78">'Parameters definition LUTS'!$C$570</definedName>
    <definedName name="MTPVAngle_79">'Parameters definition LUTS'!$C$571</definedName>
    <definedName name="MTPVAngle_8">'Parameters definition LUTS'!$C$500</definedName>
    <definedName name="MTPVAngle_80">'Parameters definition LUTS'!$C$572</definedName>
    <definedName name="MTPVAngle_81">'Parameters definition LUTS'!$C$573</definedName>
    <definedName name="MTPVAngle_82">'Parameters definition LUTS'!$C$574</definedName>
    <definedName name="MTPVAngle_83">'Parameters definition LUTS'!$C$575</definedName>
    <definedName name="MTPVAngle_84">'Parameters definition LUTS'!$C$576</definedName>
    <definedName name="MTPVAngle_85">'Parameters definition LUTS'!$C$577</definedName>
    <definedName name="MTPVAngle_86">'Parameters definition LUTS'!$C$578</definedName>
    <definedName name="MTPVAngle_87">'Parameters definition LUTS'!$C$579</definedName>
    <definedName name="MTPVAngle_88">'Parameters definition LUTS'!$C$580</definedName>
    <definedName name="MTPVAngle_89">'Parameters definition LUTS'!$C$581</definedName>
    <definedName name="MTPVAngle_9">'Parameters definition LUTS'!$C$501</definedName>
    <definedName name="MTPVAngle_90">'Parameters definition LUTS'!$C$582</definedName>
    <definedName name="MTPVAngle_91">'Parameters definition LUTS'!$C$583</definedName>
    <definedName name="MTPVAngle_92">'Parameters definition LUTS'!$C$584</definedName>
    <definedName name="MTPVAngle_93">'Parameters definition LUTS'!$C$585</definedName>
    <definedName name="MTPVAngle_94">'Parameters definition LUTS'!$C$586</definedName>
    <definedName name="MTPVAngle_95">'Parameters definition LUTS'!$C$587</definedName>
    <definedName name="MTPVAngle_96">'Parameters definition LUTS'!$C$588</definedName>
    <definedName name="MTPVAngle_97">'Parameters definition LUTS'!$C$589</definedName>
    <definedName name="MTPVAngle_98">'Parameters definition LUTS'!$C$590</definedName>
    <definedName name="MTPVAngle_99">'Parameters definition LUTS'!$C$591</definedName>
    <definedName name="MTPVFlux_0">'Parameters definition LUTS'!$C$170</definedName>
    <definedName name="MTPVFlux_1">'Parameters definition LUTS'!$C$171</definedName>
    <definedName name="MTPVFlux_10">'Parameters definition LUTS'!$C$180</definedName>
    <definedName name="MTPVFlux_100">'Parameters definition LUTS'!$C$270</definedName>
    <definedName name="MTPVFlux_101">'Parameters definition LUTS'!$C$271</definedName>
    <definedName name="MTPVFlux_102">'Parameters definition LUTS'!$C$272</definedName>
    <definedName name="MTPVFlux_103">'Parameters definition LUTS'!$C$273</definedName>
    <definedName name="MTPVFlux_104">'Parameters definition LUTS'!$C$274</definedName>
    <definedName name="MTPVFlux_105">'Parameters definition LUTS'!$C$275</definedName>
    <definedName name="MTPVFlux_106">'Parameters definition LUTS'!$C$276</definedName>
    <definedName name="MTPVFlux_107">'Parameters definition LUTS'!$C$277</definedName>
    <definedName name="MTPVFlux_108">'Parameters definition LUTS'!$C$278</definedName>
    <definedName name="MTPVFlux_109">'Parameters definition LUTS'!$C$279</definedName>
    <definedName name="MTPVFlux_11">'Parameters definition LUTS'!$C$181</definedName>
    <definedName name="MTPVFlux_110">'Parameters definition LUTS'!$C$280</definedName>
    <definedName name="MTPVFlux_111">'Parameters definition LUTS'!$C$281</definedName>
    <definedName name="MTPVFlux_112">'Parameters definition LUTS'!$C$282</definedName>
    <definedName name="MTPVFlux_113">'Parameters definition LUTS'!$C$283</definedName>
    <definedName name="MTPVFlux_114">'Parameters definition LUTS'!$C$284</definedName>
    <definedName name="MTPVFlux_115">'Parameters definition LUTS'!$C$285</definedName>
    <definedName name="MTPVFlux_116">'Parameters definition LUTS'!$C$286</definedName>
    <definedName name="MTPVFlux_117">'Parameters definition LUTS'!$C$287</definedName>
    <definedName name="MTPVFlux_118">'Parameters definition LUTS'!$C$288</definedName>
    <definedName name="MTPVFlux_119">'Parameters definition LUTS'!$C$289</definedName>
    <definedName name="MTPVFlux_12">'Parameters definition LUTS'!$C$182</definedName>
    <definedName name="MTPVFlux_120">'Parameters definition LUTS'!$C$290</definedName>
    <definedName name="MTPVFlux_121">'Parameters definition LUTS'!$C$291</definedName>
    <definedName name="MTPVFlux_122">'Parameters definition LUTS'!$C$292</definedName>
    <definedName name="MTPVFlux_123">'Parameters definition LUTS'!$C$293</definedName>
    <definedName name="MTPVFlux_124">'Parameters definition LUTS'!$C$294</definedName>
    <definedName name="MTPVFlux_125">'Parameters definition LUTS'!$C$295</definedName>
    <definedName name="MTPVFlux_126">'Parameters definition LUTS'!$C$296</definedName>
    <definedName name="MTPVFlux_127">'Parameters definition LUTS'!$C$297</definedName>
    <definedName name="MTPVFlux_128">'Parameters definition LUTS'!$C$298</definedName>
    <definedName name="MTPVFlux_129">'Parameters definition LUTS'!$C$299</definedName>
    <definedName name="MTPVFlux_13">'Parameters definition LUTS'!$C$183</definedName>
    <definedName name="MTPVFlux_130">'Parameters definition LUTS'!$C$300</definedName>
    <definedName name="MTPVFlux_131">'Parameters definition LUTS'!$C$301</definedName>
    <definedName name="MTPVFlux_132">'Parameters definition LUTS'!$C$302</definedName>
    <definedName name="MTPVFlux_133">'Parameters definition LUTS'!$C$303</definedName>
    <definedName name="MTPVFlux_134">'Parameters definition LUTS'!$C$304</definedName>
    <definedName name="MTPVFlux_135">'Parameters definition LUTS'!$C$305</definedName>
    <definedName name="MTPVFlux_136">'Parameters definition LUTS'!$C$306</definedName>
    <definedName name="MTPVFlux_137">'Parameters definition LUTS'!$C$307</definedName>
    <definedName name="MTPVFlux_138">'Parameters definition LUTS'!$C$308</definedName>
    <definedName name="MTPVFlux_139">'Parameters definition LUTS'!$C$309</definedName>
    <definedName name="MTPVFlux_14">'Parameters definition LUTS'!$C$184</definedName>
    <definedName name="MTPVFlux_140">'Parameters definition LUTS'!$C$310</definedName>
    <definedName name="MTPVFlux_141">'Parameters definition LUTS'!$C$311</definedName>
    <definedName name="MTPVFlux_142">'Parameters definition LUTS'!$C$312</definedName>
    <definedName name="MTPVFlux_143">'Parameters definition LUTS'!$C$313</definedName>
    <definedName name="MTPVFlux_144">'Parameters definition LUTS'!$C$314</definedName>
    <definedName name="MTPVFlux_145">'Parameters definition LUTS'!$C$315</definedName>
    <definedName name="MTPVFlux_146">'Parameters definition LUTS'!$C$316</definedName>
    <definedName name="MTPVFlux_147">'Parameters definition LUTS'!$C$317</definedName>
    <definedName name="MTPVFlux_148">'Parameters definition LUTS'!$C$318</definedName>
    <definedName name="MTPVFlux_149">'Parameters definition LUTS'!$C$319</definedName>
    <definedName name="MTPVFlux_15">'Parameters definition LUTS'!$C$185</definedName>
    <definedName name="MTPVFlux_150">'Parameters definition LUTS'!$C$320</definedName>
    <definedName name="MTPVFlux_151">'Parameters definition LUTS'!$C$321</definedName>
    <definedName name="MTPVFlux_152">'Parameters definition LUTS'!$C$322</definedName>
    <definedName name="MTPVFlux_153">'Parameters definition LUTS'!$C$323</definedName>
    <definedName name="MTPVFlux_154">'Parameters definition LUTS'!$C$324</definedName>
    <definedName name="MTPVFlux_155">'Parameters definition LUTS'!$C$325</definedName>
    <definedName name="MTPVFlux_156">'Parameters definition LUTS'!$C$326</definedName>
    <definedName name="MTPVFlux_157">'Parameters definition LUTS'!$C$327</definedName>
    <definedName name="MTPVFlux_158">'Parameters definition LUTS'!$C$328</definedName>
    <definedName name="MTPVFlux_159">'Parameters definition LUTS'!$C$329</definedName>
    <definedName name="MTPVFlux_16">'Parameters definition LUTS'!$C$186</definedName>
    <definedName name="MTPVFlux_160">'Parameters definition LUTS'!$C$330</definedName>
    <definedName name="MTPVFlux_17">'Parameters definition LUTS'!$C$187</definedName>
    <definedName name="MTPVFlux_18">'Parameters definition LUTS'!$C$188</definedName>
    <definedName name="MTPVFlux_19">'Parameters definition LUTS'!$C$189</definedName>
    <definedName name="MTPVFlux_2">'Parameters definition LUTS'!$C$172</definedName>
    <definedName name="MTPVFlux_20">'Parameters definition LUTS'!$C$190</definedName>
    <definedName name="MTPVFlux_21">'Parameters definition LUTS'!$C$191</definedName>
    <definedName name="MTPVFlux_22">'Parameters definition LUTS'!$C$192</definedName>
    <definedName name="MTPVFlux_23">'Parameters definition LUTS'!$C$193</definedName>
    <definedName name="MTPVFlux_24">'Parameters definition LUTS'!$C$194</definedName>
    <definedName name="MTPVFlux_25">'Parameters definition LUTS'!$C$195</definedName>
    <definedName name="MTPVFlux_26">'Parameters definition LUTS'!$C$196</definedName>
    <definedName name="MTPVFlux_27">'Parameters definition LUTS'!$C$197</definedName>
    <definedName name="MTPVFlux_28">'Parameters definition LUTS'!$C$198</definedName>
    <definedName name="MTPVFlux_29">'Parameters definition LUTS'!$C$199</definedName>
    <definedName name="MTPVFlux_3">'Parameters definition LUTS'!$C$173</definedName>
    <definedName name="MTPVFlux_30">'Parameters definition LUTS'!$C$200</definedName>
    <definedName name="MTPVFlux_31">'Parameters definition LUTS'!$C$201</definedName>
    <definedName name="MTPVFlux_32">'Parameters definition LUTS'!$C$202</definedName>
    <definedName name="MTPVFlux_33">'Parameters definition LUTS'!$C$203</definedName>
    <definedName name="MTPVFlux_34">'Parameters definition LUTS'!$C$204</definedName>
    <definedName name="MTPVFlux_35">'Parameters definition LUTS'!$C$205</definedName>
    <definedName name="MTPVFlux_36">'Parameters definition LUTS'!$C$206</definedName>
    <definedName name="MTPVFlux_37">'Parameters definition LUTS'!$C$207</definedName>
    <definedName name="MTPVFlux_38">'Parameters definition LUTS'!$C$208</definedName>
    <definedName name="MTPVFlux_39">'Parameters definition LUTS'!$C$209</definedName>
    <definedName name="MTPVFlux_4">'Parameters definition LUTS'!$C$174</definedName>
    <definedName name="MTPVFlux_40">'Parameters definition LUTS'!$C$210</definedName>
    <definedName name="MTPVFlux_41">'Parameters definition LUTS'!$C$211</definedName>
    <definedName name="MTPVFlux_42">'Parameters definition LUTS'!$C$212</definedName>
    <definedName name="MTPVFlux_43">'Parameters definition LUTS'!$C$213</definedName>
    <definedName name="MTPVFlux_44">'Parameters definition LUTS'!$C$214</definedName>
    <definedName name="MTPVFlux_45">'Parameters definition LUTS'!$C$215</definedName>
    <definedName name="MTPVFlux_46">'Parameters definition LUTS'!$C$216</definedName>
    <definedName name="MTPVFlux_47">'Parameters definition LUTS'!$C$217</definedName>
    <definedName name="MTPVFlux_48">'Parameters definition LUTS'!$C$218</definedName>
    <definedName name="MTPVFlux_49">'Parameters definition LUTS'!$C$219</definedName>
    <definedName name="MTPVFlux_5">'Parameters definition LUTS'!$C$175</definedName>
    <definedName name="MTPVFlux_50">'Parameters definition LUTS'!$C$220</definedName>
    <definedName name="MTPVFlux_51">'Parameters definition LUTS'!$C$221</definedName>
    <definedName name="MTPVFlux_52">'Parameters definition LUTS'!$C$222</definedName>
    <definedName name="MTPVFlux_53">'Parameters definition LUTS'!$C$223</definedName>
    <definedName name="MTPVFlux_54">'Parameters definition LUTS'!$C$224</definedName>
    <definedName name="MTPVFlux_55">'Parameters definition LUTS'!$C$225</definedName>
    <definedName name="MTPVFlux_56">'Parameters definition LUTS'!$C$226</definedName>
    <definedName name="MTPVFlux_57">'Parameters definition LUTS'!$C$227</definedName>
    <definedName name="MTPVFlux_58">'Parameters definition LUTS'!$C$228</definedName>
    <definedName name="MTPVFlux_59">'Parameters definition LUTS'!$C$229</definedName>
    <definedName name="MTPVFlux_6">'Parameters definition LUTS'!$C$176</definedName>
    <definedName name="MTPVFlux_60">'Parameters definition LUTS'!$C$230</definedName>
    <definedName name="MTPVFlux_61">'Parameters definition LUTS'!$C$231</definedName>
    <definedName name="MTPVFlux_62">'Parameters definition LUTS'!$C$232</definedName>
    <definedName name="MTPVFlux_63">'Parameters definition LUTS'!$C$233</definedName>
    <definedName name="MTPVFlux_64">'Parameters definition LUTS'!$C$234</definedName>
    <definedName name="MTPVFlux_65">'Parameters definition LUTS'!$C$235</definedName>
    <definedName name="MTPVFlux_66">'Parameters definition LUTS'!$C$236</definedName>
    <definedName name="MTPVFlux_67">'Parameters definition LUTS'!$C$237</definedName>
    <definedName name="MTPVFlux_68">'Parameters definition LUTS'!$C$238</definedName>
    <definedName name="MTPVFlux_69">'Parameters definition LUTS'!$C$239</definedName>
    <definedName name="MTPVFlux_7">'Parameters definition LUTS'!$C$177</definedName>
    <definedName name="MTPVFlux_70">'Parameters definition LUTS'!$C$240</definedName>
    <definedName name="MTPVFlux_71">'Parameters definition LUTS'!$C$241</definedName>
    <definedName name="MTPVFlux_72">'Parameters definition LUTS'!$C$242</definedName>
    <definedName name="MTPVFlux_73">'Parameters definition LUTS'!$C$243</definedName>
    <definedName name="MTPVFlux_74">'Parameters definition LUTS'!$C$244</definedName>
    <definedName name="MTPVFlux_75">'Parameters definition LUTS'!$C$245</definedName>
    <definedName name="MTPVFlux_76">'Parameters definition LUTS'!$C$246</definedName>
    <definedName name="MTPVFlux_77">'Parameters definition LUTS'!$C$247</definedName>
    <definedName name="MTPVFlux_78">'Parameters definition LUTS'!$C$248</definedName>
    <definedName name="MTPVFlux_79">'Parameters definition LUTS'!$C$249</definedName>
    <definedName name="MTPVFlux_8">'Parameters definition LUTS'!$C$178</definedName>
    <definedName name="MTPVFlux_80">'Parameters definition LUTS'!$C$250</definedName>
    <definedName name="MTPVFlux_81">'Parameters definition LUTS'!$C$251</definedName>
    <definedName name="MTPVFlux_82">'Parameters definition LUTS'!$C$252</definedName>
    <definedName name="MTPVFlux_83">'Parameters definition LUTS'!$C$253</definedName>
    <definedName name="MTPVFlux_84">'Parameters definition LUTS'!$C$254</definedName>
    <definedName name="MTPVFlux_85">'Parameters definition LUTS'!$C$255</definedName>
    <definedName name="MTPVFlux_86">'Parameters definition LUTS'!$C$256</definedName>
    <definedName name="MTPVFlux_87">'Parameters definition LUTS'!$C$257</definedName>
    <definedName name="MTPVFlux_88">'Parameters definition LUTS'!$C$258</definedName>
    <definedName name="MTPVFlux_89">'Parameters definition LUTS'!$C$259</definedName>
    <definedName name="MTPVFlux_9">'Parameters definition LUTS'!$C$179</definedName>
    <definedName name="MTPVFlux_90">'Parameters definition LUTS'!$C$260</definedName>
    <definedName name="MTPVFlux_91">'Parameters definition LUTS'!$C$261</definedName>
    <definedName name="MTPVFlux_92">'Parameters definition LUTS'!$C$262</definedName>
    <definedName name="MTPVFlux_93">'Parameters definition LUTS'!$C$263</definedName>
    <definedName name="MTPVFlux_94">'Parameters definition LUTS'!$C$264</definedName>
    <definedName name="MTPVFlux_95">'Parameters definition LUTS'!$C$265</definedName>
    <definedName name="MTPVFlux_96">'Parameters definition LUTS'!$C$266</definedName>
    <definedName name="MTPVFlux_97">'Parameters definition LUTS'!$C$267</definedName>
    <definedName name="MTPVFlux_98">'Parameters definition LUTS'!$C$268</definedName>
    <definedName name="MTPVFlux_99">'Parameters definition LUTS'!$C$269</definedName>
    <definedName name="MTPVTorque_0">'Parameters definition LUTS'!$C$331</definedName>
    <definedName name="MTPVTorque_1">'Parameters definition LUTS'!$C$332</definedName>
    <definedName name="MTPVTorque_10">'Parameters definition LUTS'!$C$341</definedName>
    <definedName name="MTPVTorque_100">'Parameters definition LUTS'!$C$431</definedName>
    <definedName name="MTPVTorque_101">'Parameters definition LUTS'!$C$432</definedName>
    <definedName name="MTPVTorque_102">'Parameters definition LUTS'!$C$433</definedName>
    <definedName name="MTPVTorque_103">'Parameters definition LUTS'!$C$434</definedName>
    <definedName name="MTPVTorque_104">'Parameters definition LUTS'!$C$435</definedName>
    <definedName name="MTPVTorque_105">'Parameters definition LUTS'!$C$436</definedName>
    <definedName name="MTPVTorque_106">'Parameters definition LUTS'!$C$437</definedName>
    <definedName name="MTPVTorque_107">'Parameters definition LUTS'!$C$438</definedName>
    <definedName name="MTPVTorque_108">'Parameters definition LUTS'!$C$439</definedName>
    <definedName name="MTPVTorque_109">'Parameters definition LUTS'!$C$440</definedName>
    <definedName name="MTPVTorque_11">'Parameters definition LUTS'!$C$342</definedName>
    <definedName name="MTPVTorque_110">'Parameters definition LUTS'!$C$441</definedName>
    <definedName name="MTPVTorque_111">'Parameters definition LUTS'!$C$442</definedName>
    <definedName name="MTPVTorque_112">'Parameters definition LUTS'!$C$443</definedName>
    <definedName name="MTPVTorque_113">'Parameters definition LUTS'!$C$444</definedName>
    <definedName name="MTPVTorque_114">'Parameters definition LUTS'!$C$445</definedName>
    <definedName name="MTPVTorque_115">'Parameters definition LUTS'!$C$446</definedName>
    <definedName name="MTPVTorque_116">'Parameters definition LUTS'!$C$447</definedName>
    <definedName name="MTPVTorque_117">'Parameters definition LUTS'!$C$448</definedName>
    <definedName name="MTPVTorque_118">'Parameters definition LUTS'!$C$449</definedName>
    <definedName name="MTPVTorque_119">'Parameters definition LUTS'!$C$450</definedName>
    <definedName name="MTPVTorque_12">'Parameters definition LUTS'!$C$343</definedName>
    <definedName name="MTPVTorque_120">'Parameters definition LUTS'!$C$451</definedName>
    <definedName name="MTPVTorque_121">'Parameters definition LUTS'!$C$452</definedName>
    <definedName name="MTPVTorque_122">'Parameters definition LUTS'!$C$453</definedName>
    <definedName name="MTPVTorque_123">'Parameters definition LUTS'!$C$454</definedName>
    <definedName name="MTPVTorque_124">'Parameters definition LUTS'!$C$455</definedName>
    <definedName name="MTPVTorque_125">'Parameters definition LUTS'!$C$456</definedName>
    <definedName name="MTPVTorque_126">'Parameters definition LUTS'!$C$457</definedName>
    <definedName name="MTPVTorque_127">'Parameters definition LUTS'!$C$458</definedName>
    <definedName name="MTPVTorque_128">'Parameters definition LUTS'!$C$459</definedName>
    <definedName name="MTPVTorque_129">'Parameters definition LUTS'!$C$460</definedName>
    <definedName name="MTPVTorque_13">'Parameters definition LUTS'!$C$344</definedName>
    <definedName name="MTPVTorque_130">'Parameters definition LUTS'!$C$461</definedName>
    <definedName name="MTPVTorque_131">'Parameters definition LUTS'!$C$462</definedName>
    <definedName name="MTPVTorque_132">'Parameters definition LUTS'!$C$463</definedName>
    <definedName name="MTPVTorque_133">'Parameters definition LUTS'!$C$464</definedName>
    <definedName name="MTPVTorque_134">'Parameters definition LUTS'!$C$465</definedName>
    <definedName name="MTPVTorque_135">'Parameters definition LUTS'!$C$466</definedName>
    <definedName name="MTPVTorque_136">'Parameters definition LUTS'!$C$467</definedName>
    <definedName name="MTPVTorque_137">'Parameters definition LUTS'!$C$468</definedName>
    <definedName name="MTPVTorque_138">'Parameters definition LUTS'!$C$469</definedName>
    <definedName name="MTPVTorque_139">'Parameters definition LUTS'!$C$470</definedName>
    <definedName name="MTPVTorque_14">'Parameters definition LUTS'!$C$345</definedName>
    <definedName name="MTPVTorque_140">'Parameters definition LUTS'!$C$471</definedName>
    <definedName name="MTPVTorque_141">'Parameters definition LUTS'!$C$472</definedName>
    <definedName name="MTPVTorque_142">'Parameters definition LUTS'!$C$473</definedName>
    <definedName name="MTPVTorque_143">'Parameters definition LUTS'!$C$474</definedName>
    <definedName name="MTPVTorque_144">'Parameters definition LUTS'!$C$475</definedName>
    <definedName name="MTPVTorque_145">'Parameters definition LUTS'!$C$476</definedName>
    <definedName name="MTPVTorque_146">'Parameters definition LUTS'!$C$477</definedName>
    <definedName name="MTPVTorque_147">'Parameters definition LUTS'!$C$478</definedName>
    <definedName name="MTPVTorque_148">'Parameters definition LUTS'!$C$479</definedName>
    <definedName name="MTPVTorque_149">'Parameters definition LUTS'!$C$480</definedName>
    <definedName name="MTPVTorque_15">'Parameters definition LUTS'!$C$346</definedName>
    <definedName name="MTPVTorque_150">'Parameters definition LUTS'!$C$481</definedName>
    <definedName name="MTPVTorque_151">'Parameters definition LUTS'!$C$482</definedName>
    <definedName name="MTPVTorque_152">'Parameters definition LUTS'!$C$483</definedName>
    <definedName name="MTPVTorque_153">'Parameters definition LUTS'!$C$484</definedName>
    <definedName name="MTPVTorque_154">'Parameters definition LUTS'!$C$485</definedName>
    <definedName name="MTPVTorque_155">'Parameters definition LUTS'!$C$486</definedName>
    <definedName name="MTPVTorque_156">'Parameters definition LUTS'!$C$487</definedName>
    <definedName name="MTPVTorque_157">'Parameters definition LUTS'!$C$488</definedName>
    <definedName name="MTPVTorque_158">'Parameters definition LUTS'!$C$489</definedName>
    <definedName name="MTPVTorque_159">'Parameters definition LUTS'!$C$490</definedName>
    <definedName name="MTPVTorque_16">'Parameters definition LUTS'!$C$347</definedName>
    <definedName name="MTPVTorque_160">'Parameters definition LUTS'!$C$491</definedName>
    <definedName name="MTPVTorque_17">'Parameters definition LUTS'!$C$348</definedName>
    <definedName name="MTPVTorque_18">'Parameters definition LUTS'!$C$349</definedName>
    <definedName name="MTPVTorque_19">'Parameters definition LUTS'!$C$350</definedName>
    <definedName name="MTPVTorque_2">'Parameters definition LUTS'!$C$333</definedName>
    <definedName name="MTPVTorque_20">'Parameters definition LUTS'!$C$351</definedName>
    <definedName name="MTPVTorque_21">'Parameters definition LUTS'!$C$352</definedName>
    <definedName name="MTPVTorque_22">'Parameters definition LUTS'!$C$353</definedName>
    <definedName name="MTPVTorque_23">'Parameters definition LUTS'!$C$354</definedName>
    <definedName name="MTPVTorque_24">'Parameters definition LUTS'!$C$355</definedName>
    <definedName name="MTPVTorque_25">'Parameters definition LUTS'!$C$356</definedName>
    <definedName name="MTPVTorque_26">'Parameters definition LUTS'!$C$357</definedName>
    <definedName name="MTPVTorque_27">'Parameters definition LUTS'!$C$358</definedName>
    <definedName name="MTPVTorque_28">'Parameters definition LUTS'!$C$359</definedName>
    <definedName name="MTPVTorque_29">'Parameters definition LUTS'!$C$360</definedName>
    <definedName name="MTPVTorque_3">'Parameters definition LUTS'!$C$334</definedName>
    <definedName name="MTPVTorque_30">'Parameters definition LUTS'!$C$361</definedName>
    <definedName name="MTPVTorque_31">'Parameters definition LUTS'!$C$362</definedName>
    <definedName name="MTPVTorque_32">'Parameters definition LUTS'!$C$363</definedName>
    <definedName name="MTPVTorque_33">'Parameters definition LUTS'!$C$364</definedName>
    <definedName name="MTPVTorque_34">'Parameters definition LUTS'!$C$365</definedName>
    <definedName name="MTPVTorque_35">'Parameters definition LUTS'!$C$366</definedName>
    <definedName name="MTPVTorque_36">'Parameters definition LUTS'!$C$367</definedName>
    <definedName name="MTPVTorque_37">'Parameters definition LUTS'!$C$368</definedName>
    <definedName name="MTPVTorque_38">'Parameters definition LUTS'!$C$369</definedName>
    <definedName name="MTPVTorque_39">'Parameters definition LUTS'!$C$370</definedName>
    <definedName name="MTPVTorque_4">'Parameters definition LUTS'!$C$335</definedName>
    <definedName name="MTPVTorque_40">'Parameters definition LUTS'!$C$371</definedName>
    <definedName name="MTPVTorque_41">'Parameters definition LUTS'!$C$372</definedName>
    <definedName name="MTPVTorque_42">'Parameters definition LUTS'!$C$373</definedName>
    <definedName name="MTPVTorque_43">'Parameters definition LUTS'!$C$374</definedName>
    <definedName name="MTPVTorque_44">'Parameters definition LUTS'!$C$375</definedName>
    <definedName name="MTPVTorque_45">'Parameters definition LUTS'!$C$376</definedName>
    <definedName name="MTPVTorque_46">'Parameters definition LUTS'!$C$377</definedName>
    <definedName name="MTPVTorque_47">'Parameters definition LUTS'!$C$378</definedName>
    <definedName name="MTPVTorque_48">'Parameters definition LUTS'!$C$379</definedName>
    <definedName name="MTPVTorque_49">'Parameters definition LUTS'!$C$380</definedName>
    <definedName name="MTPVTorque_5">'Parameters definition LUTS'!$C$336</definedName>
    <definedName name="MTPVTorque_50">'Parameters definition LUTS'!$C$381</definedName>
    <definedName name="MTPVTorque_51">'Parameters definition LUTS'!$C$382</definedName>
    <definedName name="MTPVTorque_52">'Parameters definition LUTS'!$C$383</definedName>
    <definedName name="MTPVTorque_53">'Parameters definition LUTS'!$C$384</definedName>
    <definedName name="MTPVTorque_54">'Parameters definition LUTS'!$C$385</definedName>
    <definedName name="MTPVTorque_55">'Parameters definition LUTS'!$C$386</definedName>
    <definedName name="MTPVTorque_56">'Parameters definition LUTS'!$C$387</definedName>
    <definedName name="MTPVTorque_57">'Parameters definition LUTS'!$C$388</definedName>
    <definedName name="MTPVTorque_58">'Parameters definition LUTS'!$C$389</definedName>
    <definedName name="MTPVTorque_59">'Parameters definition LUTS'!$C$390</definedName>
    <definedName name="MTPVTorque_6">'Parameters definition LUTS'!$C$337</definedName>
    <definedName name="MTPVTorque_60">'Parameters definition LUTS'!$C$391</definedName>
    <definedName name="MTPVTorque_61">'Parameters definition LUTS'!$C$392</definedName>
    <definedName name="MTPVTorque_62">'Parameters definition LUTS'!$C$393</definedName>
    <definedName name="MTPVTorque_63">'Parameters definition LUTS'!$C$394</definedName>
    <definedName name="MTPVTorque_64">'Parameters definition LUTS'!$C$395</definedName>
    <definedName name="MTPVTorque_65">'Parameters definition LUTS'!$C$396</definedName>
    <definedName name="MTPVTorque_66">'Parameters definition LUTS'!$C$397</definedName>
    <definedName name="MTPVTorque_67">'Parameters definition LUTS'!$C$398</definedName>
    <definedName name="MTPVTorque_68">'Parameters definition LUTS'!$C$399</definedName>
    <definedName name="MTPVTorque_69">'Parameters definition LUTS'!$C$400</definedName>
    <definedName name="MTPVTorque_7">'Parameters definition LUTS'!$C$338</definedName>
    <definedName name="MTPVTorque_70">'Parameters definition LUTS'!$C$401</definedName>
    <definedName name="MTPVTorque_71">'Parameters definition LUTS'!$C$402</definedName>
    <definedName name="MTPVTorque_72">'Parameters definition LUTS'!$C$403</definedName>
    <definedName name="MTPVTorque_73">'Parameters definition LUTS'!$C$404</definedName>
    <definedName name="MTPVTorque_74">'Parameters definition LUTS'!$C$405</definedName>
    <definedName name="MTPVTorque_75">'Parameters definition LUTS'!$C$406</definedName>
    <definedName name="MTPVTorque_76">'Parameters definition LUTS'!$C$407</definedName>
    <definedName name="MTPVTorque_77">'Parameters definition LUTS'!$C$408</definedName>
    <definedName name="MTPVTorque_78">'Parameters definition LUTS'!$C$409</definedName>
    <definedName name="MTPVTorque_79">'Parameters definition LUTS'!$C$410</definedName>
    <definedName name="MTPVTorque_8">'Parameters definition LUTS'!$C$339</definedName>
    <definedName name="MTPVTorque_80">'Parameters definition LUTS'!$C$411</definedName>
    <definedName name="MTPVTorque_81">'Parameters definition LUTS'!$C$412</definedName>
    <definedName name="MTPVTorque_82">'Parameters definition LUTS'!$C$413</definedName>
    <definedName name="MTPVTorque_83">'Parameters definition LUTS'!$C$414</definedName>
    <definedName name="MTPVTorque_84">'Parameters definition LUTS'!$C$415</definedName>
    <definedName name="MTPVTorque_85">'Parameters definition LUTS'!$C$416</definedName>
    <definedName name="MTPVTorque_86">'Parameters definition LUTS'!$C$417</definedName>
    <definedName name="MTPVTorque_87">'Parameters definition LUTS'!$C$418</definedName>
    <definedName name="MTPVTorque_88">'Parameters definition LUTS'!$C$419</definedName>
    <definedName name="MTPVTorque_89">'Parameters definition LUTS'!$C$420</definedName>
    <definedName name="MTPVTorque_9">'Parameters definition LUTS'!$C$340</definedName>
    <definedName name="MTPVTorque_90">'Parameters definition LUTS'!$C$421</definedName>
    <definedName name="MTPVTorque_91">'Parameters definition LUTS'!$C$422</definedName>
    <definedName name="MTPVTorque_92">'Parameters definition LUTS'!$C$423</definedName>
    <definedName name="MTPVTorque_93">'Parameters definition LUTS'!$C$424</definedName>
    <definedName name="MTPVTorque_94">'Parameters definition LUTS'!$C$425</definedName>
    <definedName name="MTPVTorque_95">'Parameters definition LUTS'!$C$426</definedName>
    <definedName name="MTPVTorque_96">'Parameters definition LUTS'!$C$427</definedName>
    <definedName name="MTPVTorque_97">'Parameters definition LUTS'!$C$428</definedName>
    <definedName name="MTPVTorque_98">'Parameters definition LUTS'!$C$429</definedName>
    <definedName name="MTPVTorque_99">'Parameters definition LUTS'!$C$430</definedName>
    <definedName name="OBS_RESIS_ADAPT_CURRENT_THRES">'Parameters definition'!$C$46</definedName>
    <definedName name="OBS_RESIS_ADAPT_SPEED_THRES">'Parameters definition'!$C$47</definedName>
    <definedName name="OBSERVER_G_GAIN">'Parameters definition'!$C$49</definedName>
    <definedName name="OBSERVER_G_INTEG_GAIN">'Parameters definition'!$C$45</definedName>
    <definedName name="OBSERVER_MIN_FLUX_ZERO_SPEED">'Parameters definition'!$C$51</definedName>
    <definedName name="OBSERVER_SPEED_PLL_KI">'Parameters definition'!$C$56</definedName>
    <definedName name="OBSERVER_SPEED_PLL_KP">'Parameters definition'!$C$55</definedName>
    <definedName name="OBSERVER_STARTING_THRESHOLD">'Parameters definition'!$C$54</definedName>
    <definedName name="OBSERVER_TS">'Parameters definition'!$C$59</definedName>
    <definedName name="OVERFLUX_FACTOR">'Parameters definition'!$C$182</definedName>
    <definedName name="PHASE_ADVANCE_COEFF">'Parameters definition'!$C$196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definition'!$C$219</definedName>
    <definedName name="PWM_SPEED_THRESHOLD_PWM_COMP">'Parameters definition'!$C$220</definedName>
    <definedName name="PWM_STARTING_TIME">'Parameters definition'!$C$221</definedName>
    <definedName name="Q_CURR_CONTROL_KI">'Parameters definition'!$C$381</definedName>
    <definedName name="Q_CURR_CONTROL_KP">'Parameters definition'!$C$380</definedName>
    <definedName name="QUAD_CURR_POS_0">'Parameters definition'!$C$108</definedName>
    <definedName name="QUAD_CURR_POS_1">'Parameters definition'!$C$109</definedName>
    <definedName name="QUAD_CURR_POS_10">'Parameters definition'!$C$118</definedName>
    <definedName name="QUAD_CURR_POS_11">'Parameters definition'!$C$119</definedName>
    <definedName name="QUAD_CURR_POS_12">'Parameters definition'!$C$120</definedName>
    <definedName name="QUAD_CURR_POS_13">'Parameters definition'!$C$121</definedName>
    <definedName name="QUAD_CURR_POS_14">'Parameters definition'!$C$122</definedName>
    <definedName name="QUAD_CURR_POS_15">'Parameters definition'!$C$123</definedName>
    <definedName name="QUAD_CURR_POS_2">'Parameters definition'!$C$110</definedName>
    <definedName name="QUAD_CURR_POS_3">'Parameters definition'!$C$111</definedName>
    <definedName name="QUAD_CURR_POS_4">'Parameters definition'!$C$112</definedName>
    <definedName name="QUAD_CURR_POS_5">'Parameters definition'!$C$113</definedName>
    <definedName name="QUAD_CURR_POS_6">'Parameters definition'!$C$114</definedName>
    <definedName name="QUAD_CURR_POS_7">'Parameters definition'!$C$115</definedName>
    <definedName name="QUAD_CURR_POS_8">'Parameters definition'!$C$116</definedName>
    <definedName name="QUAD_CURR_POS_9">'Parameters definition'!$C$117</definedName>
    <definedName name="QUAD_IND_POS_0">'Parameters definition'!$C$92</definedName>
    <definedName name="QUAD_IND_POS_1">'Parameters definition'!$C$93</definedName>
    <definedName name="QUAD_IND_POS_10">'Parameters definition'!$C$102</definedName>
    <definedName name="QUAD_IND_POS_11">'Parameters definition'!$C$103</definedName>
    <definedName name="QUAD_IND_POS_12">'Parameters definition'!$C$104</definedName>
    <definedName name="QUAD_IND_POS_13">'Parameters definition'!$C$105</definedName>
    <definedName name="QUAD_IND_POS_14">'Parameters definition'!$C$106</definedName>
    <definedName name="QUAD_IND_POS_15">'Parameters definition'!$C$107</definedName>
    <definedName name="QUAD_IND_POS_2">'Parameters definition'!$C$94</definedName>
    <definedName name="QUAD_IND_POS_3">'Parameters definition'!$C$95</definedName>
    <definedName name="QUAD_IND_POS_4">'Parameters definition'!$C$96</definedName>
    <definedName name="QUAD_IND_POS_5">'Parameters definition'!$C$97</definedName>
    <definedName name="QUAD_IND_POS_6">'Parameters definition'!$C$98</definedName>
    <definedName name="QUAD_IND_POS_7">'Parameters definition'!$C$99</definedName>
    <definedName name="QUAD_IND_POS_8">'Parameters definition'!$C$100</definedName>
    <definedName name="QUAD_IND_POS_9">'Parameters definition'!$C$101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definition'!$C$416</definedName>
    <definedName name="SBPM_MIN_OVERFLUX_FACTOR">'Parameters definition'!$C$187</definedName>
    <definedName name="SBPM_OVERFLUX_FACTOR">'Parameters definition'!$C$186</definedName>
    <definedName name="SBPM_SPEED_OVERFULX_THRESHOLD">'Parameters definition'!$C$185</definedName>
    <definedName name="SIZE_MTPA">'Parameters definition LUTS'!$C$3</definedName>
    <definedName name="SIZE_MTPV">'Parameters definition LUTS'!$C$169</definedName>
    <definedName name="SPEED_CONTROLLER_POSTSCALER">'Parameters definition'!$C$143</definedName>
    <definedName name="SPEED_KI_REGION_0">'Parameters definition'!$C$151</definedName>
    <definedName name="SPEED_KI_REGION_1">'Parameters definition'!$C$155</definedName>
    <definedName name="SPEED_KI_REGION_2">'Parameters definition'!$C$159</definedName>
    <definedName name="SPEED_KI_REGION_3">'Parameters definition'!$C$163</definedName>
    <definedName name="SPEED_KI_REGION_4">'Parameters definition'!$C$167</definedName>
    <definedName name="SPEED_KP_REGION_0">'Parameters definition'!$C$150</definedName>
    <definedName name="SPEED_KP_REGION_1">'Parameters definition'!$C$154</definedName>
    <definedName name="SPEED_KP_REGION_2">'Parameters definition'!$C$158</definedName>
    <definedName name="SPEED_KP_REGION_3">'Parameters definition'!$C$162</definedName>
    <definedName name="SPEED_KP_REGION_4">'Parameters definition'!$C$166</definedName>
    <definedName name="SPEED_OVERFLUX_THRESHOLD">'Parameters definition'!$C$181</definedName>
    <definedName name="SPEED_REF_DEFAULT_ACCEL">'Parameters definition'!$C$420</definedName>
    <definedName name="SPEED_REF_MIN_SPEED_DEFAULT_ACCEL">'Parameters definition'!$C$421</definedName>
    <definedName name="SPEED_THRESHOLD_MAX_PHASE_CURRENT">'Parameters definition'!$C$21</definedName>
    <definedName name="SPEED_THRESHOLD_REGION_0">'Parameters definition'!$C$152</definedName>
    <definedName name="SPEED_THRESHOLD_REGION_1">'Parameters definition'!$C$156</definedName>
    <definedName name="SPEED_THRESHOLD_REGION_2">'Parameters definition'!$C$160</definedName>
    <definedName name="SPEED_THRESHOLD_REGION_3">'Parameters definition'!$C$164</definedName>
    <definedName name="SPEED_THRESHOLD_REGION_4">'Parameters definition'!$C$168</definedName>
    <definedName name="SPEED_TIME_TO_SWITCH_REGION_0">'Parameters definition'!$C$153</definedName>
    <definedName name="SPEED_TIME_TO_SWITCH_REGION_1">'Parameters definition'!$C$157</definedName>
    <definedName name="SPEED_TIME_TO_SWITCH_REGION_2">'Parameters definition'!$C$161</definedName>
    <definedName name="SPEED_TIME_TO_SWITCH_REGION_3">'Parameters definition'!$C$165</definedName>
    <definedName name="SPEED_TIME_TO_SWITCH_REGION_4">'Parameters definition'!$C$169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definition'!$C$195</definedName>
    <definedName name="TIME_FORCE_USE_DEFAULT_SPEED_GAINS">'Parameters definition'!$C$147</definedName>
    <definedName name="TORQUE_ERROR_SAT">'Parameters definition'!$C$189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7" i="19" l="1"/>
  <c r="G7" i="18"/>
  <c r="I86" i="19"/>
  <c r="I87" i="19"/>
  <c r="I88" i="19"/>
  <c r="I89" i="19"/>
  <c r="I90" i="19"/>
  <c r="I94" i="19"/>
  <c r="I95" i="19"/>
  <c r="I96" i="19"/>
  <c r="I97" i="19"/>
  <c r="I98" i="19"/>
  <c r="I102" i="19"/>
  <c r="I103" i="19"/>
  <c r="I104" i="19"/>
  <c r="I105" i="19"/>
  <c r="I106" i="19"/>
  <c r="I110" i="19"/>
  <c r="I111" i="19"/>
  <c r="I112" i="19"/>
  <c r="I113" i="19"/>
  <c r="I114" i="19"/>
  <c r="I118" i="19"/>
  <c r="I119" i="19"/>
  <c r="I120" i="19"/>
  <c r="I121" i="19"/>
  <c r="I122" i="19"/>
  <c r="I126" i="19"/>
  <c r="I127" i="19"/>
  <c r="I128" i="19"/>
  <c r="I129" i="19"/>
  <c r="I130" i="19"/>
  <c r="I131" i="19"/>
  <c r="I132" i="19"/>
  <c r="I134" i="19"/>
  <c r="I135" i="19"/>
  <c r="I136" i="19"/>
  <c r="I137" i="19"/>
  <c r="I138" i="19"/>
  <c r="I139" i="19"/>
  <c r="I140" i="19"/>
  <c r="I142" i="19"/>
  <c r="I143" i="19"/>
  <c r="I144" i="19"/>
  <c r="I145" i="19"/>
  <c r="I146" i="19"/>
  <c r="I147" i="19"/>
  <c r="I148" i="19"/>
  <c r="I150" i="19"/>
  <c r="I151" i="19"/>
  <c r="I152" i="19"/>
  <c r="I153" i="19"/>
  <c r="I154" i="19"/>
  <c r="I155" i="19"/>
  <c r="I156" i="19"/>
  <c r="I157" i="19"/>
  <c r="I158" i="19"/>
  <c r="I159" i="19"/>
  <c r="I160" i="19"/>
  <c r="I161" i="19"/>
  <c r="I162" i="19"/>
  <c r="I163" i="19"/>
  <c r="I164" i="19"/>
  <c r="I165" i="19"/>
  <c r="I166" i="19"/>
  <c r="I167" i="19"/>
  <c r="I168" i="19"/>
  <c r="I169" i="19"/>
  <c r="I170" i="19"/>
  <c r="I171" i="19"/>
  <c r="I172" i="19"/>
  <c r="I173" i="19"/>
  <c r="I174" i="19"/>
  <c r="I175" i="19"/>
  <c r="I176" i="19"/>
  <c r="I177" i="19"/>
  <c r="I178" i="19"/>
  <c r="I179" i="19"/>
  <c r="I180" i="19"/>
  <c r="I181" i="19"/>
  <c r="I182" i="19"/>
  <c r="I183" i="19"/>
  <c r="I184" i="19"/>
  <c r="I185" i="19"/>
  <c r="I186" i="19"/>
  <c r="I187" i="19"/>
  <c r="I188" i="19"/>
  <c r="I189" i="19"/>
  <c r="I190" i="19"/>
  <c r="I191" i="19"/>
  <c r="I192" i="19"/>
  <c r="I193" i="19"/>
  <c r="I194" i="19"/>
  <c r="I195" i="19"/>
  <c r="I196" i="19"/>
  <c r="I197" i="19"/>
  <c r="I198" i="19"/>
  <c r="I199" i="19"/>
  <c r="I200" i="19"/>
  <c r="I201" i="19"/>
  <c r="I202" i="19"/>
  <c r="I203" i="19"/>
  <c r="I204" i="19"/>
  <c r="I205" i="19"/>
  <c r="I206" i="19"/>
  <c r="I207" i="19"/>
  <c r="I208" i="19"/>
  <c r="I209" i="19"/>
  <c r="I210" i="19"/>
  <c r="I211" i="19"/>
  <c r="I212" i="19"/>
  <c r="I213" i="19"/>
  <c r="I214" i="19"/>
  <c r="I215" i="19"/>
  <c r="I216" i="19"/>
  <c r="I217" i="19"/>
  <c r="I218" i="19"/>
  <c r="I219" i="19"/>
  <c r="I220" i="19"/>
  <c r="I221" i="19"/>
  <c r="I222" i="19"/>
  <c r="I223" i="19"/>
  <c r="I224" i="19"/>
  <c r="I225" i="19"/>
  <c r="I226" i="19"/>
  <c r="I227" i="19"/>
  <c r="I228" i="19"/>
  <c r="I229" i="19"/>
  <c r="I230" i="19"/>
  <c r="I231" i="19"/>
  <c r="I232" i="19"/>
  <c r="I233" i="19"/>
  <c r="I234" i="19"/>
  <c r="I235" i="19"/>
  <c r="I236" i="19"/>
  <c r="I237" i="19"/>
  <c r="I238" i="19"/>
  <c r="I239" i="19"/>
  <c r="I240" i="19"/>
  <c r="I241" i="19"/>
  <c r="I242" i="19"/>
  <c r="I243" i="19"/>
  <c r="I244" i="19"/>
  <c r="I245" i="19"/>
  <c r="I246" i="19"/>
  <c r="I247" i="19"/>
  <c r="I248" i="19"/>
  <c r="I249" i="19"/>
  <c r="I250" i="19"/>
  <c r="I251" i="19"/>
  <c r="I252" i="19"/>
  <c r="I253" i="19"/>
  <c r="I254" i="19"/>
  <c r="I255" i="19"/>
  <c r="I256" i="19"/>
  <c r="I257" i="19"/>
  <c r="I258" i="19"/>
  <c r="I259" i="19"/>
  <c r="I260" i="19"/>
  <c r="I261" i="19"/>
  <c r="I262" i="19"/>
  <c r="I263" i="19"/>
  <c r="I264" i="19"/>
  <c r="I265" i="19"/>
  <c r="I266" i="19"/>
  <c r="I267" i="19"/>
  <c r="I268" i="19"/>
  <c r="I269" i="19"/>
  <c r="I270" i="19"/>
  <c r="I271" i="19"/>
  <c r="I272" i="19"/>
  <c r="I273" i="19"/>
  <c r="I274" i="19"/>
  <c r="I275" i="19"/>
  <c r="I276" i="19"/>
  <c r="I277" i="19"/>
  <c r="I278" i="19"/>
  <c r="I279" i="19"/>
  <c r="I280" i="19"/>
  <c r="I281" i="19"/>
  <c r="I282" i="19"/>
  <c r="I283" i="19"/>
  <c r="I284" i="19"/>
  <c r="I285" i="19"/>
  <c r="I286" i="19"/>
  <c r="I287" i="19"/>
  <c r="I288" i="19"/>
  <c r="I289" i="19"/>
  <c r="I290" i="19"/>
  <c r="I291" i="19"/>
  <c r="I292" i="19"/>
  <c r="I293" i="19"/>
  <c r="I294" i="19"/>
  <c r="I295" i="19"/>
  <c r="I296" i="19"/>
  <c r="I297" i="19"/>
  <c r="I298" i="19"/>
  <c r="I299" i="19"/>
  <c r="I300" i="19"/>
  <c r="I301" i="19"/>
  <c r="I302" i="19"/>
  <c r="I303" i="19"/>
  <c r="I304" i="19"/>
  <c r="I305" i="19"/>
  <c r="I306" i="19"/>
  <c r="I307" i="19"/>
  <c r="I308" i="19"/>
  <c r="I309" i="19"/>
  <c r="I310" i="19"/>
  <c r="I311" i="19"/>
  <c r="I312" i="19"/>
  <c r="I313" i="19"/>
  <c r="I314" i="19"/>
  <c r="I315" i="19"/>
  <c r="I316" i="19"/>
  <c r="I317" i="19"/>
  <c r="I318" i="19"/>
  <c r="I319" i="19"/>
  <c r="I320" i="19"/>
  <c r="I321" i="19"/>
  <c r="I322" i="19"/>
  <c r="I323" i="19"/>
  <c r="I324" i="19"/>
  <c r="I325" i="19"/>
  <c r="I326" i="19"/>
  <c r="I327" i="19"/>
  <c r="I328" i="19"/>
  <c r="I329" i="19"/>
  <c r="I330" i="19"/>
  <c r="I331" i="19"/>
  <c r="I332" i="19"/>
  <c r="I333" i="19"/>
  <c r="I334" i="19"/>
  <c r="I335" i="19"/>
  <c r="I336" i="19"/>
  <c r="I337" i="19"/>
  <c r="I338" i="19"/>
  <c r="I339" i="19"/>
  <c r="I340" i="19"/>
  <c r="I341" i="19"/>
  <c r="I342" i="19"/>
  <c r="I343" i="19"/>
  <c r="I344" i="19"/>
  <c r="I345" i="19"/>
  <c r="I346" i="19"/>
  <c r="I347" i="19"/>
  <c r="I348" i="19"/>
  <c r="I349" i="19"/>
  <c r="I350" i="19"/>
  <c r="I351" i="19"/>
  <c r="I352" i="19"/>
  <c r="I353" i="19"/>
  <c r="I354" i="19"/>
  <c r="I355" i="19"/>
  <c r="I356" i="19"/>
  <c r="I357" i="19"/>
  <c r="I358" i="19"/>
  <c r="I359" i="19"/>
  <c r="I360" i="19"/>
  <c r="I361" i="19"/>
  <c r="I362" i="19"/>
  <c r="I363" i="19"/>
  <c r="I364" i="19"/>
  <c r="I365" i="19"/>
  <c r="I366" i="19"/>
  <c r="I367" i="19"/>
  <c r="I368" i="19"/>
  <c r="I369" i="19"/>
  <c r="I370" i="19"/>
  <c r="I371" i="19"/>
  <c r="I372" i="19"/>
  <c r="I373" i="19"/>
  <c r="I374" i="19"/>
  <c r="I375" i="19"/>
  <c r="I376" i="19"/>
  <c r="I377" i="19"/>
  <c r="I378" i="19"/>
  <c r="I379" i="19"/>
  <c r="I380" i="19"/>
  <c r="I381" i="19"/>
  <c r="I382" i="19"/>
  <c r="I383" i="19"/>
  <c r="I384" i="19"/>
  <c r="I385" i="19"/>
  <c r="I386" i="19"/>
  <c r="I387" i="19"/>
  <c r="I388" i="19"/>
  <c r="I389" i="19"/>
  <c r="I390" i="19"/>
  <c r="I391" i="19"/>
  <c r="I392" i="19"/>
  <c r="I393" i="19"/>
  <c r="I394" i="19"/>
  <c r="I395" i="19"/>
  <c r="I396" i="19"/>
  <c r="I397" i="19"/>
  <c r="I398" i="19"/>
  <c r="I399" i="19"/>
  <c r="I400" i="19"/>
  <c r="I401" i="19"/>
  <c r="I402" i="19"/>
  <c r="I403" i="19"/>
  <c r="I404" i="19"/>
  <c r="I405" i="19"/>
  <c r="I406" i="19"/>
  <c r="I407" i="19"/>
  <c r="I408" i="19"/>
  <c r="I409" i="19"/>
  <c r="I410" i="19"/>
  <c r="I411" i="19"/>
  <c r="I412" i="19"/>
  <c r="I413" i="19"/>
  <c r="I414" i="19"/>
  <c r="I415" i="19"/>
  <c r="I416" i="19"/>
  <c r="I417" i="19"/>
  <c r="I418" i="19"/>
  <c r="I419" i="19"/>
  <c r="I420" i="19"/>
  <c r="I421" i="19"/>
  <c r="I422" i="19"/>
  <c r="I423" i="19"/>
  <c r="I424" i="19"/>
  <c r="I425" i="19"/>
  <c r="I426" i="19"/>
  <c r="I427" i="19"/>
  <c r="I428" i="19"/>
  <c r="I429" i="19"/>
  <c r="I430" i="19"/>
  <c r="I431" i="19"/>
  <c r="I432" i="19"/>
  <c r="I433" i="19"/>
  <c r="I434" i="19"/>
  <c r="I435" i="19"/>
  <c r="I436" i="19"/>
  <c r="I437" i="19"/>
  <c r="I438" i="19"/>
  <c r="I439" i="19"/>
  <c r="I440" i="19"/>
  <c r="I441" i="19"/>
  <c r="I442" i="19"/>
  <c r="I443" i="19"/>
  <c r="I444" i="19"/>
  <c r="I445" i="19"/>
  <c r="I446" i="19"/>
  <c r="I447" i="19"/>
  <c r="I448" i="19"/>
  <c r="I449" i="19"/>
  <c r="I450" i="19"/>
  <c r="I451" i="19"/>
  <c r="I452" i="19"/>
  <c r="I453" i="19"/>
  <c r="I454" i="19"/>
  <c r="I455" i="19"/>
  <c r="I456" i="19"/>
  <c r="I457" i="19"/>
  <c r="I458" i="19"/>
  <c r="I459" i="19"/>
  <c r="I460" i="19"/>
  <c r="I461" i="19"/>
  <c r="I462" i="19"/>
  <c r="I463" i="19"/>
  <c r="I464" i="19"/>
  <c r="I465" i="19"/>
  <c r="I466" i="19"/>
  <c r="I467" i="19"/>
  <c r="I468" i="19"/>
  <c r="I469" i="19"/>
  <c r="I470" i="19"/>
  <c r="I471" i="19"/>
  <c r="I472" i="19"/>
  <c r="I473" i="19"/>
  <c r="I474" i="19"/>
  <c r="I475" i="19"/>
  <c r="I476" i="19"/>
  <c r="I477" i="19"/>
  <c r="I478" i="19"/>
  <c r="I479" i="19"/>
  <c r="I480" i="19"/>
  <c r="I481" i="19"/>
  <c r="I482" i="19"/>
  <c r="I483" i="19"/>
  <c r="I484" i="19"/>
  <c r="I485" i="19"/>
  <c r="I486" i="19"/>
  <c r="I487" i="19"/>
  <c r="I488" i="19"/>
  <c r="I489" i="19"/>
  <c r="I490" i="19"/>
  <c r="I491" i="19"/>
  <c r="D9" i="19"/>
  <c r="G9" i="19"/>
  <c r="H9" i="19" s="1"/>
  <c r="I71" i="18"/>
  <c r="I75" i="18"/>
  <c r="I79" i="18"/>
  <c r="I83" i="18"/>
  <c r="I87" i="18"/>
  <c r="I91" i="18"/>
  <c r="I95" i="18"/>
  <c r="I99" i="18"/>
  <c r="I103" i="18"/>
  <c r="I107" i="18"/>
  <c r="I111" i="18"/>
  <c r="I115" i="18"/>
  <c r="I119" i="18"/>
  <c r="I123" i="18"/>
  <c r="I127" i="18"/>
  <c r="I131" i="18"/>
  <c r="I135" i="18"/>
  <c r="I139" i="18"/>
  <c r="I143" i="18"/>
  <c r="I147" i="18"/>
  <c r="I151" i="18"/>
  <c r="I155" i="18"/>
  <c r="I159" i="18"/>
  <c r="I163" i="18"/>
  <c r="I167" i="18"/>
  <c r="I9" i="19" l="1"/>
  <c r="I149" i="19"/>
  <c r="I141" i="19"/>
  <c r="I133" i="19"/>
  <c r="I125" i="19"/>
  <c r="I117" i="19"/>
  <c r="I109" i="19"/>
  <c r="I101" i="19"/>
  <c r="I93" i="19"/>
  <c r="I85" i="19"/>
  <c r="I124" i="19"/>
  <c r="I116" i="19"/>
  <c r="I108" i="19"/>
  <c r="I100" i="19"/>
  <c r="I92" i="19"/>
  <c r="I84" i="19"/>
  <c r="I123" i="19"/>
  <c r="I115" i="19"/>
  <c r="I107" i="19"/>
  <c r="I99" i="19"/>
  <c r="I91" i="19"/>
  <c r="I63" i="18"/>
  <c r="I166" i="18"/>
  <c r="I150" i="18"/>
  <c r="I138" i="18"/>
  <c r="I126" i="18"/>
  <c r="I114" i="18"/>
  <c r="I106" i="18"/>
  <c r="I94" i="18"/>
  <c r="I90" i="18"/>
  <c r="I86" i="18"/>
  <c r="I82" i="18"/>
  <c r="I78" i="18"/>
  <c r="I74" i="18"/>
  <c r="I70" i="18"/>
  <c r="I66" i="18"/>
  <c r="I62" i="18"/>
  <c r="I67" i="18"/>
  <c r="I59" i="18"/>
  <c r="I170" i="18"/>
  <c r="I158" i="18"/>
  <c r="I146" i="18"/>
  <c r="I134" i="18"/>
  <c r="I122" i="18"/>
  <c r="I110" i="18"/>
  <c r="I98" i="18"/>
  <c r="I165" i="18"/>
  <c r="I153" i="18"/>
  <c r="I149" i="18"/>
  <c r="I137" i="18"/>
  <c r="I129" i="18"/>
  <c r="I121" i="18"/>
  <c r="I109" i="18"/>
  <c r="I97" i="18"/>
  <c r="I89" i="18"/>
  <c r="I81" i="18"/>
  <c r="I69" i="18"/>
  <c r="I162" i="18"/>
  <c r="I154" i="18"/>
  <c r="I142" i="18"/>
  <c r="I130" i="18"/>
  <c r="I118" i="18"/>
  <c r="I102" i="18"/>
  <c r="I169" i="18"/>
  <c r="I161" i="18"/>
  <c r="I157" i="18"/>
  <c r="I145" i="18"/>
  <c r="I141" i="18"/>
  <c r="I133" i="18"/>
  <c r="I125" i="18"/>
  <c r="I117" i="18"/>
  <c r="I113" i="18"/>
  <c r="I105" i="18"/>
  <c r="I101" i="18"/>
  <c r="I93" i="18"/>
  <c r="I85" i="18"/>
  <c r="I77" i="18"/>
  <c r="I73" i="18"/>
  <c r="I65" i="18"/>
  <c r="I61" i="18"/>
  <c r="I168" i="18"/>
  <c r="I164" i="18"/>
  <c r="I160" i="18"/>
  <c r="I156" i="18"/>
  <c r="I152" i="18"/>
  <c r="I148" i="18"/>
  <c r="I144" i="18"/>
  <c r="I140" i="18"/>
  <c r="I136" i="18"/>
  <c r="I132" i="18"/>
  <c r="I128" i="18"/>
  <c r="I124" i="18"/>
  <c r="I120" i="18"/>
  <c r="I116" i="18"/>
  <c r="I112" i="18"/>
  <c r="I108" i="18"/>
  <c r="I104" i="18"/>
  <c r="I100" i="18"/>
  <c r="I96" i="18"/>
  <c r="I92" i="18"/>
  <c r="I88" i="18"/>
  <c r="I84" i="18"/>
  <c r="I80" i="18"/>
  <c r="I76" i="18"/>
  <c r="I72" i="18"/>
  <c r="I68" i="18"/>
  <c r="I64" i="18"/>
  <c r="I60" i="18"/>
  <c r="C165" i="20" l="1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G70" i="7" l="1"/>
  <c r="D70" i="7"/>
  <c r="G69" i="7"/>
  <c r="D69" i="7"/>
  <c r="H70" i="7" l="1"/>
  <c r="I70" i="7" s="1"/>
  <c r="H69" i="7"/>
  <c r="I69" i="7" s="1"/>
  <c r="G140" i="7"/>
  <c r="H140" i="7" s="1"/>
  <c r="I140" i="7" s="1"/>
  <c r="D140" i="7"/>
  <c r="G32" i="7"/>
  <c r="D32" i="7"/>
  <c r="D68" i="7"/>
  <c r="H32" i="7" l="1"/>
  <c r="I32" i="7" s="1"/>
  <c r="D7" i="19"/>
  <c r="D72" i="12"/>
  <c r="D7" i="18"/>
  <c r="D140" i="14" l="1"/>
  <c r="G61" i="7" l="1"/>
  <c r="G80" i="7" l="1"/>
  <c r="D8" i="19"/>
  <c r="D8" i="18" l="1"/>
  <c r="G139" i="14"/>
  <c r="D139" i="14"/>
  <c r="H139" i="14" l="1"/>
  <c r="I139" i="14" s="1"/>
  <c r="C412" i="1" l="1"/>
  <c r="G45" i="13" l="1"/>
  <c r="D46" i="13"/>
  <c r="D45" i="13"/>
  <c r="H45" i="13" l="1"/>
  <c r="I45" i="13" s="1"/>
  <c r="A136" i="7"/>
  <c r="D134" i="7"/>
  <c r="G133" i="7"/>
  <c r="D133" i="7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G191" i="19"/>
  <c r="H191" i="19" s="1"/>
  <c r="G473" i="19"/>
  <c r="H473" i="19" s="1"/>
  <c r="G476" i="19"/>
  <c r="H476" i="19" s="1"/>
  <c r="G479" i="19"/>
  <c r="H479" i="19" s="1"/>
  <c r="G482" i="19"/>
  <c r="G485" i="19"/>
  <c r="H485" i="19" s="1"/>
  <c r="G488" i="19"/>
  <c r="H488" i="19" s="1"/>
  <c r="G491" i="19"/>
  <c r="H491" i="19" s="1"/>
  <c r="G470" i="19"/>
  <c r="H470" i="19" s="1"/>
  <c r="G182" i="19"/>
  <c r="H182" i="19" s="1"/>
  <c r="G128" i="19"/>
  <c r="G101" i="19"/>
  <c r="G92" i="19"/>
  <c r="G68" i="19"/>
  <c r="G155" i="19"/>
  <c r="G152" i="19"/>
  <c r="G149" i="19"/>
  <c r="G146" i="19"/>
  <c r="G143" i="19"/>
  <c r="G140" i="19"/>
  <c r="G137" i="19"/>
  <c r="G134" i="19"/>
  <c r="G131" i="19"/>
  <c r="G125" i="19"/>
  <c r="G122" i="19"/>
  <c r="G119" i="19"/>
  <c r="G116" i="19"/>
  <c r="G113" i="19"/>
  <c r="G110" i="19"/>
  <c r="G107" i="19"/>
  <c r="G104" i="19"/>
  <c r="G98" i="19"/>
  <c r="G95" i="19"/>
  <c r="G89" i="19"/>
  <c r="G86" i="19"/>
  <c r="G83" i="19"/>
  <c r="G80" i="19"/>
  <c r="G77" i="19"/>
  <c r="G74" i="19"/>
  <c r="G71" i="19"/>
  <c r="G65" i="19"/>
  <c r="G62" i="19"/>
  <c r="G59" i="19"/>
  <c r="G56" i="19"/>
  <c r="G53" i="19"/>
  <c r="G44" i="19"/>
  <c r="G35" i="19"/>
  <c r="G467" i="19"/>
  <c r="H467" i="19" s="1"/>
  <c r="G464" i="19"/>
  <c r="H464" i="19" s="1"/>
  <c r="G461" i="19"/>
  <c r="H461" i="19" s="1"/>
  <c r="G458" i="19"/>
  <c r="G455" i="19"/>
  <c r="H455" i="19" s="1"/>
  <c r="G452" i="19"/>
  <c r="H452" i="19" s="1"/>
  <c r="G449" i="19"/>
  <c r="H449" i="19" s="1"/>
  <c r="G446" i="19"/>
  <c r="H446" i="19" s="1"/>
  <c r="G443" i="19"/>
  <c r="H443" i="19" s="1"/>
  <c r="G440" i="19"/>
  <c r="H440" i="19" s="1"/>
  <c r="G437" i="19"/>
  <c r="H437" i="19" s="1"/>
  <c r="G434" i="19"/>
  <c r="H434" i="19" s="1"/>
  <c r="G431" i="19"/>
  <c r="H431" i="19" s="1"/>
  <c r="G428" i="19"/>
  <c r="H428" i="19" s="1"/>
  <c r="G425" i="19"/>
  <c r="H425" i="19" s="1"/>
  <c r="G422" i="19"/>
  <c r="H422" i="19" s="1"/>
  <c r="G419" i="19"/>
  <c r="H419" i="19" s="1"/>
  <c r="G416" i="19"/>
  <c r="H416" i="19" s="1"/>
  <c r="G413" i="19"/>
  <c r="H413" i="19" s="1"/>
  <c r="G410" i="19"/>
  <c r="G407" i="19"/>
  <c r="H407" i="19" s="1"/>
  <c r="G404" i="19"/>
  <c r="H404" i="19" s="1"/>
  <c r="G401" i="19"/>
  <c r="H401" i="19" s="1"/>
  <c r="G398" i="19"/>
  <c r="H398" i="19" s="1"/>
  <c r="G395" i="19"/>
  <c r="H395" i="19" s="1"/>
  <c r="G392" i="19"/>
  <c r="H392" i="19" s="1"/>
  <c r="G389" i="19"/>
  <c r="H389" i="19" s="1"/>
  <c r="G386" i="19"/>
  <c r="H386" i="19" s="1"/>
  <c r="G383" i="19"/>
  <c r="H383" i="19" s="1"/>
  <c r="G380" i="19"/>
  <c r="H380" i="19" s="1"/>
  <c r="G377" i="19"/>
  <c r="H377" i="19" s="1"/>
  <c r="G374" i="19"/>
  <c r="G371" i="19"/>
  <c r="H371" i="19" s="1"/>
  <c r="G368" i="19"/>
  <c r="H368" i="19" s="1"/>
  <c r="G365" i="19"/>
  <c r="H365" i="19" s="1"/>
  <c r="G362" i="19"/>
  <c r="H362" i="19" s="1"/>
  <c r="G359" i="19"/>
  <c r="H359" i="19" s="1"/>
  <c r="G356" i="19"/>
  <c r="H356" i="19" s="1"/>
  <c r="G353" i="19"/>
  <c r="H353" i="19" s="1"/>
  <c r="G350" i="19"/>
  <c r="H350" i="19" s="1"/>
  <c r="G347" i="19"/>
  <c r="H347" i="19" s="1"/>
  <c r="G344" i="19"/>
  <c r="H344" i="19" s="1"/>
  <c r="G341" i="19"/>
  <c r="H341" i="19" s="1"/>
  <c r="G338" i="19"/>
  <c r="G335" i="19"/>
  <c r="H335" i="19" s="1"/>
  <c r="G332" i="19"/>
  <c r="H332" i="19" s="1"/>
  <c r="G329" i="19"/>
  <c r="H329" i="19" s="1"/>
  <c r="G326" i="19"/>
  <c r="H326" i="19" s="1"/>
  <c r="G323" i="19"/>
  <c r="H323" i="19" s="1"/>
  <c r="G320" i="19"/>
  <c r="H320" i="19" s="1"/>
  <c r="G317" i="19"/>
  <c r="H317" i="19" s="1"/>
  <c r="G314" i="19"/>
  <c r="G311" i="19"/>
  <c r="H311" i="19" s="1"/>
  <c r="G308" i="19"/>
  <c r="H308" i="19" s="1"/>
  <c r="G305" i="19"/>
  <c r="H305" i="19" s="1"/>
  <c r="G302" i="19"/>
  <c r="H302" i="19" s="1"/>
  <c r="G299" i="19"/>
  <c r="H299" i="19" s="1"/>
  <c r="G296" i="19"/>
  <c r="H296" i="19" s="1"/>
  <c r="G293" i="19"/>
  <c r="H293" i="19" s="1"/>
  <c r="G290" i="19"/>
  <c r="G287" i="19"/>
  <c r="H287" i="19" s="1"/>
  <c r="G284" i="19"/>
  <c r="H284" i="19" s="1"/>
  <c r="G281" i="19"/>
  <c r="H281" i="19" s="1"/>
  <c r="G278" i="19"/>
  <c r="H278" i="19" s="1"/>
  <c r="G275" i="19"/>
  <c r="H275" i="19" s="1"/>
  <c r="G272" i="19"/>
  <c r="H272" i="19" s="1"/>
  <c r="G269" i="19"/>
  <c r="H269" i="19" s="1"/>
  <c r="G266" i="19"/>
  <c r="H266" i="19" s="1"/>
  <c r="G263" i="19"/>
  <c r="H263" i="19" s="1"/>
  <c r="G260" i="19"/>
  <c r="H260" i="19" s="1"/>
  <c r="G257" i="19"/>
  <c r="H257" i="19" s="1"/>
  <c r="G254" i="19"/>
  <c r="G251" i="19"/>
  <c r="H251" i="19" s="1"/>
  <c r="G248" i="19"/>
  <c r="H248" i="19" s="1"/>
  <c r="G245" i="19"/>
  <c r="H245" i="19" s="1"/>
  <c r="G242" i="19"/>
  <c r="H242" i="19" s="1"/>
  <c r="G239" i="19"/>
  <c r="H239" i="19" s="1"/>
  <c r="G236" i="19"/>
  <c r="H236" i="19" s="1"/>
  <c r="G233" i="19"/>
  <c r="H233" i="19" s="1"/>
  <c r="G230" i="19"/>
  <c r="H230" i="19" s="1"/>
  <c r="G227" i="19"/>
  <c r="H227" i="19" s="1"/>
  <c r="G224" i="19"/>
  <c r="H224" i="19" s="1"/>
  <c r="G221" i="19"/>
  <c r="H221" i="19" s="1"/>
  <c r="G218" i="19"/>
  <c r="H218" i="19" s="1"/>
  <c r="G215" i="19"/>
  <c r="H215" i="19" s="1"/>
  <c r="G212" i="19"/>
  <c r="H212" i="19" s="1"/>
  <c r="G209" i="19"/>
  <c r="H209" i="19" s="1"/>
  <c r="G206" i="19"/>
  <c r="H206" i="19" s="1"/>
  <c r="G203" i="19"/>
  <c r="H203" i="19" s="1"/>
  <c r="G200" i="19"/>
  <c r="H200" i="19" s="1"/>
  <c r="G197" i="19"/>
  <c r="H197" i="19" s="1"/>
  <c r="G194" i="19"/>
  <c r="G188" i="19"/>
  <c r="H188" i="19" s="1"/>
  <c r="G185" i="19"/>
  <c r="H185" i="19" s="1"/>
  <c r="G179" i="19"/>
  <c r="H179" i="19" s="1"/>
  <c r="G176" i="19"/>
  <c r="H176" i="19" s="1"/>
  <c r="G173" i="19"/>
  <c r="H173" i="19" s="1"/>
  <c r="G170" i="19"/>
  <c r="G167" i="19"/>
  <c r="G164" i="19"/>
  <c r="G161" i="19"/>
  <c r="G158" i="19"/>
  <c r="G50" i="19"/>
  <c r="G47" i="19"/>
  <c r="G41" i="19"/>
  <c r="G38" i="19"/>
  <c r="G32" i="19"/>
  <c r="G29" i="19"/>
  <c r="G26" i="19"/>
  <c r="G23" i="19"/>
  <c r="G20" i="19"/>
  <c r="G17" i="19"/>
  <c r="G14" i="19"/>
  <c r="G1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H6" i="19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H6" i="18"/>
  <c r="A160" i="7"/>
  <c r="H133" i="7"/>
  <c r="I133" i="7" l="1"/>
  <c r="H458" i="19"/>
  <c r="H482" i="19"/>
  <c r="H410" i="19"/>
  <c r="H374" i="19"/>
  <c r="H338" i="19"/>
  <c r="H314" i="19"/>
  <c r="H290" i="19"/>
  <c r="H254" i="19"/>
  <c r="H194" i="19"/>
  <c r="D3" i="19"/>
  <c r="D3" i="18"/>
  <c r="D130" i="7"/>
  <c r="C406" i="1"/>
  <c r="C367" i="1"/>
  <c r="C368" i="1"/>
  <c r="C33" i="1"/>
  <c r="G8" i="19" s="1"/>
  <c r="H8" i="19" s="1"/>
  <c r="I8" i="19" s="1"/>
  <c r="A8" i="19" s="1"/>
  <c r="C8" i="1"/>
  <c r="G67" i="7"/>
  <c r="H67" i="7" s="1"/>
  <c r="G66" i="7"/>
  <c r="G62" i="7"/>
  <c r="H61" i="7"/>
  <c r="H71" i="7"/>
  <c r="I71" i="7"/>
  <c r="A71" i="7" s="1"/>
  <c r="G60" i="7"/>
  <c r="H60" i="7" s="1"/>
  <c r="I60" i="7" s="1"/>
  <c r="D61" i="7"/>
  <c r="D60" i="7"/>
  <c r="G58" i="7"/>
  <c r="A72" i="7"/>
  <c r="D67" i="7"/>
  <c r="D66" i="7"/>
  <c r="D65" i="7"/>
  <c r="D62" i="7"/>
  <c r="D58" i="7"/>
  <c r="D57" i="7"/>
  <c r="A10" i="7"/>
  <c r="A27" i="7"/>
  <c r="A28" i="7"/>
  <c r="A52" i="7"/>
  <c r="A82" i="7"/>
  <c r="A88" i="7"/>
  <c r="A120" i="7"/>
  <c r="A126" i="7"/>
  <c r="I159" i="7"/>
  <c r="A159" i="7" s="1"/>
  <c r="H157" i="7"/>
  <c r="H158" i="7"/>
  <c r="H159" i="7"/>
  <c r="G160" i="7"/>
  <c r="H6" i="14" s="1"/>
  <c r="D161" i="7"/>
  <c r="D162" i="7"/>
  <c r="A9" i="19" l="1"/>
  <c r="G438" i="19"/>
  <c r="H438" i="19" s="1"/>
  <c r="G423" i="19"/>
  <c r="H423" i="19" s="1"/>
  <c r="G471" i="19"/>
  <c r="H471" i="19" s="1"/>
  <c r="G483" i="19"/>
  <c r="H483" i="19" s="1"/>
  <c r="G417" i="19"/>
  <c r="H417" i="19" s="1"/>
  <c r="G402" i="19"/>
  <c r="G393" i="19"/>
  <c r="H393" i="19" s="1"/>
  <c r="G360" i="19"/>
  <c r="H360" i="19" s="1"/>
  <c r="G348" i="19"/>
  <c r="H348" i="19" s="1"/>
  <c r="G312" i="19"/>
  <c r="H312" i="19" s="1"/>
  <c r="G342" i="19"/>
  <c r="H342" i="19" s="1"/>
  <c r="G330" i="19"/>
  <c r="G300" i="19"/>
  <c r="H300" i="19" s="1"/>
  <c r="G276" i="19"/>
  <c r="H276" i="19" s="1"/>
  <c r="G252" i="19"/>
  <c r="H252" i="19" s="1"/>
  <c r="G228" i="19"/>
  <c r="H228" i="19" s="1"/>
  <c r="G216" i="19"/>
  <c r="H216" i="19" s="1"/>
  <c r="G204" i="19"/>
  <c r="G183" i="19"/>
  <c r="H183" i="19" s="1"/>
  <c r="G456" i="19"/>
  <c r="H456" i="19" s="1"/>
  <c r="G447" i="19"/>
  <c r="H447" i="19" s="1"/>
  <c r="G435" i="19"/>
  <c r="H435" i="19" s="1"/>
  <c r="G465" i="19"/>
  <c r="H465" i="19" s="1"/>
  <c r="G480" i="19"/>
  <c r="H480" i="19" s="1"/>
  <c r="G489" i="19"/>
  <c r="H489" i="19" s="1"/>
  <c r="G414" i="19"/>
  <c r="H414" i="19" s="1"/>
  <c r="G411" i="19"/>
  <c r="H411" i="19" s="1"/>
  <c r="G390" i="19"/>
  <c r="G384" i="19"/>
  <c r="H384" i="19" s="1"/>
  <c r="G372" i="19"/>
  <c r="H372" i="19" s="1"/>
  <c r="G369" i="19"/>
  <c r="H369" i="19" s="1"/>
  <c r="G357" i="19"/>
  <c r="H357" i="19" s="1"/>
  <c r="G345" i="19"/>
  <c r="H345" i="19" s="1"/>
  <c r="G339" i="19"/>
  <c r="H339" i="19" s="1"/>
  <c r="G309" i="19"/>
  <c r="H309" i="19" s="1"/>
  <c r="G333" i="19"/>
  <c r="H333" i="19" s="1"/>
  <c r="G321" i="19"/>
  <c r="H321" i="19" s="1"/>
  <c r="G297" i="19"/>
  <c r="H297" i="19" s="1"/>
  <c r="G279" i="19"/>
  <c r="H279" i="19" s="1"/>
  <c r="G273" i="19"/>
  <c r="H273" i="19" s="1"/>
  <c r="G270" i="19"/>
  <c r="G261" i="19"/>
  <c r="H261" i="19" s="1"/>
  <c r="G243" i="19"/>
  <c r="H243" i="19" s="1"/>
  <c r="G225" i="19"/>
  <c r="H225" i="19" s="1"/>
  <c r="G213" i="19"/>
  <c r="H213" i="19" s="1"/>
  <c r="G195" i="19"/>
  <c r="H195" i="19" s="1"/>
  <c r="G459" i="19"/>
  <c r="H459" i="19" s="1"/>
  <c r="G450" i="19"/>
  <c r="G441" i="19"/>
  <c r="H441" i="19" s="1"/>
  <c r="G477" i="19"/>
  <c r="H477" i="19" s="1"/>
  <c r="G474" i="19"/>
  <c r="H474" i="19" s="1"/>
  <c r="G462" i="19"/>
  <c r="H462" i="19" s="1"/>
  <c r="G363" i="19"/>
  <c r="H363" i="19" s="1"/>
  <c r="G315" i="19"/>
  <c r="H315" i="19" s="1"/>
  <c r="G249" i="19"/>
  <c r="H249" i="19" s="1"/>
  <c r="G219" i="19"/>
  <c r="H219" i="19" s="1"/>
  <c r="G198" i="19"/>
  <c r="H198" i="19" s="1"/>
  <c r="G165" i="19"/>
  <c r="G153" i="19"/>
  <c r="G150" i="19"/>
  <c r="G126" i="19"/>
  <c r="G132" i="19"/>
  <c r="G117" i="19"/>
  <c r="G99" i="19"/>
  <c r="G93" i="19"/>
  <c r="G453" i="19"/>
  <c r="H453" i="19" s="1"/>
  <c r="G444" i="19"/>
  <c r="H444" i="19" s="1"/>
  <c r="G426" i="19"/>
  <c r="H426" i="19" s="1"/>
  <c r="G396" i="19"/>
  <c r="H396" i="19" s="1"/>
  <c r="G381" i="19"/>
  <c r="H381" i="19" s="1"/>
  <c r="G366" i="19"/>
  <c r="H366" i="19" s="1"/>
  <c r="G285" i="19"/>
  <c r="H285" i="19" s="1"/>
  <c r="G240" i="19"/>
  <c r="H240" i="19" s="1"/>
  <c r="G222" i="19"/>
  <c r="H222" i="19" s="1"/>
  <c r="G189" i="19"/>
  <c r="H189" i="19" s="1"/>
  <c r="G192" i="19"/>
  <c r="G174" i="19"/>
  <c r="H174" i="19" s="1"/>
  <c r="G177" i="19"/>
  <c r="H177" i="19" s="1"/>
  <c r="G162" i="19"/>
  <c r="G144" i="19"/>
  <c r="G138" i="19"/>
  <c r="G129" i="19"/>
  <c r="G114" i="19"/>
  <c r="G108" i="19"/>
  <c r="G90" i="19"/>
  <c r="G432" i="19"/>
  <c r="H432" i="19" s="1"/>
  <c r="G420" i="19"/>
  <c r="H420" i="19" s="1"/>
  <c r="G399" i="19"/>
  <c r="H399" i="19" s="1"/>
  <c r="G354" i="19"/>
  <c r="H354" i="19" s="1"/>
  <c r="G306" i="19"/>
  <c r="H306" i="19" s="1"/>
  <c r="G288" i="19"/>
  <c r="H288" i="19" s="1"/>
  <c r="G258" i="19"/>
  <c r="H258" i="19" s="1"/>
  <c r="G234" i="19"/>
  <c r="H234" i="19" s="1"/>
  <c r="G210" i="19"/>
  <c r="H210" i="19" s="1"/>
  <c r="G156" i="19"/>
  <c r="G135" i="19"/>
  <c r="G96" i="19"/>
  <c r="G102" i="19"/>
  <c r="G87" i="19"/>
  <c r="G72" i="19"/>
  <c r="G66" i="19"/>
  <c r="G54" i="19"/>
  <c r="G36" i="19"/>
  <c r="G429" i="19"/>
  <c r="H429" i="19" s="1"/>
  <c r="G351" i="19"/>
  <c r="H351" i="19" s="1"/>
  <c r="G303" i="19"/>
  <c r="H303" i="19" s="1"/>
  <c r="G282" i="19"/>
  <c r="G264" i="19"/>
  <c r="H264" i="19" s="1"/>
  <c r="G255" i="19"/>
  <c r="H255" i="19" s="1"/>
  <c r="G246" i="19"/>
  <c r="G207" i="19"/>
  <c r="H207" i="19" s="1"/>
  <c r="G171" i="19"/>
  <c r="H171" i="19" s="1"/>
  <c r="G123" i="19"/>
  <c r="G81" i="19"/>
  <c r="G75" i="19"/>
  <c r="G69" i="19"/>
  <c r="G60" i="19"/>
  <c r="G48" i="19"/>
  <c r="G57" i="19"/>
  <c r="G33" i="19"/>
  <c r="G30" i="19"/>
  <c r="G18" i="19"/>
  <c r="G378" i="19"/>
  <c r="H378" i="19" s="1"/>
  <c r="G324" i="19"/>
  <c r="H324" i="19" s="1"/>
  <c r="G336" i="19"/>
  <c r="H336" i="19" s="1"/>
  <c r="G291" i="19"/>
  <c r="H291" i="19" s="1"/>
  <c r="G267" i="19"/>
  <c r="H267" i="19" s="1"/>
  <c r="G237" i="19"/>
  <c r="H237" i="19" s="1"/>
  <c r="G120" i="19"/>
  <c r="G51" i="19"/>
  <c r="G42" i="19"/>
  <c r="G27" i="19"/>
  <c r="G468" i="19"/>
  <c r="G486" i="19"/>
  <c r="H486" i="19" s="1"/>
  <c r="G405" i="19"/>
  <c r="H405" i="19" s="1"/>
  <c r="G387" i="19"/>
  <c r="H387" i="19" s="1"/>
  <c r="G375" i="19"/>
  <c r="H375" i="19" s="1"/>
  <c r="G318" i="19"/>
  <c r="H318" i="19" s="1"/>
  <c r="G327" i="19"/>
  <c r="H327" i="19" s="1"/>
  <c r="G294" i="19"/>
  <c r="H294" i="19" s="1"/>
  <c r="G231" i="19"/>
  <c r="H231" i="19" s="1"/>
  <c r="G159" i="19"/>
  <c r="G141" i="19"/>
  <c r="G111" i="19"/>
  <c r="G105" i="19"/>
  <c r="G78" i="19"/>
  <c r="G63" i="19"/>
  <c r="G45" i="19"/>
  <c r="G39" i="19"/>
  <c r="G21" i="19"/>
  <c r="G15" i="19"/>
  <c r="G408" i="19"/>
  <c r="H408" i="19" s="1"/>
  <c r="G201" i="19"/>
  <c r="H201" i="19" s="1"/>
  <c r="G186" i="19"/>
  <c r="H186" i="19" s="1"/>
  <c r="G180" i="19"/>
  <c r="G168" i="19"/>
  <c r="G147" i="19"/>
  <c r="G84" i="19"/>
  <c r="G24" i="19"/>
  <c r="G12" i="19"/>
  <c r="C363" i="1"/>
  <c r="G120" i="18"/>
  <c r="H120" i="18" s="1"/>
  <c r="G112" i="18"/>
  <c r="H112" i="18" s="1"/>
  <c r="G104" i="18"/>
  <c r="H104" i="18" s="1"/>
  <c r="G100" i="18"/>
  <c r="H100" i="18" s="1"/>
  <c r="G70" i="18"/>
  <c r="H70" i="18" s="1"/>
  <c r="G62" i="18"/>
  <c r="H62" i="18" s="1"/>
  <c r="G38" i="18"/>
  <c r="G34" i="18"/>
  <c r="G30" i="18"/>
  <c r="G26" i="18"/>
  <c r="G12" i="18"/>
  <c r="G18" i="18"/>
  <c r="G164" i="18"/>
  <c r="H164" i="18" s="1"/>
  <c r="G158" i="18"/>
  <c r="H158" i="18" s="1"/>
  <c r="G148" i="18"/>
  <c r="H148" i="18" s="1"/>
  <c r="G142" i="18"/>
  <c r="H142" i="18" s="1"/>
  <c r="G132" i="18"/>
  <c r="H132" i="18" s="1"/>
  <c r="G126" i="18"/>
  <c r="H126" i="18" s="1"/>
  <c r="G118" i="18"/>
  <c r="H118" i="18" s="1"/>
  <c r="G108" i="18"/>
  <c r="H108" i="18" s="1"/>
  <c r="G92" i="18"/>
  <c r="H92" i="18" s="1"/>
  <c r="G84" i="18"/>
  <c r="H84" i="18" s="1"/>
  <c r="G74" i="18"/>
  <c r="H74" i="18" s="1"/>
  <c r="G68" i="18"/>
  <c r="H68" i="18" s="1"/>
  <c r="G58" i="18"/>
  <c r="G44" i="18"/>
  <c r="G32" i="18"/>
  <c r="G16" i="18"/>
  <c r="G20" i="18"/>
  <c r="G166" i="18"/>
  <c r="H166" i="18" s="1"/>
  <c r="G160" i="18"/>
  <c r="H160" i="18" s="1"/>
  <c r="G154" i="18"/>
  <c r="H154" i="18" s="1"/>
  <c r="G144" i="18"/>
  <c r="H144" i="18" s="1"/>
  <c r="G138" i="18"/>
  <c r="H138" i="18" s="1"/>
  <c r="G128" i="18"/>
  <c r="H128" i="18" s="1"/>
  <c r="G122" i="18"/>
  <c r="H122" i="18" s="1"/>
  <c r="G110" i="18"/>
  <c r="H110" i="18" s="1"/>
  <c r="G102" i="18"/>
  <c r="H102" i="18" s="1"/>
  <c r="G98" i="18"/>
  <c r="H98" i="18" s="1"/>
  <c r="G86" i="18"/>
  <c r="H86" i="18" s="1"/>
  <c r="G82" i="18"/>
  <c r="H82" i="18" s="1"/>
  <c r="G76" i="18"/>
  <c r="H76" i="18" s="1"/>
  <c r="G72" i="18"/>
  <c r="H72" i="18" s="1"/>
  <c r="G60" i="18"/>
  <c r="H60" i="18" s="1"/>
  <c r="G52" i="18"/>
  <c r="G50" i="18"/>
  <c r="G28" i="18"/>
  <c r="G24" i="18"/>
  <c r="G22" i="18"/>
  <c r="G168" i="18"/>
  <c r="H168" i="18" s="1"/>
  <c r="G156" i="18"/>
  <c r="H156" i="18" s="1"/>
  <c r="G150" i="18"/>
  <c r="H150" i="18" s="1"/>
  <c r="G140" i="18"/>
  <c r="H140" i="18" s="1"/>
  <c r="G134" i="18"/>
  <c r="H134" i="18" s="1"/>
  <c r="G124" i="18"/>
  <c r="H124" i="18" s="1"/>
  <c r="G114" i="18"/>
  <c r="H114" i="18" s="1"/>
  <c r="G94" i="18"/>
  <c r="H94" i="18" s="1"/>
  <c r="G88" i="18"/>
  <c r="H88" i="18" s="1"/>
  <c r="G78" i="18"/>
  <c r="H78" i="18" s="1"/>
  <c r="G64" i="18"/>
  <c r="H64" i="18" s="1"/>
  <c r="G54" i="18"/>
  <c r="G46" i="18"/>
  <c r="G40" i="18"/>
  <c r="G170" i="18"/>
  <c r="H170" i="18" s="1"/>
  <c r="G146" i="18"/>
  <c r="H146" i="18" s="1"/>
  <c r="G106" i="18"/>
  <c r="H106" i="18" s="1"/>
  <c r="G90" i="18"/>
  <c r="H90" i="18" s="1"/>
  <c r="G66" i="18"/>
  <c r="H66" i="18" s="1"/>
  <c r="G48" i="18"/>
  <c r="G152" i="18"/>
  <c r="H152" i="18" s="1"/>
  <c r="G130" i="18"/>
  <c r="H130" i="18" s="1"/>
  <c r="G116" i="18"/>
  <c r="H116" i="18" s="1"/>
  <c r="G96" i="18"/>
  <c r="H96" i="18" s="1"/>
  <c r="G80" i="18"/>
  <c r="H80" i="18" s="1"/>
  <c r="G10" i="18"/>
  <c r="G136" i="18"/>
  <c r="H136" i="18" s="1"/>
  <c r="G36" i="18"/>
  <c r="G14" i="18"/>
  <c r="G56" i="18"/>
  <c r="G162" i="18"/>
  <c r="H162" i="18" s="1"/>
  <c r="G42" i="18"/>
  <c r="G130" i="7"/>
  <c r="C177" i="1"/>
  <c r="I67" i="7"/>
  <c r="H66" i="7"/>
  <c r="I66" i="7" s="1"/>
  <c r="H62" i="7"/>
  <c r="I62" i="7" s="1"/>
  <c r="I61" i="7"/>
  <c r="H58" i="7"/>
  <c r="I58" i="7" s="1"/>
  <c r="H56" i="18" l="1"/>
  <c r="I56" i="18" s="1"/>
  <c r="H50" i="18"/>
  <c r="I50" i="18" s="1"/>
  <c r="H54" i="18"/>
  <c r="I54" i="18" s="1"/>
  <c r="H44" i="18"/>
  <c r="I44" i="18" s="1"/>
  <c r="H46" i="18"/>
  <c r="I46" i="18" s="1"/>
  <c r="H48" i="18"/>
  <c r="I48" i="18" s="1"/>
  <c r="H58" i="18"/>
  <c r="I58" i="18" s="1"/>
  <c r="H52" i="18"/>
  <c r="I52" i="18" s="1"/>
  <c r="H42" i="18"/>
  <c r="I42" i="18" s="1"/>
  <c r="H180" i="19"/>
  <c r="H192" i="19"/>
  <c r="H450" i="19"/>
  <c r="H390" i="19"/>
  <c r="H330" i="19"/>
  <c r="H282" i="19"/>
  <c r="H468" i="19"/>
  <c r="H246" i="19"/>
  <c r="H204" i="19"/>
  <c r="H402" i="19"/>
  <c r="H270" i="19"/>
  <c r="H32" i="19"/>
  <c r="I32" i="19" s="1"/>
  <c r="H48" i="19"/>
  <c r="I48" i="19" s="1"/>
  <c r="H80" i="19"/>
  <c r="I80" i="19" s="1"/>
  <c r="H96" i="19"/>
  <c r="H128" i="19"/>
  <c r="H144" i="19"/>
  <c r="H14" i="19"/>
  <c r="I14" i="19" s="1"/>
  <c r="H30" i="19"/>
  <c r="I30" i="19" s="1"/>
  <c r="H62" i="19"/>
  <c r="I62" i="19" s="1"/>
  <c r="H78" i="19"/>
  <c r="I78" i="19" s="1"/>
  <c r="H110" i="19"/>
  <c r="H126" i="19"/>
  <c r="H158" i="19"/>
  <c r="H12" i="19"/>
  <c r="I12" i="19" s="1"/>
  <c r="H44" i="19"/>
  <c r="I44" i="19" s="1"/>
  <c r="H60" i="19"/>
  <c r="I60" i="19" s="1"/>
  <c r="H92" i="19"/>
  <c r="H108" i="19"/>
  <c r="H140" i="19"/>
  <c r="H156" i="19"/>
  <c r="H26" i="19"/>
  <c r="I26" i="19" s="1"/>
  <c r="H42" i="19"/>
  <c r="I42" i="19" s="1"/>
  <c r="H74" i="19"/>
  <c r="I74" i="19" s="1"/>
  <c r="H90" i="19"/>
  <c r="H122" i="19"/>
  <c r="H138" i="19"/>
  <c r="H170" i="19"/>
  <c r="H24" i="19"/>
  <c r="I24" i="19" s="1"/>
  <c r="H56" i="19"/>
  <c r="I56" i="19" s="1"/>
  <c r="H72" i="19"/>
  <c r="I72" i="19" s="1"/>
  <c r="H104" i="19"/>
  <c r="H120" i="19"/>
  <c r="H152" i="19"/>
  <c r="H168" i="19"/>
  <c r="H38" i="19"/>
  <c r="I38" i="19" s="1"/>
  <c r="H54" i="19"/>
  <c r="I54" i="19" s="1"/>
  <c r="H86" i="19"/>
  <c r="H102" i="19"/>
  <c r="H134" i="19"/>
  <c r="H150" i="19"/>
  <c r="H20" i="19"/>
  <c r="I20" i="19" s="1"/>
  <c r="H36" i="19"/>
  <c r="I36" i="19" s="1"/>
  <c r="H68" i="19"/>
  <c r="I68" i="19" s="1"/>
  <c r="H84" i="19"/>
  <c r="H116" i="19"/>
  <c r="H132" i="19"/>
  <c r="H164" i="19"/>
  <c r="H18" i="19"/>
  <c r="I18" i="19" s="1"/>
  <c r="H50" i="19"/>
  <c r="I50" i="19" s="1"/>
  <c r="H66" i="19"/>
  <c r="I66" i="19" s="1"/>
  <c r="H98" i="19"/>
  <c r="H114" i="19"/>
  <c r="H146" i="19"/>
  <c r="H162" i="19"/>
  <c r="G33" i="12"/>
  <c r="G31" i="12"/>
  <c r="G27" i="12"/>
  <c r="G23" i="12"/>
  <c r="G21" i="12"/>
  <c r="G13" i="12"/>
  <c r="G17" i="12"/>
  <c r="G9" i="12"/>
  <c r="G92" i="7"/>
  <c r="G90" i="7"/>
  <c r="G59" i="7"/>
  <c r="G54" i="7"/>
  <c r="G7" i="7"/>
  <c r="C27" i="1"/>
  <c r="G118" i="7"/>
  <c r="H118" i="7" s="1"/>
  <c r="I118" i="7" s="1"/>
  <c r="H130" i="7"/>
  <c r="G29" i="7" l="1"/>
  <c r="C378" i="1"/>
  <c r="G137" i="7"/>
  <c r="I130" i="7"/>
  <c r="H59" i="7"/>
  <c r="I59" i="7" s="1"/>
  <c r="H54" i="7"/>
  <c r="I54" i="7" s="1"/>
  <c r="D118" i="7"/>
  <c r="G79" i="7"/>
  <c r="H79" i="7" s="1"/>
  <c r="I79" i="7" s="1"/>
  <c r="G78" i="7"/>
  <c r="D7" i="14"/>
  <c r="D8" i="14"/>
  <c r="D9" i="14"/>
  <c r="D10" i="14"/>
  <c r="D11" i="14"/>
  <c r="G77" i="7"/>
  <c r="D80" i="7"/>
  <c r="D79" i="7"/>
  <c r="D78" i="7"/>
  <c r="D77" i="7"/>
  <c r="D64" i="7"/>
  <c r="H80" i="7" l="1"/>
  <c r="I80" i="7" s="1"/>
  <c r="H78" i="7"/>
  <c r="I78" i="7" s="1"/>
  <c r="H77" i="7"/>
  <c r="I77" i="7" s="1"/>
  <c r="A39" i="12" l="1"/>
  <c r="A89" i="12"/>
  <c r="A90" i="12"/>
  <c r="A91" i="12"/>
  <c r="G138" i="14" l="1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G63" i="14"/>
  <c r="G62" i="14"/>
  <c r="G61" i="14"/>
  <c r="G60" i="14"/>
  <c r="G59" i="14"/>
  <c r="G58" i="14"/>
  <c r="G57" i="14"/>
  <c r="G56" i="14"/>
  <c r="G55" i="14"/>
  <c r="H55" i="14" s="1"/>
  <c r="I55" i="14" s="1"/>
  <c r="G54" i="14"/>
  <c r="G53" i="14"/>
  <c r="G52" i="14"/>
  <c r="G51" i="14"/>
  <c r="G50" i="14"/>
  <c r="G49" i="14"/>
  <c r="G48" i="14"/>
  <c r="G47" i="14"/>
  <c r="G46" i="14"/>
  <c r="G45" i="14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7" i="14"/>
  <c r="G8" i="14"/>
  <c r="D55" i="14"/>
  <c r="D37" i="14"/>
  <c r="G107" i="7"/>
  <c r="H37" i="14" l="1"/>
  <c r="I37" i="14" s="1"/>
  <c r="H11" i="14"/>
  <c r="I11" i="14" s="1"/>
  <c r="D46" i="12" l="1"/>
  <c r="G46" i="12"/>
  <c r="D15" i="12"/>
  <c r="G15" i="12"/>
  <c r="H15" i="12" s="1"/>
  <c r="I15" i="12" s="1"/>
  <c r="H46" i="12" l="1"/>
  <c r="I46" i="12" s="1"/>
  <c r="G38" i="7" l="1"/>
  <c r="G44" i="7"/>
  <c r="G50" i="7"/>
  <c r="G84" i="7"/>
  <c r="G14" i="7"/>
  <c r="G8" i="7"/>
  <c r="G20" i="7"/>
  <c r="G23" i="7"/>
  <c r="G28" i="7"/>
  <c r="G52" i="7"/>
  <c r="G72" i="7"/>
  <c r="G75" i="7"/>
  <c r="G76" i="7"/>
  <c r="H135" i="7"/>
  <c r="I135" i="7" l="1"/>
  <c r="A135" i="7" s="1"/>
  <c r="H138" i="7"/>
  <c r="I138" i="7" l="1"/>
  <c r="H139" i="7"/>
  <c r="I139" i="7" l="1"/>
  <c r="H145" i="7"/>
  <c r="I145" i="7" l="1"/>
  <c r="H146" i="7"/>
  <c r="I146" i="7" l="1"/>
  <c r="H147" i="7"/>
  <c r="I147" i="7" l="1"/>
  <c r="H148" i="7"/>
  <c r="I148" i="7" l="1"/>
  <c r="H149" i="7"/>
  <c r="I149" i="7" l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I157" i="7"/>
  <c r="I158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39" i="7"/>
  <c r="D138" i="7"/>
  <c r="D137" i="7"/>
  <c r="H113" i="7"/>
  <c r="I113" i="7"/>
  <c r="A113" i="7" s="1"/>
  <c r="H12" i="7" l="1"/>
  <c r="I12" i="7" s="1"/>
  <c r="D12" i="7"/>
  <c r="D123" i="7"/>
  <c r="D124" i="7"/>
  <c r="I81" i="7"/>
  <c r="A81" i="7" s="1"/>
  <c r="H81" i="7"/>
  <c r="H143" i="14"/>
  <c r="I143" i="14"/>
  <c r="H144" i="14"/>
  <c r="I144" i="14"/>
  <c r="H145" i="14"/>
  <c r="I145" i="14"/>
  <c r="H146" i="14"/>
  <c r="I146" i="14"/>
  <c r="H147" i="14"/>
  <c r="I147" i="14"/>
  <c r="H148" i="14"/>
  <c r="I148" i="14"/>
  <c r="H149" i="14"/>
  <c r="I149" i="14"/>
  <c r="H150" i="14"/>
  <c r="I150" i="14"/>
  <c r="H151" i="14"/>
  <c r="I151" i="14"/>
  <c r="H152" i="14"/>
  <c r="I152" i="14"/>
  <c r="H153" i="14"/>
  <c r="I153" i="14"/>
  <c r="H154" i="14"/>
  <c r="I154" i="14"/>
  <c r="H155" i="14"/>
  <c r="I155" i="14"/>
  <c r="H156" i="14"/>
  <c r="I156" i="14"/>
  <c r="H157" i="14"/>
  <c r="I157" i="14"/>
  <c r="H158" i="14"/>
  <c r="I158" i="14"/>
  <c r="H159" i="14"/>
  <c r="I159" i="14"/>
  <c r="H160" i="14"/>
  <c r="I160" i="14"/>
  <c r="A160" i="14" s="1"/>
  <c r="H161" i="14"/>
  <c r="I161" i="14"/>
  <c r="A161" i="14" s="1"/>
  <c r="H162" i="14"/>
  <c r="I162" i="14"/>
  <c r="A162" i="14" s="1"/>
  <c r="H163" i="14"/>
  <c r="I163" i="14"/>
  <c r="A163" i="14" s="1"/>
  <c r="H164" i="14"/>
  <c r="I164" i="14"/>
  <c r="A164" i="14" s="1"/>
  <c r="H165" i="14"/>
  <c r="I165" i="14"/>
  <c r="A165" i="14" s="1"/>
  <c r="H166" i="14"/>
  <c r="I166" i="14"/>
  <c r="H167" i="14"/>
  <c r="I167" i="14"/>
  <c r="H168" i="14"/>
  <c r="I168" i="14"/>
  <c r="H169" i="14"/>
  <c r="I169" i="14"/>
  <c r="H170" i="14"/>
  <c r="I170" i="14"/>
  <c r="H171" i="14"/>
  <c r="I171" i="14"/>
  <c r="H6" i="12"/>
  <c r="I9" i="7"/>
  <c r="A9" i="7" s="1"/>
  <c r="I51" i="7"/>
  <c r="A51" i="7" s="1"/>
  <c r="I87" i="7"/>
  <c r="A87" i="7" s="1"/>
  <c r="I119" i="7"/>
  <c r="A119" i="7" s="1"/>
  <c r="I125" i="7"/>
  <c r="A125" i="7" s="1"/>
  <c r="I163" i="7"/>
  <c r="A163" i="7" s="1"/>
  <c r="I164" i="7"/>
  <c r="A164" i="7" s="1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H120" i="7"/>
  <c r="H88" i="7"/>
  <c r="H10" i="7"/>
  <c r="H9" i="7"/>
  <c r="H51" i="7"/>
  <c r="H87" i="7"/>
  <c r="H119" i="7"/>
  <c r="H125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E8" i="15" l="1"/>
  <c r="B8" i="15"/>
  <c r="E7" i="15"/>
  <c r="H6" i="15"/>
  <c r="A6" i="15"/>
  <c r="H138" i="14"/>
  <c r="I138" i="14" s="1"/>
  <c r="D138" i="14"/>
  <c r="H136" i="14"/>
  <c r="I136" i="14" s="1"/>
  <c r="D136" i="14"/>
  <c r="H134" i="14"/>
  <c r="I134" i="14" s="1"/>
  <c r="D134" i="14"/>
  <c r="H132" i="14"/>
  <c r="I132" i="14" s="1"/>
  <c r="D132" i="14"/>
  <c r="H130" i="14"/>
  <c r="I130" i="14" s="1"/>
  <c r="D130" i="14"/>
  <c r="H128" i="14"/>
  <c r="I128" i="14" s="1"/>
  <c r="D128" i="14"/>
  <c r="H126" i="14"/>
  <c r="I126" i="14" s="1"/>
  <c r="D126" i="14"/>
  <c r="H124" i="14"/>
  <c r="I124" i="14" s="1"/>
  <c r="D124" i="14"/>
  <c r="H122" i="14"/>
  <c r="I122" i="14" s="1"/>
  <c r="D122" i="14"/>
  <c r="H120" i="14"/>
  <c r="I120" i="14" s="1"/>
  <c r="D120" i="14"/>
  <c r="H118" i="14"/>
  <c r="I118" i="14" s="1"/>
  <c r="D118" i="14"/>
  <c r="H116" i="14"/>
  <c r="I116" i="14" s="1"/>
  <c r="D116" i="14"/>
  <c r="H114" i="14"/>
  <c r="I114" i="14" s="1"/>
  <c r="D114" i="14"/>
  <c r="H112" i="14"/>
  <c r="I112" i="14" s="1"/>
  <c r="D112" i="14"/>
  <c r="H110" i="14"/>
  <c r="I110" i="14" s="1"/>
  <c r="D110" i="14"/>
  <c r="H108" i="14"/>
  <c r="I108" i="14" s="1"/>
  <c r="D108" i="14"/>
  <c r="H106" i="14"/>
  <c r="I106" i="14" s="1"/>
  <c r="D106" i="14"/>
  <c r="H104" i="14"/>
  <c r="I104" i="14" s="1"/>
  <c r="D104" i="14"/>
  <c r="H102" i="14"/>
  <c r="I102" i="14" s="1"/>
  <c r="D102" i="14"/>
  <c r="H100" i="14"/>
  <c r="I100" i="14" s="1"/>
  <c r="D100" i="14"/>
  <c r="H98" i="14"/>
  <c r="I98" i="14" s="1"/>
  <c r="D98" i="14"/>
  <c r="H96" i="14"/>
  <c r="I96" i="14" s="1"/>
  <c r="D96" i="14"/>
  <c r="H94" i="14"/>
  <c r="I94" i="14" s="1"/>
  <c r="D94" i="14"/>
  <c r="H92" i="14"/>
  <c r="I92" i="14" s="1"/>
  <c r="D92" i="14"/>
  <c r="H90" i="14"/>
  <c r="I90" i="14" s="1"/>
  <c r="D90" i="14"/>
  <c r="H88" i="14"/>
  <c r="I88" i="14" s="1"/>
  <c r="D88" i="14"/>
  <c r="H86" i="14"/>
  <c r="I86" i="14" s="1"/>
  <c r="D86" i="14"/>
  <c r="H84" i="14"/>
  <c r="I84" i="14" s="1"/>
  <c r="D84" i="14"/>
  <c r="H82" i="14"/>
  <c r="I82" i="14" s="1"/>
  <c r="D82" i="14"/>
  <c r="H80" i="14"/>
  <c r="I80" i="14" s="1"/>
  <c r="D80" i="14"/>
  <c r="H78" i="14"/>
  <c r="I78" i="14" s="1"/>
  <c r="D78" i="14"/>
  <c r="H76" i="14"/>
  <c r="I76" i="14" s="1"/>
  <c r="D76" i="14"/>
  <c r="H74" i="14"/>
  <c r="I74" i="14" s="1"/>
  <c r="D74" i="14"/>
  <c r="H72" i="14"/>
  <c r="I72" i="14" s="1"/>
  <c r="D72" i="14"/>
  <c r="H70" i="14"/>
  <c r="I70" i="14" s="1"/>
  <c r="D70" i="14"/>
  <c r="H68" i="14"/>
  <c r="I68" i="14" s="1"/>
  <c r="D68" i="14"/>
  <c r="H66" i="14"/>
  <c r="I66" i="14" s="1"/>
  <c r="D66" i="14"/>
  <c r="H64" i="14"/>
  <c r="I64" i="14" s="1"/>
  <c r="D64" i="14"/>
  <c r="H62" i="14"/>
  <c r="I62" i="14" s="1"/>
  <c r="D62" i="14"/>
  <c r="H60" i="14"/>
  <c r="I60" i="14" s="1"/>
  <c r="D60" i="14"/>
  <c r="H58" i="14"/>
  <c r="I58" i="14" s="1"/>
  <c r="D58" i="14"/>
  <c r="H56" i="14"/>
  <c r="I56" i="14" s="1"/>
  <c r="D56" i="14"/>
  <c r="H54" i="14"/>
  <c r="I54" i="14" s="1"/>
  <c r="D54" i="14"/>
  <c r="H52" i="14"/>
  <c r="I52" i="14" s="1"/>
  <c r="D52" i="14"/>
  <c r="H50" i="14"/>
  <c r="I50" i="14" s="1"/>
  <c r="D50" i="14"/>
  <c r="H48" i="14"/>
  <c r="I48" i="14" s="1"/>
  <c r="D48" i="14"/>
  <c r="H46" i="14"/>
  <c r="I46" i="14" s="1"/>
  <c r="D46" i="14"/>
  <c r="H44" i="14"/>
  <c r="I44" i="14" s="1"/>
  <c r="D44" i="14"/>
  <c r="H42" i="14"/>
  <c r="I42" i="14" s="1"/>
  <c r="D42" i="14"/>
  <c r="H40" i="14"/>
  <c r="I40" i="14" s="1"/>
  <c r="D40" i="14"/>
  <c r="H38" i="14"/>
  <c r="I38" i="14" s="1"/>
  <c r="D38" i="14"/>
  <c r="H36" i="14"/>
  <c r="I36" i="14" s="1"/>
  <c r="D36" i="14"/>
  <c r="H34" i="14"/>
  <c r="I34" i="14" s="1"/>
  <c r="D34" i="14"/>
  <c r="H32" i="14"/>
  <c r="I32" i="14" s="1"/>
  <c r="D32" i="14"/>
  <c r="H30" i="14"/>
  <c r="I30" i="14" s="1"/>
  <c r="D30" i="14"/>
  <c r="H28" i="14"/>
  <c r="I28" i="14" s="1"/>
  <c r="D28" i="14"/>
  <c r="H26" i="14"/>
  <c r="I26" i="14" s="1"/>
  <c r="D26" i="14"/>
  <c r="H24" i="14"/>
  <c r="I24" i="14" s="1"/>
  <c r="D24" i="14"/>
  <c r="H22" i="14"/>
  <c r="I22" i="14" s="1"/>
  <c r="D22" i="14"/>
  <c r="H20" i="14"/>
  <c r="I20" i="14" s="1"/>
  <c r="D20" i="14"/>
  <c r="H18" i="14"/>
  <c r="I18" i="14" s="1"/>
  <c r="D18" i="14"/>
  <c r="H16" i="14"/>
  <c r="I16" i="14" s="1"/>
  <c r="D16" i="14"/>
  <c r="H14" i="14"/>
  <c r="I14" i="14" s="1"/>
  <c r="D14" i="14"/>
  <c r="H12" i="14"/>
  <c r="I12" i="14" s="1"/>
  <c r="D12" i="14"/>
  <c r="H10" i="14"/>
  <c r="I10" i="14" s="1"/>
  <c r="H8" i="14"/>
  <c r="I8" i="14" s="1"/>
  <c r="H137" i="14"/>
  <c r="I137" i="14" s="1"/>
  <c r="D137" i="14"/>
  <c r="H135" i="14"/>
  <c r="I135" i="14" s="1"/>
  <c r="D135" i="14"/>
  <c r="H133" i="14"/>
  <c r="I133" i="14" s="1"/>
  <c r="D133" i="14"/>
  <c r="H131" i="14"/>
  <c r="I131" i="14" s="1"/>
  <c r="D131" i="14"/>
  <c r="H129" i="14"/>
  <c r="I129" i="14" s="1"/>
  <c r="D129" i="14"/>
  <c r="H127" i="14"/>
  <c r="I127" i="14" s="1"/>
  <c r="D127" i="14"/>
  <c r="H125" i="14"/>
  <c r="I125" i="14" s="1"/>
  <c r="D125" i="14"/>
  <c r="H123" i="14"/>
  <c r="I123" i="14" s="1"/>
  <c r="D123" i="14"/>
  <c r="H121" i="14"/>
  <c r="I121" i="14" s="1"/>
  <c r="D121" i="14"/>
  <c r="H119" i="14"/>
  <c r="I119" i="14" s="1"/>
  <c r="D119" i="14"/>
  <c r="H117" i="14"/>
  <c r="I117" i="14" s="1"/>
  <c r="D117" i="14"/>
  <c r="H115" i="14"/>
  <c r="I115" i="14" s="1"/>
  <c r="D115" i="14"/>
  <c r="H113" i="14"/>
  <c r="I113" i="14" s="1"/>
  <c r="D113" i="14"/>
  <c r="H111" i="14"/>
  <c r="I111" i="14" s="1"/>
  <c r="D111" i="14"/>
  <c r="H109" i="14"/>
  <c r="I109" i="14" s="1"/>
  <c r="D109" i="14"/>
  <c r="H107" i="14"/>
  <c r="I107" i="14" s="1"/>
  <c r="D107" i="14"/>
  <c r="H105" i="14"/>
  <c r="I105" i="14" s="1"/>
  <c r="D105" i="14"/>
  <c r="H103" i="14"/>
  <c r="I103" i="14" s="1"/>
  <c r="D103" i="14"/>
  <c r="H101" i="14"/>
  <c r="I101" i="14" s="1"/>
  <c r="D101" i="14"/>
  <c r="H99" i="14"/>
  <c r="I99" i="14" s="1"/>
  <c r="D99" i="14"/>
  <c r="H97" i="14"/>
  <c r="I97" i="14" s="1"/>
  <c r="D97" i="14"/>
  <c r="H95" i="14"/>
  <c r="I95" i="14" s="1"/>
  <c r="D95" i="14"/>
  <c r="H93" i="14"/>
  <c r="I93" i="14" s="1"/>
  <c r="D93" i="14"/>
  <c r="H91" i="14"/>
  <c r="I91" i="14" s="1"/>
  <c r="D91" i="14"/>
  <c r="H89" i="14"/>
  <c r="I89" i="14" s="1"/>
  <c r="D89" i="14"/>
  <c r="H87" i="14"/>
  <c r="I87" i="14" s="1"/>
  <c r="D87" i="14"/>
  <c r="H85" i="14"/>
  <c r="I85" i="14" s="1"/>
  <c r="D85" i="14"/>
  <c r="H83" i="14"/>
  <c r="I83" i="14" s="1"/>
  <c r="D83" i="14"/>
  <c r="H81" i="14"/>
  <c r="I81" i="14" s="1"/>
  <c r="D81" i="14"/>
  <c r="H79" i="14"/>
  <c r="I79" i="14" s="1"/>
  <c r="D79" i="14"/>
  <c r="H77" i="14"/>
  <c r="I77" i="14" s="1"/>
  <c r="D77" i="14"/>
  <c r="H75" i="14"/>
  <c r="I75" i="14" s="1"/>
  <c r="D75" i="14"/>
  <c r="H73" i="14"/>
  <c r="I73" i="14" s="1"/>
  <c r="D73" i="14"/>
  <c r="H71" i="14"/>
  <c r="I71" i="14" s="1"/>
  <c r="D71" i="14"/>
  <c r="H69" i="14"/>
  <c r="I69" i="14" s="1"/>
  <c r="D69" i="14"/>
  <c r="H67" i="14"/>
  <c r="I67" i="14" s="1"/>
  <c r="D67" i="14"/>
  <c r="H65" i="14"/>
  <c r="I65" i="14" s="1"/>
  <c r="D65" i="14"/>
  <c r="H63" i="14"/>
  <c r="I63" i="14" s="1"/>
  <c r="D63" i="14"/>
  <c r="H61" i="14"/>
  <c r="I61" i="14" s="1"/>
  <c r="D61" i="14"/>
  <c r="H59" i="14"/>
  <c r="I59" i="14" s="1"/>
  <c r="D59" i="14"/>
  <c r="H57" i="14"/>
  <c r="I57" i="14" s="1"/>
  <c r="D57" i="14"/>
  <c r="H53" i="14"/>
  <c r="I53" i="14" s="1"/>
  <c r="D53" i="14"/>
  <c r="H51" i="14"/>
  <c r="I51" i="14" s="1"/>
  <c r="D51" i="14"/>
  <c r="H49" i="14"/>
  <c r="I49" i="14" s="1"/>
  <c r="D49" i="14"/>
  <c r="H47" i="14"/>
  <c r="I47" i="14" s="1"/>
  <c r="D47" i="14"/>
  <c r="H45" i="14"/>
  <c r="I45" i="14" s="1"/>
  <c r="D45" i="14"/>
  <c r="H43" i="14"/>
  <c r="I43" i="14" s="1"/>
  <c r="D43" i="14"/>
  <c r="H41" i="14"/>
  <c r="I41" i="14" s="1"/>
  <c r="D41" i="14"/>
  <c r="H39" i="14"/>
  <c r="I39" i="14" s="1"/>
  <c r="D39" i="14"/>
  <c r="H35" i="14"/>
  <c r="I35" i="14" s="1"/>
  <c r="D35" i="14"/>
  <c r="H33" i="14"/>
  <c r="I33" i="14" s="1"/>
  <c r="D33" i="14"/>
  <c r="H31" i="14"/>
  <c r="I31" i="14" s="1"/>
  <c r="D31" i="14"/>
  <c r="H29" i="14"/>
  <c r="I29" i="14" s="1"/>
  <c r="D29" i="14"/>
  <c r="H27" i="14"/>
  <c r="I27" i="14" s="1"/>
  <c r="D27" i="14"/>
  <c r="H25" i="14"/>
  <c r="I25" i="14" s="1"/>
  <c r="D25" i="14"/>
  <c r="H23" i="14"/>
  <c r="I23" i="14" s="1"/>
  <c r="D23" i="14"/>
  <c r="H21" i="14"/>
  <c r="I21" i="14" s="1"/>
  <c r="D21" i="14"/>
  <c r="H19" i="14"/>
  <c r="I19" i="14" s="1"/>
  <c r="D19" i="14"/>
  <c r="H17" i="14"/>
  <c r="I17" i="14" s="1"/>
  <c r="D17" i="14"/>
  <c r="H15" i="14"/>
  <c r="I15" i="14" s="1"/>
  <c r="D15" i="14"/>
  <c r="H13" i="14"/>
  <c r="I13" i="14" s="1"/>
  <c r="D13" i="14"/>
  <c r="H9" i="14"/>
  <c r="I9" i="14" s="1"/>
  <c r="H7" i="14"/>
  <c r="I7" i="14" s="1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71" i="12"/>
  <c r="D69" i="12"/>
  <c r="D67" i="12"/>
  <c r="D65" i="12"/>
  <c r="D63" i="12"/>
  <c r="D61" i="12"/>
  <c r="D59" i="12"/>
  <c r="D57" i="12"/>
  <c r="D55" i="12"/>
  <c r="D53" i="12"/>
  <c r="D51" i="12"/>
  <c r="D49" i="12"/>
  <c r="D47" i="12"/>
  <c r="D45" i="12"/>
  <c r="D43" i="12"/>
  <c r="D41" i="12"/>
  <c r="G70" i="12"/>
  <c r="H70" i="12" s="1"/>
  <c r="I70" i="12" s="1"/>
  <c r="D70" i="12"/>
  <c r="G68" i="12"/>
  <c r="H68" i="12" s="1"/>
  <c r="I68" i="12" s="1"/>
  <c r="D68" i="12"/>
  <c r="G66" i="12"/>
  <c r="H66" i="12" s="1"/>
  <c r="I66" i="12" s="1"/>
  <c r="D66" i="12"/>
  <c r="G64" i="12"/>
  <c r="H64" i="12" s="1"/>
  <c r="I64" i="12" s="1"/>
  <c r="D64" i="12"/>
  <c r="G62" i="12"/>
  <c r="H62" i="12" s="1"/>
  <c r="I62" i="12" s="1"/>
  <c r="D62" i="12"/>
  <c r="G60" i="12"/>
  <c r="H60" i="12" s="1"/>
  <c r="I60" i="12" s="1"/>
  <c r="D60" i="12"/>
  <c r="G58" i="12"/>
  <c r="H58" i="12" s="1"/>
  <c r="I58" i="12" s="1"/>
  <c r="D58" i="12"/>
  <c r="G56" i="12"/>
  <c r="H56" i="12" s="1"/>
  <c r="I56" i="12" s="1"/>
  <c r="D56" i="12"/>
  <c r="G54" i="12"/>
  <c r="H54" i="12" s="1"/>
  <c r="I54" i="12" s="1"/>
  <c r="D54" i="12"/>
  <c r="G52" i="12"/>
  <c r="H52" i="12" s="1"/>
  <c r="I52" i="12" s="1"/>
  <c r="D52" i="12"/>
  <c r="G50" i="12"/>
  <c r="H50" i="12" s="1"/>
  <c r="I50" i="12" s="1"/>
  <c r="D50" i="12"/>
  <c r="G48" i="12"/>
  <c r="H48" i="12" s="1"/>
  <c r="I48" i="12" s="1"/>
  <c r="D48" i="12"/>
  <c r="G44" i="12"/>
  <c r="H44" i="12" s="1"/>
  <c r="I44" i="12" s="1"/>
  <c r="D44" i="12"/>
  <c r="G42" i="12"/>
  <c r="H42" i="12" s="1"/>
  <c r="I42" i="12" s="1"/>
  <c r="D42" i="12"/>
  <c r="G40" i="12"/>
  <c r="H40" i="12" s="1"/>
  <c r="I40" i="12" s="1"/>
  <c r="D40" i="12"/>
  <c r="D38" i="12"/>
  <c r="D36" i="12"/>
  <c r="D34" i="12"/>
  <c r="D32" i="12"/>
  <c r="D30" i="12"/>
  <c r="D28" i="12"/>
  <c r="D26" i="12"/>
  <c r="D24" i="12"/>
  <c r="D22" i="12"/>
  <c r="D20" i="12"/>
  <c r="D18" i="12"/>
  <c r="D16" i="12"/>
  <c r="D14" i="12"/>
  <c r="D12" i="12"/>
  <c r="D10" i="12"/>
  <c r="D8" i="12"/>
  <c r="G37" i="12"/>
  <c r="H37" i="12" s="1"/>
  <c r="I37" i="12" s="1"/>
  <c r="D37" i="12"/>
  <c r="G35" i="12"/>
  <c r="H35" i="12" s="1"/>
  <c r="I35" i="12" s="1"/>
  <c r="D35" i="12"/>
  <c r="H33" i="12"/>
  <c r="I33" i="12" s="1"/>
  <c r="D33" i="12"/>
  <c r="H31" i="12"/>
  <c r="I31" i="12" s="1"/>
  <c r="D31" i="12"/>
  <c r="G29" i="12"/>
  <c r="H29" i="12" s="1"/>
  <c r="I29" i="12" s="1"/>
  <c r="D29" i="12"/>
  <c r="H27" i="12"/>
  <c r="I27" i="12" s="1"/>
  <c r="D27" i="12"/>
  <c r="G25" i="12"/>
  <c r="H25" i="12" s="1"/>
  <c r="I25" i="12" s="1"/>
  <c r="D25" i="12"/>
  <c r="H23" i="12"/>
  <c r="I23" i="12" s="1"/>
  <c r="D23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6" i="7"/>
  <c r="E126" i="7"/>
  <c r="E82" i="7"/>
  <c r="E72" i="7"/>
  <c r="G136" i="7"/>
  <c r="G132" i="7"/>
  <c r="G126" i="7"/>
  <c r="H126" i="7" s="1"/>
  <c r="G117" i="7"/>
  <c r="G116" i="7"/>
  <c r="G111" i="7"/>
  <c r="G110" i="7"/>
  <c r="G109" i="7"/>
  <c r="G108" i="7"/>
  <c r="G100" i="7"/>
  <c r="G91" i="7"/>
  <c r="G82" i="7"/>
  <c r="H82" i="7" s="1"/>
  <c r="H72" i="7"/>
  <c r="H52" i="7"/>
  <c r="C380" i="1"/>
  <c r="D142" i="7"/>
  <c r="D141" i="7"/>
  <c r="D144" i="7"/>
  <c r="D143" i="7"/>
  <c r="H23" i="7"/>
  <c r="H132" i="7"/>
  <c r="I132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6" i="7"/>
  <c r="I76" i="7" s="1"/>
  <c r="H117" i="7"/>
  <c r="I117" i="7" s="1"/>
  <c r="I23" i="7"/>
  <c r="H75" i="7"/>
  <c r="I75" i="7" s="1"/>
  <c r="H90" i="7"/>
  <c r="I90" i="7" s="1"/>
  <c r="H108" i="7"/>
  <c r="I108" i="7" s="1"/>
  <c r="H116" i="7"/>
  <c r="I116" i="7" s="1"/>
  <c r="H7" i="7"/>
  <c r="I7" i="7" s="1"/>
  <c r="H91" i="7"/>
  <c r="I91" i="7" s="1"/>
  <c r="H20" i="7"/>
  <c r="I20" i="7" s="1"/>
  <c r="H50" i="7"/>
  <c r="I50" i="7" s="1"/>
  <c r="H84" i="7"/>
  <c r="I84" i="7" s="1"/>
  <c r="H100" i="7"/>
  <c r="I100" i="7" s="1"/>
  <c r="H111" i="7"/>
  <c r="I111" i="7" s="1"/>
  <c r="H38" i="7"/>
  <c r="I38" i="7" s="1"/>
  <c r="H109" i="7"/>
  <c r="I109" i="7" s="1"/>
  <c r="H14" i="7"/>
  <c r="I14" i="7" s="1"/>
  <c r="H44" i="7"/>
  <c r="I44" i="7" s="1"/>
  <c r="H92" i="7"/>
  <c r="I92" i="7" s="1"/>
  <c r="H110" i="7"/>
  <c r="I110" i="7" s="1"/>
  <c r="E3" i="15"/>
  <c r="D3" i="14"/>
  <c r="D3" i="12"/>
  <c r="D132" i="7"/>
  <c r="D131" i="7"/>
  <c r="D129" i="7"/>
  <c r="G115" i="7"/>
  <c r="C398" i="1"/>
  <c r="C403" i="1"/>
  <c r="D87" i="7"/>
  <c r="D86" i="7"/>
  <c r="D85" i="7"/>
  <c r="D84" i="7"/>
  <c r="D83" i="7"/>
  <c r="D63" i="7"/>
  <c r="C52" i="1"/>
  <c r="C59" i="1"/>
  <c r="C48" i="1"/>
  <c r="C44" i="1"/>
  <c r="C28" i="1"/>
  <c r="C31" i="1"/>
  <c r="G128" i="7" s="1"/>
  <c r="D128" i="7"/>
  <c r="D127" i="7"/>
  <c r="D125" i="7"/>
  <c r="D122" i="7"/>
  <c r="D121" i="7"/>
  <c r="D117" i="7"/>
  <c r="D116" i="7"/>
  <c r="D115" i="7"/>
  <c r="D114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76" i="7"/>
  <c r="D75" i="7"/>
  <c r="D74" i="7"/>
  <c r="D73" i="7"/>
  <c r="D59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1" i="7"/>
  <c r="D9" i="7"/>
  <c r="D8" i="7"/>
  <c r="D7" i="7"/>
  <c r="H128" i="7"/>
  <c r="G17" i="13" l="1"/>
  <c r="H17" i="13" s="1"/>
  <c r="I17" i="13" s="1"/>
  <c r="G85" i="7"/>
  <c r="G16" i="7"/>
  <c r="G11" i="13"/>
  <c r="H11" i="13" s="1"/>
  <c r="I11" i="13" s="1"/>
  <c r="G19" i="7"/>
  <c r="G12" i="13"/>
  <c r="G63" i="7"/>
  <c r="H63" i="7" s="1"/>
  <c r="I63" i="7" s="1"/>
  <c r="G53" i="7"/>
  <c r="G86" i="7"/>
  <c r="G64" i="7"/>
  <c r="H64" i="7" s="1"/>
  <c r="I64" i="7" s="1"/>
  <c r="G24" i="7"/>
  <c r="G30" i="7"/>
  <c r="G25" i="7"/>
  <c r="G22" i="7"/>
  <c r="G16" i="13"/>
  <c r="H16" i="13" s="1"/>
  <c r="I16" i="13" s="1"/>
  <c r="G10" i="13"/>
  <c r="H10" i="13" s="1"/>
  <c r="I10" i="13" s="1"/>
  <c r="H8" i="7"/>
  <c r="I8" i="7" s="1"/>
  <c r="A8" i="7" s="1"/>
  <c r="H115" i="7"/>
  <c r="I115" i="7" s="1"/>
  <c r="I128" i="7"/>
  <c r="C34" i="1"/>
  <c r="G95" i="7"/>
  <c r="G105" i="7"/>
  <c r="G94" i="7"/>
  <c r="G89" i="7"/>
  <c r="G102" i="7"/>
  <c r="G93" i="7"/>
  <c r="G103" i="7"/>
  <c r="G99" i="7"/>
  <c r="G131" i="7"/>
  <c r="D3" i="7"/>
  <c r="C382" i="1"/>
  <c r="C379" i="1" s="1"/>
  <c r="C381" i="1" s="1"/>
  <c r="C359" i="1"/>
  <c r="G83" i="7" s="1"/>
  <c r="C404" i="1"/>
  <c r="C219" i="1"/>
  <c r="G162" i="7" s="1"/>
  <c r="C179" i="1"/>
  <c r="G55" i="7" s="1"/>
  <c r="G56" i="7"/>
  <c r="C57" i="1"/>
  <c r="C36" i="1"/>
  <c r="G134" i="7" s="1"/>
  <c r="H131" i="7"/>
  <c r="H25" i="7"/>
  <c r="H24" i="7"/>
  <c r="G8" i="18" l="1"/>
  <c r="H8" i="18" s="1"/>
  <c r="I8" i="18" s="1"/>
  <c r="A8" i="18" s="1"/>
  <c r="G68" i="7"/>
  <c r="H68" i="7" s="1"/>
  <c r="I68" i="7" s="1"/>
  <c r="G460" i="19"/>
  <c r="H460" i="19" s="1"/>
  <c r="G451" i="19"/>
  <c r="H451" i="19" s="1"/>
  <c r="G442" i="19"/>
  <c r="G430" i="19"/>
  <c r="H430" i="19" s="1"/>
  <c r="G469" i="19"/>
  <c r="H469" i="19" s="1"/>
  <c r="G487" i="19"/>
  <c r="H487" i="19" s="1"/>
  <c r="G418" i="19"/>
  <c r="G406" i="19"/>
  <c r="G400" i="19"/>
  <c r="H400" i="19" s="1"/>
  <c r="G388" i="19"/>
  <c r="H388" i="19" s="1"/>
  <c r="G376" i="19"/>
  <c r="H376" i="19" s="1"/>
  <c r="G370" i="19"/>
  <c r="H370" i="19" s="1"/>
  <c r="G364" i="19"/>
  <c r="H364" i="19" s="1"/>
  <c r="G352" i="19"/>
  <c r="H352" i="19" s="1"/>
  <c r="G316" i="19"/>
  <c r="H316" i="19" s="1"/>
  <c r="G304" i="19"/>
  <c r="H304" i="19" s="1"/>
  <c r="G292" i="19"/>
  <c r="H292" i="19" s="1"/>
  <c r="G283" i="19"/>
  <c r="H283" i="19" s="1"/>
  <c r="G265" i="19"/>
  <c r="H265" i="19" s="1"/>
  <c r="G259" i="19"/>
  <c r="H259" i="19" s="1"/>
  <c r="G256" i="19"/>
  <c r="H256" i="19" s="1"/>
  <c r="G241" i="19"/>
  <c r="H241" i="19" s="1"/>
  <c r="G232" i="19"/>
  <c r="H232" i="19" s="1"/>
  <c r="G220" i="19"/>
  <c r="H220" i="19" s="1"/>
  <c r="G208" i="19"/>
  <c r="H208" i="19" s="1"/>
  <c r="G199" i="19"/>
  <c r="H199" i="19" s="1"/>
  <c r="G190" i="19"/>
  <c r="H190" i="19" s="1"/>
  <c r="G439" i="19"/>
  <c r="H439" i="19" s="1"/>
  <c r="G478" i="19"/>
  <c r="H478" i="19" s="1"/>
  <c r="G484" i="19"/>
  <c r="H484" i="19" s="1"/>
  <c r="G424" i="19"/>
  <c r="H424" i="19" s="1"/>
  <c r="G403" i="19"/>
  <c r="H403" i="19" s="1"/>
  <c r="G397" i="19"/>
  <c r="H397" i="19" s="1"/>
  <c r="G391" i="19"/>
  <c r="H391" i="19" s="1"/>
  <c r="G361" i="19"/>
  <c r="H361" i="19" s="1"/>
  <c r="G349" i="19"/>
  <c r="H349" i="19" s="1"/>
  <c r="G334" i="19"/>
  <c r="H334" i="19" s="1"/>
  <c r="G328" i="19"/>
  <c r="H328" i="19" s="1"/>
  <c r="G322" i="19"/>
  <c r="G313" i="19"/>
  <c r="H313" i="19" s="1"/>
  <c r="G301" i="19"/>
  <c r="H301" i="19" s="1"/>
  <c r="G289" i="19"/>
  <c r="H289" i="19" s="1"/>
  <c r="G253" i="19"/>
  <c r="H253" i="19" s="1"/>
  <c r="G247" i="19"/>
  <c r="H247" i="19" s="1"/>
  <c r="G238" i="19"/>
  <c r="G229" i="19"/>
  <c r="H229" i="19" s="1"/>
  <c r="G217" i="19"/>
  <c r="H217" i="19" s="1"/>
  <c r="G205" i="19"/>
  <c r="H205" i="19" s="1"/>
  <c r="G187" i="19"/>
  <c r="H187" i="19" s="1"/>
  <c r="G184" i="19"/>
  <c r="G433" i="19"/>
  <c r="H433" i="19" s="1"/>
  <c r="G421" i="19"/>
  <c r="H421" i="19" s="1"/>
  <c r="G409" i="19"/>
  <c r="H409" i="19" s="1"/>
  <c r="G394" i="19"/>
  <c r="H394" i="19" s="1"/>
  <c r="G379" i="19"/>
  <c r="H379" i="19" s="1"/>
  <c r="G373" i="19"/>
  <c r="H373" i="19" s="1"/>
  <c r="G355" i="19"/>
  <c r="H355" i="19" s="1"/>
  <c r="G337" i="19"/>
  <c r="H337" i="19" s="1"/>
  <c r="G325" i="19"/>
  <c r="H325" i="19" s="1"/>
  <c r="G340" i="19"/>
  <c r="H340" i="19" s="1"/>
  <c r="G307" i="19"/>
  <c r="H307" i="19" s="1"/>
  <c r="G277" i="19"/>
  <c r="H277" i="19" s="1"/>
  <c r="G268" i="19"/>
  <c r="H268" i="19" s="1"/>
  <c r="G235" i="19"/>
  <c r="H235" i="19" s="1"/>
  <c r="G211" i="19"/>
  <c r="H211" i="19" s="1"/>
  <c r="G172" i="19"/>
  <c r="G202" i="19"/>
  <c r="H202" i="19" s="1"/>
  <c r="G175" i="19"/>
  <c r="H175" i="19" s="1"/>
  <c r="G169" i="19"/>
  <c r="G157" i="19"/>
  <c r="G145" i="19"/>
  <c r="G142" i="19"/>
  <c r="H142" i="19" s="1"/>
  <c r="G136" i="19"/>
  <c r="H136" i="19" s="1"/>
  <c r="G121" i="19"/>
  <c r="G109" i="19"/>
  <c r="G103" i="19"/>
  <c r="G436" i="19"/>
  <c r="H436" i="19" s="1"/>
  <c r="G427" i="19"/>
  <c r="H427" i="19" s="1"/>
  <c r="G463" i="19"/>
  <c r="H463" i="19" s="1"/>
  <c r="G466" i="19"/>
  <c r="H466" i="19" s="1"/>
  <c r="G490" i="19"/>
  <c r="H490" i="19" s="1"/>
  <c r="G412" i="19"/>
  <c r="H412" i="19" s="1"/>
  <c r="G358" i="19"/>
  <c r="G319" i="19"/>
  <c r="H319" i="19" s="1"/>
  <c r="G310" i="19"/>
  <c r="H310" i="19" s="1"/>
  <c r="G295" i="19"/>
  <c r="H295" i="19" s="1"/>
  <c r="G280" i="19"/>
  <c r="H280" i="19" s="1"/>
  <c r="G271" i="19"/>
  <c r="H271" i="19" s="1"/>
  <c r="G262" i="19"/>
  <c r="H262" i="19" s="1"/>
  <c r="G244" i="19"/>
  <c r="H244" i="19" s="1"/>
  <c r="G214" i="19"/>
  <c r="H214" i="19" s="1"/>
  <c r="G181" i="19"/>
  <c r="H181" i="19" s="1"/>
  <c r="G166" i="19"/>
  <c r="H166" i="19" s="1"/>
  <c r="G154" i="19"/>
  <c r="H154" i="19" s="1"/>
  <c r="G151" i="19"/>
  <c r="G133" i="19"/>
  <c r="G118" i="19"/>
  <c r="H118" i="19" s="1"/>
  <c r="G100" i="19"/>
  <c r="H100" i="19" s="1"/>
  <c r="G94" i="19"/>
  <c r="H94" i="19" s="1"/>
  <c r="G448" i="19"/>
  <c r="H448" i="19" s="1"/>
  <c r="G472" i="19"/>
  <c r="H472" i="19" s="1"/>
  <c r="G481" i="19"/>
  <c r="H481" i="19" s="1"/>
  <c r="G385" i="19"/>
  <c r="H385" i="19" s="1"/>
  <c r="G274" i="19"/>
  <c r="H274" i="19" s="1"/>
  <c r="G226" i="19"/>
  <c r="H226" i="19" s="1"/>
  <c r="G196" i="19"/>
  <c r="H196" i="19" s="1"/>
  <c r="G127" i="19"/>
  <c r="G82" i="19"/>
  <c r="G76" i="19"/>
  <c r="G70" i="19"/>
  <c r="G61" i="19"/>
  <c r="G52" i="19"/>
  <c r="G49" i="19"/>
  <c r="G31" i="19"/>
  <c r="G10" i="19"/>
  <c r="G445" i="19"/>
  <c r="H445" i="19" s="1"/>
  <c r="G382" i="19"/>
  <c r="G367" i="19"/>
  <c r="H367" i="19" s="1"/>
  <c r="G331" i="19"/>
  <c r="H331" i="19" s="1"/>
  <c r="G223" i="19"/>
  <c r="H223" i="19" s="1"/>
  <c r="G193" i="19"/>
  <c r="H193" i="19" s="1"/>
  <c r="G163" i="19"/>
  <c r="G148" i="19"/>
  <c r="H148" i="19" s="1"/>
  <c r="G139" i="19"/>
  <c r="G115" i="19"/>
  <c r="G91" i="19"/>
  <c r="G88" i="19"/>
  <c r="H88" i="19" s="1"/>
  <c r="G43" i="19"/>
  <c r="G25" i="19"/>
  <c r="G19" i="19"/>
  <c r="G13" i="19"/>
  <c r="G457" i="19"/>
  <c r="H457" i="19" s="1"/>
  <c r="G475" i="19"/>
  <c r="H475" i="19" s="1"/>
  <c r="G346" i="19"/>
  <c r="H346" i="19" s="1"/>
  <c r="G298" i="19"/>
  <c r="H298" i="19" s="1"/>
  <c r="G250" i="19"/>
  <c r="G178" i="19"/>
  <c r="H178" i="19" s="1"/>
  <c r="G160" i="19"/>
  <c r="H160" i="19" s="1"/>
  <c r="G112" i="19"/>
  <c r="H112" i="19" s="1"/>
  <c r="G106" i="19"/>
  <c r="H106" i="19" s="1"/>
  <c r="G73" i="19"/>
  <c r="G85" i="19"/>
  <c r="G40" i="19"/>
  <c r="G16" i="19"/>
  <c r="G454" i="19"/>
  <c r="H454" i="19" s="1"/>
  <c r="G343" i="19"/>
  <c r="H343" i="19" s="1"/>
  <c r="G286" i="19"/>
  <c r="H286" i="19" s="1"/>
  <c r="G124" i="19"/>
  <c r="H124" i="19" s="1"/>
  <c r="G130" i="19"/>
  <c r="H130" i="19" s="1"/>
  <c r="G97" i="19"/>
  <c r="G79" i="19"/>
  <c r="G67" i="19"/>
  <c r="G58" i="19"/>
  <c r="G55" i="19"/>
  <c r="G37" i="19"/>
  <c r="G28" i="19"/>
  <c r="G22" i="19"/>
  <c r="G415" i="19"/>
  <c r="H415" i="19" s="1"/>
  <c r="G64" i="19"/>
  <c r="G46" i="19"/>
  <c r="G34" i="19"/>
  <c r="G9" i="13"/>
  <c r="H9" i="13" s="1"/>
  <c r="I9" i="13" s="1"/>
  <c r="G169" i="18"/>
  <c r="H169" i="18" s="1"/>
  <c r="G163" i="18"/>
  <c r="H163" i="18" s="1"/>
  <c r="G159" i="18"/>
  <c r="H159" i="18" s="1"/>
  <c r="G155" i="18"/>
  <c r="H155" i="18" s="1"/>
  <c r="G151" i="18"/>
  <c r="H151" i="18" s="1"/>
  <c r="G147" i="18"/>
  <c r="H147" i="18" s="1"/>
  <c r="G143" i="18"/>
  <c r="H143" i="18" s="1"/>
  <c r="G139" i="18"/>
  <c r="H139" i="18" s="1"/>
  <c r="G135" i="18"/>
  <c r="H135" i="18" s="1"/>
  <c r="G131" i="18"/>
  <c r="H131" i="18" s="1"/>
  <c r="G127" i="18"/>
  <c r="H127" i="18" s="1"/>
  <c r="G111" i="18"/>
  <c r="H111" i="18" s="1"/>
  <c r="G99" i="18"/>
  <c r="H99" i="18" s="1"/>
  <c r="G95" i="18"/>
  <c r="H95" i="18" s="1"/>
  <c r="G91" i="18"/>
  <c r="H91" i="18" s="1"/>
  <c r="G85" i="18"/>
  <c r="H85" i="18" s="1"/>
  <c r="G83" i="18"/>
  <c r="H83" i="18" s="1"/>
  <c r="G79" i="18"/>
  <c r="H79" i="18" s="1"/>
  <c r="G73" i="18"/>
  <c r="H73" i="18" s="1"/>
  <c r="G55" i="18"/>
  <c r="G69" i="18"/>
  <c r="H69" i="18" s="1"/>
  <c r="G61" i="18"/>
  <c r="H61" i="18" s="1"/>
  <c r="G51" i="18"/>
  <c r="G47" i="18"/>
  <c r="G43" i="18"/>
  <c r="G23" i="18"/>
  <c r="G13" i="18"/>
  <c r="G165" i="18"/>
  <c r="H165" i="18" s="1"/>
  <c r="G153" i="18"/>
  <c r="H153" i="18" s="1"/>
  <c r="G137" i="18"/>
  <c r="H137" i="18" s="1"/>
  <c r="G121" i="18"/>
  <c r="H121" i="18" s="1"/>
  <c r="G101" i="18"/>
  <c r="H101" i="18" s="1"/>
  <c r="G109" i="18"/>
  <c r="H109" i="18" s="1"/>
  <c r="G97" i="18"/>
  <c r="H97" i="18" s="1"/>
  <c r="G75" i="18"/>
  <c r="H75" i="18" s="1"/>
  <c r="G71" i="18"/>
  <c r="H71" i="18" s="1"/>
  <c r="G59" i="18"/>
  <c r="H59" i="18" s="1"/>
  <c r="G49" i="18"/>
  <c r="G37" i="18"/>
  <c r="G27" i="18"/>
  <c r="G21" i="18"/>
  <c r="G167" i="18"/>
  <c r="H167" i="18" s="1"/>
  <c r="G149" i="18"/>
  <c r="H149" i="18" s="1"/>
  <c r="G133" i="18"/>
  <c r="H133" i="18" s="1"/>
  <c r="G123" i="18"/>
  <c r="H123" i="18" s="1"/>
  <c r="G113" i="18"/>
  <c r="H113" i="18" s="1"/>
  <c r="G93" i="18"/>
  <c r="H93" i="18" s="1"/>
  <c r="G63" i="18"/>
  <c r="H63" i="18" s="1"/>
  <c r="G45" i="18"/>
  <c r="G39" i="18"/>
  <c r="G33" i="18"/>
  <c r="G17" i="18"/>
  <c r="G161" i="18"/>
  <c r="H161" i="18" s="1"/>
  <c r="G145" i="18"/>
  <c r="H145" i="18" s="1"/>
  <c r="G129" i="18"/>
  <c r="H129" i="18" s="1"/>
  <c r="G103" i="18"/>
  <c r="H103" i="18" s="1"/>
  <c r="G115" i="18"/>
  <c r="H115" i="18" s="1"/>
  <c r="G105" i="18"/>
  <c r="H105" i="18" s="1"/>
  <c r="G87" i="18"/>
  <c r="H87" i="18" s="1"/>
  <c r="G77" i="18"/>
  <c r="H77" i="18" s="1"/>
  <c r="G65" i="18"/>
  <c r="H65" i="18" s="1"/>
  <c r="G53" i="18"/>
  <c r="G35" i="18"/>
  <c r="G29" i="18"/>
  <c r="G41" i="18"/>
  <c r="G15" i="18"/>
  <c r="G11" i="18"/>
  <c r="G9" i="18"/>
  <c r="G125" i="18"/>
  <c r="H125" i="18" s="1"/>
  <c r="G25" i="18"/>
  <c r="G57" i="18"/>
  <c r="G31" i="18"/>
  <c r="G157" i="18"/>
  <c r="H157" i="18" s="1"/>
  <c r="G107" i="18"/>
  <c r="H107" i="18" s="1"/>
  <c r="G81" i="18"/>
  <c r="H81" i="18" s="1"/>
  <c r="G67" i="18"/>
  <c r="H67" i="18" s="1"/>
  <c r="G141" i="18"/>
  <c r="H141" i="18" s="1"/>
  <c r="G119" i="18"/>
  <c r="H119" i="18" s="1"/>
  <c r="G117" i="18"/>
  <c r="H117" i="18" s="1"/>
  <c r="G89" i="18"/>
  <c r="H89" i="18" s="1"/>
  <c r="G19" i="18"/>
  <c r="H55" i="7"/>
  <c r="I55" i="7" s="1"/>
  <c r="H56" i="7"/>
  <c r="I56" i="7" s="1"/>
  <c r="H162" i="7"/>
  <c r="I162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9" i="13"/>
  <c r="H19" i="13" s="1"/>
  <c r="I19" i="13" s="1"/>
  <c r="G18" i="13"/>
  <c r="G8" i="13"/>
  <c r="H12" i="13"/>
  <c r="I12" i="13" s="1"/>
  <c r="H30" i="7"/>
  <c r="I30" i="7" s="1"/>
  <c r="H22" i="7"/>
  <c r="I22" i="7" s="1"/>
  <c r="H99" i="7"/>
  <c r="I99" i="7" s="1"/>
  <c r="H89" i="7"/>
  <c r="I89" i="7" s="1"/>
  <c r="I25" i="7"/>
  <c r="H103" i="7"/>
  <c r="I103" i="7" s="1"/>
  <c r="H94" i="7"/>
  <c r="I94" i="7" s="1"/>
  <c r="H102" i="7"/>
  <c r="I102" i="7" s="1"/>
  <c r="H95" i="7"/>
  <c r="I95" i="7" s="1"/>
  <c r="I24" i="7"/>
  <c r="I131" i="7"/>
  <c r="H93" i="7"/>
  <c r="I93" i="7" s="1"/>
  <c r="H105" i="7"/>
  <c r="I105" i="7" s="1"/>
  <c r="H53" i="7"/>
  <c r="I53" i="7" s="1"/>
  <c r="H86" i="7"/>
  <c r="I86" i="7" s="1"/>
  <c r="H85" i="7"/>
  <c r="I85" i="7" s="1"/>
  <c r="H19" i="7"/>
  <c r="I19" i="7" s="1"/>
  <c r="H16" i="7"/>
  <c r="I16" i="7" s="1"/>
  <c r="C38" i="1"/>
  <c r="C50" i="1"/>
  <c r="G106" i="7"/>
  <c r="C37" i="1"/>
  <c r="C35" i="1"/>
  <c r="G69" i="12"/>
  <c r="H69" i="12" s="1"/>
  <c r="I69" i="12" s="1"/>
  <c r="G61" i="12"/>
  <c r="H61" i="12" s="1"/>
  <c r="I61" i="12" s="1"/>
  <c r="G53" i="12"/>
  <c r="H53" i="12" s="1"/>
  <c r="I53" i="12" s="1"/>
  <c r="G45" i="12"/>
  <c r="H45" i="12" s="1"/>
  <c r="I45" i="12" s="1"/>
  <c r="G36" i="12"/>
  <c r="H36" i="12" s="1"/>
  <c r="I36" i="12" s="1"/>
  <c r="G28" i="12"/>
  <c r="H28" i="12" s="1"/>
  <c r="I28" i="12" s="1"/>
  <c r="G67" i="12"/>
  <c r="H67" i="12" s="1"/>
  <c r="I67" i="12" s="1"/>
  <c r="G59" i="12"/>
  <c r="H59" i="12" s="1"/>
  <c r="I59" i="12" s="1"/>
  <c r="G51" i="12"/>
  <c r="H51" i="12" s="1"/>
  <c r="I51" i="12" s="1"/>
  <c r="G43" i="12"/>
  <c r="H43" i="12" s="1"/>
  <c r="I43" i="12" s="1"/>
  <c r="G34" i="12"/>
  <c r="H34" i="12" s="1"/>
  <c r="I34" i="12" s="1"/>
  <c r="G26" i="12"/>
  <c r="H26" i="12" s="1"/>
  <c r="I26" i="12" s="1"/>
  <c r="G18" i="12"/>
  <c r="H18" i="12" s="1"/>
  <c r="I18" i="12" s="1"/>
  <c r="G65" i="12"/>
  <c r="H65" i="12" s="1"/>
  <c r="I65" i="12" s="1"/>
  <c r="G49" i="12"/>
  <c r="H49" i="12" s="1"/>
  <c r="I49" i="12" s="1"/>
  <c r="G41" i="12"/>
  <c r="H41" i="12" s="1"/>
  <c r="I41" i="12" s="1"/>
  <c r="G32" i="12"/>
  <c r="H32" i="12" s="1"/>
  <c r="I32" i="12" s="1"/>
  <c r="G24" i="12"/>
  <c r="H24" i="12" s="1"/>
  <c r="I24" i="12" s="1"/>
  <c r="G71" i="12"/>
  <c r="H71" i="12" s="1"/>
  <c r="I71" i="12" s="1"/>
  <c r="G63" i="12"/>
  <c r="H63" i="12" s="1"/>
  <c r="I63" i="12" s="1"/>
  <c r="G55" i="12"/>
  <c r="H55" i="12" s="1"/>
  <c r="I55" i="12" s="1"/>
  <c r="G47" i="12"/>
  <c r="H47" i="12" s="1"/>
  <c r="I47" i="12" s="1"/>
  <c r="G38" i="12"/>
  <c r="H38" i="12" s="1"/>
  <c r="I38" i="12" s="1"/>
  <c r="G30" i="12"/>
  <c r="H30" i="12" s="1"/>
  <c r="I30" i="12" s="1"/>
  <c r="G22" i="12"/>
  <c r="H22" i="12" s="1"/>
  <c r="I22" i="12" s="1"/>
  <c r="G14" i="12"/>
  <c r="H14" i="12" s="1"/>
  <c r="I14" i="12" s="1"/>
  <c r="G57" i="12"/>
  <c r="H57" i="12" s="1"/>
  <c r="I57" i="12" s="1"/>
  <c r="G97" i="7"/>
  <c r="G144" i="7"/>
  <c r="H144" i="7" s="1"/>
  <c r="G96" i="7"/>
  <c r="G142" i="7"/>
  <c r="H142" i="7" s="1"/>
  <c r="G98" i="7"/>
  <c r="H137" i="7"/>
  <c r="G143" i="7"/>
  <c r="H143" i="7" s="1"/>
  <c r="G141" i="7"/>
  <c r="H141" i="7" s="1"/>
  <c r="G129" i="7"/>
  <c r="H129" i="7"/>
  <c r="H134" i="7"/>
  <c r="H70" i="19" l="1"/>
  <c r="I70" i="19" s="1"/>
  <c r="H22" i="19"/>
  <c r="I22" i="19"/>
  <c r="H76" i="19"/>
  <c r="I76" i="19"/>
  <c r="H28" i="19"/>
  <c r="I28" i="19" s="1"/>
  <c r="H82" i="19"/>
  <c r="I82" i="19"/>
  <c r="H10" i="19"/>
  <c r="I10" i="19" s="1"/>
  <c r="A10" i="19" s="1"/>
  <c r="H34" i="19"/>
  <c r="I34" i="19" s="1"/>
  <c r="H46" i="19"/>
  <c r="I46" i="19"/>
  <c r="H16" i="19"/>
  <c r="I16" i="19"/>
  <c r="H52" i="19"/>
  <c r="I52" i="19" s="1"/>
  <c r="H58" i="19"/>
  <c r="I58" i="19" s="1"/>
  <c r="H64" i="19"/>
  <c r="I64" i="19" s="1"/>
  <c r="H40" i="19"/>
  <c r="I40" i="19"/>
  <c r="H55" i="18"/>
  <c r="I55" i="18" s="1"/>
  <c r="H45" i="18"/>
  <c r="I45" i="18"/>
  <c r="H47" i="18"/>
  <c r="I47" i="18"/>
  <c r="H13" i="18"/>
  <c r="I13" i="18" s="1"/>
  <c r="H41" i="18"/>
  <c r="I41" i="18"/>
  <c r="H43" i="18"/>
  <c r="I43" i="18"/>
  <c r="H57" i="18"/>
  <c r="I57" i="18" s="1"/>
  <c r="H51" i="18"/>
  <c r="I51" i="18"/>
  <c r="H53" i="18"/>
  <c r="I53" i="18"/>
  <c r="H49" i="18"/>
  <c r="I49" i="18" s="1"/>
  <c r="I134" i="7"/>
  <c r="H172" i="19"/>
  <c r="H184" i="19"/>
  <c r="H382" i="19"/>
  <c r="H238" i="19"/>
  <c r="H250" i="19"/>
  <c r="H406" i="19"/>
  <c r="H358" i="19"/>
  <c r="H322" i="19"/>
  <c r="H418" i="19"/>
  <c r="H442" i="19"/>
  <c r="H137" i="19"/>
  <c r="H149" i="19"/>
  <c r="H161" i="19"/>
  <c r="H11" i="18"/>
  <c r="I11" i="18" s="1"/>
  <c r="H35" i="18"/>
  <c r="I35" i="18" s="1"/>
  <c r="H33" i="18"/>
  <c r="I33" i="18" s="1"/>
  <c r="H37" i="18"/>
  <c r="I37" i="18" s="1"/>
  <c r="H17" i="19"/>
  <c r="I17" i="19" s="1"/>
  <c r="H25" i="19"/>
  <c r="I25" i="19" s="1"/>
  <c r="H33" i="19"/>
  <c r="I33" i="19" s="1"/>
  <c r="H41" i="19"/>
  <c r="I41" i="19" s="1"/>
  <c r="H49" i="19"/>
  <c r="I49" i="19" s="1"/>
  <c r="H57" i="19"/>
  <c r="I57" i="19" s="1"/>
  <c r="H65" i="19"/>
  <c r="I65" i="19" s="1"/>
  <c r="H73" i="19"/>
  <c r="I73" i="19" s="1"/>
  <c r="H81" i="19"/>
  <c r="I81" i="19" s="1"/>
  <c r="H89" i="19"/>
  <c r="H97" i="19"/>
  <c r="H105" i="19"/>
  <c r="H113" i="19"/>
  <c r="H123" i="19"/>
  <c r="H139" i="19"/>
  <c r="H155" i="19"/>
  <c r="H129" i="19"/>
  <c r="H31" i="18"/>
  <c r="I31" i="18" s="1"/>
  <c r="H141" i="19"/>
  <c r="H9" i="18"/>
  <c r="I9" i="18" s="1"/>
  <c r="A9" i="18" s="1"/>
  <c r="H29" i="18"/>
  <c r="I29" i="18" s="1"/>
  <c r="H17" i="18"/>
  <c r="I17" i="18" s="1"/>
  <c r="H27" i="18"/>
  <c r="I27" i="18" s="1"/>
  <c r="H15" i="19"/>
  <c r="I15" i="19" s="1"/>
  <c r="H23" i="19"/>
  <c r="I23" i="19" s="1"/>
  <c r="H31" i="19"/>
  <c r="I31" i="19" s="1"/>
  <c r="H39" i="19"/>
  <c r="I39" i="19" s="1"/>
  <c r="H47" i="19"/>
  <c r="I47" i="19" s="1"/>
  <c r="H55" i="19"/>
  <c r="I55" i="19" s="1"/>
  <c r="H63" i="19"/>
  <c r="I63" i="19" s="1"/>
  <c r="H71" i="19"/>
  <c r="I71" i="19" s="1"/>
  <c r="H79" i="19"/>
  <c r="I79" i="19" s="1"/>
  <c r="H87" i="19"/>
  <c r="H95" i="19"/>
  <c r="H103" i="19"/>
  <c r="H111" i="19"/>
  <c r="H119" i="19"/>
  <c r="H135" i="19"/>
  <c r="H151" i="19"/>
  <c r="H167" i="19"/>
  <c r="H121" i="19"/>
  <c r="H153" i="19"/>
  <c r="H133" i="19"/>
  <c r="H25" i="18"/>
  <c r="I25" i="18" s="1"/>
  <c r="H169" i="19"/>
  <c r="H21" i="18"/>
  <c r="I21" i="18" s="1"/>
  <c r="H13" i="19"/>
  <c r="I13" i="19" s="1"/>
  <c r="H21" i="19"/>
  <c r="I21" i="19" s="1"/>
  <c r="H29" i="19"/>
  <c r="I29" i="19" s="1"/>
  <c r="H37" i="19"/>
  <c r="I37" i="19" s="1"/>
  <c r="H45" i="19"/>
  <c r="I45" i="19" s="1"/>
  <c r="H53" i="19"/>
  <c r="I53" i="19" s="1"/>
  <c r="H61" i="19"/>
  <c r="I61" i="19" s="1"/>
  <c r="H69" i="19"/>
  <c r="I69" i="19" s="1"/>
  <c r="H77" i="19"/>
  <c r="I77" i="19" s="1"/>
  <c r="H85" i="19"/>
  <c r="H93" i="19"/>
  <c r="H101" i="19"/>
  <c r="H109" i="19"/>
  <c r="H117" i="19"/>
  <c r="H131" i="19"/>
  <c r="H147" i="19"/>
  <c r="H163" i="19"/>
  <c r="H19" i="18"/>
  <c r="I19" i="18" s="1"/>
  <c r="H145" i="19"/>
  <c r="H125" i="19"/>
  <c r="H157" i="19"/>
  <c r="H165" i="19"/>
  <c r="H15" i="18"/>
  <c r="I15" i="18" s="1"/>
  <c r="H39" i="18"/>
  <c r="I39" i="18" s="1"/>
  <c r="H11" i="19"/>
  <c r="I11" i="19" s="1"/>
  <c r="H19" i="19"/>
  <c r="I19" i="19" s="1"/>
  <c r="H27" i="19"/>
  <c r="I27" i="19" s="1"/>
  <c r="H35" i="19"/>
  <c r="I35" i="19" s="1"/>
  <c r="H43" i="19"/>
  <c r="I43" i="19" s="1"/>
  <c r="H51" i="19"/>
  <c r="I51" i="19" s="1"/>
  <c r="H59" i="19"/>
  <c r="I59" i="19" s="1"/>
  <c r="H67" i="19"/>
  <c r="I67" i="19" s="1"/>
  <c r="H75" i="19"/>
  <c r="I75" i="19" s="1"/>
  <c r="H83" i="19"/>
  <c r="I83" i="19" s="1"/>
  <c r="H91" i="19"/>
  <c r="H99" i="19"/>
  <c r="H107" i="19"/>
  <c r="H115" i="19"/>
  <c r="H127" i="19"/>
  <c r="H143" i="19"/>
  <c r="H159" i="19"/>
  <c r="H23" i="18"/>
  <c r="I23" i="18" s="1"/>
  <c r="H14" i="18"/>
  <c r="I14" i="18" s="1"/>
  <c r="H24" i="18"/>
  <c r="I24" i="18" s="1"/>
  <c r="H34" i="18"/>
  <c r="I34" i="18" s="1"/>
  <c r="H10" i="18"/>
  <c r="I10" i="18" s="1"/>
  <c r="H36" i="18"/>
  <c r="I36" i="18" s="1"/>
  <c r="H22" i="18"/>
  <c r="I22" i="18" s="1"/>
  <c r="H30" i="18"/>
  <c r="I30" i="18" s="1"/>
  <c r="H16" i="18"/>
  <c r="I16" i="18" s="1"/>
  <c r="H32" i="18"/>
  <c r="I32" i="18" s="1"/>
  <c r="H40" i="18"/>
  <c r="I40" i="18" s="1"/>
  <c r="H38" i="18"/>
  <c r="I38" i="18" s="1"/>
  <c r="H20" i="18"/>
  <c r="I20" i="18" s="1"/>
  <c r="H18" i="18"/>
  <c r="I18" i="18" s="1"/>
  <c r="H26" i="18"/>
  <c r="I26" i="18" s="1"/>
  <c r="H12" i="18"/>
  <c r="I12" i="18" s="1"/>
  <c r="H28" i="18"/>
  <c r="I28" i="18" s="1"/>
  <c r="G114" i="7"/>
  <c r="G101" i="7"/>
  <c r="A9" i="12"/>
  <c r="A10" i="12" s="1"/>
  <c r="G13" i="7"/>
  <c r="H13" i="7" s="1"/>
  <c r="I13" i="7" s="1"/>
  <c r="G11" i="7"/>
  <c r="C40" i="1"/>
  <c r="G31" i="7" s="1"/>
  <c r="G21" i="7"/>
  <c r="H21" i="7" s="1"/>
  <c r="I21" i="7" s="1"/>
  <c r="I141" i="7"/>
  <c r="I144" i="7"/>
  <c r="I143" i="7"/>
  <c r="I142" i="7"/>
  <c r="I137" i="7"/>
  <c r="H18" i="13"/>
  <c r="I18" i="13" s="1"/>
  <c r="H8" i="13"/>
  <c r="I8" i="13" s="1"/>
  <c r="A8" i="13" s="1"/>
  <c r="C39" i="1"/>
  <c r="G46" i="13" s="1"/>
  <c r="H46" i="13" s="1"/>
  <c r="I46" i="13" s="1"/>
  <c r="C53" i="1"/>
  <c r="H98" i="7"/>
  <c r="I98" i="7" s="1"/>
  <c r="H83" i="7"/>
  <c r="I83" i="7" s="1"/>
  <c r="H106" i="7"/>
  <c r="I106" i="7" s="1"/>
  <c r="H97" i="7"/>
  <c r="I97" i="7" s="1"/>
  <c r="H96" i="7"/>
  <c r="I96" i="7" s="1"/>
  <c r="H34" i="7"/>
  <c r="I34" i="7" s="1"/>
  <c r="I129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A10" i="18" l="1"/>
  <c r="A11" i="19"/>
  <c r="A12" i="19"/>
  <c r="A13" i="19" s="1"/>
  <c r="A14" i="19" s="1"/>
  <c r="A11" i="18"/>
  <c r="A12" i="18" s="1"/>
  <c r="A13" i="18" s="1"/>
  <c r="G57" i="7"/>
  <c r="H57" i="7" s="1"/>
  <c r="I57" i="7" s="1"/>
  <c r="G65" i="7"/>
  <c r="H65" i="7" s="1"/>
  <c r="I65" i="7" s="1"/>
  <c r="G161" i="7"/>
  <c r="H161" i="7" s="1"/>
  <c r="I161" i="7" s="1"/>
  <c r="G122" i="7"/>
  <c r="H31" i="7"/>
  <c r="I31" i="7" s="1"/>
  <c r="G21" i="13"/>
  <c r="H21" i="13" s="1"/>
  <c r="I21" i="13" s="1"/>
  <c r="G27" i="13"/>
  <c r="H27" i="13" s="1"/>
  <c r="I27" i="13" s="1"/>
  <c r="G104" i="7"/>
  <c r="H104" i="7" s="1"/>
  <c r="I104" i="7" s="1"/>
  <c r="G15" i="7"/>
  <c r="H15" i="7" s="1"/>
  <c r="I15" i="7" s="1"/>
  <c r="G14" i="13"/>
  <c r="G25" i="13"/>
  <c r="H25" i="13" s="1"/>
  <c r="I25" i="13" s="1"/>
  <c r="G123" i="7"/>
  <c r="H123" i="7" s="1"/>
  <c r="I123" i="7" s="1"/>
  <c r="G124" i="7"/>
  <c r="H124" i="7" s="1"/>
  <c r="I124" i="7" s="1"/>
  <c r="A11" i="12"/>
  <c r="A12" i="12" s="1"/>
  <c r="G43" i="7"/>
  <c r="H43" i="7" s="1"/>
  <c r="I43" i="7" s="1"/>
  <c r="G49" i="7"/>
  <c r="H49" i="7" s="1"/>
  <c r="I49" i="7" s="1"/>
  <c r="G73" i="7"/>
  <c r="H73" i="7" s="1"/>
  <c r="I73" i="7" s="1"/>
  <c r="G26" i="7"/>
  <c r="G74" i="7"/>
  <c r="H74" i="7" s="1"/>
  <c r="I74" i="7" s="1"/>
  <c r="G37" i="7"/>
  <c r="H37" i="7" s="1"/>
  <c r="I37" i="7" s="1"/>
  <c r="G121" i="7"/>
  <c r="H114" i="7"/>
  <c r="I114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7" i="7"/>
  <c r="I107" i="7" s="1"/>
  <c r="G127" i="7"/>
  <c r="C58" i="1"/>
  <c r="H101" i="7"/>
  <c r="I101" i="7" s="1"/>
  <c r="H11" i="7"/>
  <c r="I11" i="7" s="1"/>
  <c r="A11" i="7" s="1"/>
  <c r="H6" i="7"/>
  <c r="H121" i="7"/>
  <c r="H122" i="7"/>
  <c r="H44" i="13"/>
  <c r="H26" i="7"/>
  <c r="H127" i="7"/>
  <c r="A15" i="19" l="1"/>
  <c r="A16" i="19" s="1"/>
  <c r="A14" i="18"/>
  <c r="A15" i="18" s="1"/>
  <c r="A16" i="18" s="1"/>
  <c r="A12" i="7"/>
  <c r="A13" i="12"/>
  <c r="I122" i="7"/>
  <c r="I121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7" i="7"/>
  <c r="I26" i="7"/>
  <c r="A17" i="19" l="1"/>
  <c r="A18" i="19" s="1"/>
  <c r="A19" i="19"/>
  <c r="A20" i="19" s="1"/>
  <c r="A21" i="19" s="1"/>
  <c r="A22" i="19" s="1"/>
  <c r="A23" i="19" s="1"/>
  <c r="A17" i="18"/>
  <c r="A18" i="18" s="1"/>
  <c r="A19" i="18" s="1"/>
  <c r="A13" i="7"/>
  <c r="A14" i="12"/>
  <c r="A15" i="12" s="1"/>
  <c r="A12" i="13"/>
  <c r="A24" i="19" l="1"/>
  <c r="A25" i="19" s="1"/>
  <c r="A20" i="18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3" i="13"/>
  <c r="A14" i="13" s="1"/>
  <c r="A14" i="7"/>
  <c r="A15" i="7" s="1"/>
  <c r="A8" i="14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G72" i="12" s="1"/>
  <c r="H72" i="12" s="1"/>
  <c r="I72" i="12" s="1"/>
  <c r="A72" i="12" s="1"/>
  <c r="A26" i="19" l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16" i="7"/>
  <c r="A9" i="14"/>
  <c r="A10" i="14" s="1"/>
  <c r="A11" i="14" s="1"/>
  <c r="A12" i="14" s="1"/>
  <c r="A13" i="14" s="1"/>
  <c r="A14" i="14" s="1"/>
  <c r="A15" i="14" s="1"/>
  <c r="A15" i="13"/>
  <c r="A17" i="7" l="1"/>
  <c r="A16" i="14"/>
  <c r="A17" i="14" s="1"/>
  <c r="A18" i="14" s="1"/>
  <c r="A19" i="14" s="1"/>
  <c r="A20" i="14" s="1"/>
  <c r="A21" i="14" s="1"/>
  <c r="A22" i="14" s="1"/>
  <c r="A23" i="14" s="1"/>
  <c r="A16" i="13"/>
  <c r="A17" i="13" s="1"/>
  <c r="A18" i="13" s="1"/>
  <c r="A18" i="7" l="1"/>
  <c r="A19" i="7" s="1"/>
  <c r="A20" i="7" s="1"/>
  <c r="A21" i="7" s="1"/>
  <c r="A24" i="14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9" i="13"/>
  <c r="A20" i="13" s="1"/>
  <c r="A139" i="14" l="1"/>
  <c r="G140" i="14"/>
  <c r="H140" i="14" s="1"/>
  <c r="I140" i="14" s="1"/>
  <c r="A140" i="14" s="1"/>
  <c r="A22" i="7"/>
  <c r="A23" i="7" s="1"/>
  <c r="A21" i="13"/>
  <c r="A24" i="7" l="1"/>
  <c r="A25" i="7" s="1"/>
  <c r="A26" i="7" s="1"/>
  <c r="A29" i="7" s="1"/>
  <c r="A30" i="7" s="1"/>
  <c r="A31" i="7" s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32" i="7" l="1"/>
  <c r="A33" i="7" s="1"/>
  <c r="A34" i="7" l="1"/>
  <c r="A35" i="7" l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54" i="7" l="1"/>
  <c r="A55" i="7" l="1"/>
  <c r="A56" i="7" l="1"/>
  <c r="A57" i="7" l="1"/>
  <c r="A58" i="7" l="1"/>
  <c r="A59" i="7" l="1"/>
  <c r="A60" i="7" l="1"/>
  <c r="A61" i="7" l="1"/>
  <c r="A62" i="7"/>
  <c r="A63" i="7" s="1"/>
  <c r="A64" i="7" s="1"/>
  <c r="A65" i="7" s="1"/>
  <c r="A66" i="7" s="1"/>
  <c r="A67" i="7" s="1"/>
  <c r="A68" i="7" s="1"/>
  <c r="A69" i="7" l="1"/>
  <c r="A70" i="7" s="1"/>
  <c r="A73" i="7" s="1"/>
  <c r="A74" i="7" s="1"/>
  <c r="A75" i="7" s="1"/>
  <c r="A76" i="7" s="1"/>
  <c r="A77" i="7" s="1"/>
  <c r="A78" i="7" s="1"/>
  <c r="A79" i="7" s="1"/>
  <c r="A80" i="7" s="1"/>
  <c r="A83" i="7" l="1"/>
  <c r="A84" i="7" s="1"/>
  <c r="A85" i="7" s="1"/>
  <c r="A86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4" i="7" s="1"/>
  <c r="A115" i="7" s="1"/>
  <c r="A116" i="7" s="1"/>
  <c r="A117" i="7" s="1"/>
  <c r="A118" i="7" s="1"/>
  <c r="A121" i="7" s="1"/>
  <c r="A122" i="7" s="1"/>
  <c r="A123" i="7" s="1"/>
  <c r="A124" i="7" s="1"/>
  <c r="A127" i="7" s="1"/>
  <c r="A128" i="7" l="1"/>
  <c r="A129" i="7" s="1"/>
  <c r="A130" i="7" l="1"/>
  <c r="A131" i="7" s="1"/>
  <c r="A132" i="7" s="1"/>
  <c r="A133" i="7" s="1"/>
  <c r="A134" i="7" s="1"/>
  <c r="A137" i="7" l="1"/>
  <c r="A138" i="7" s="1"/>
  <c r="A139" i="7" s="1"/>
  <c r="A140" i="7" l="1"/>
  <c r="A141" i="7" s="1"/>
  <c r="A142" i="7" l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61" i="7" s="1"/>
  <c r="A162" i="7" s="1"/>
  <c r="H7" i="18" l="1"/>
  <c r="I7" i="18" s="1"/>
  <c r="H7" i="19"/>
  <c r="I7" i="19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1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7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8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36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36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36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36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36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37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37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37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7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9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40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41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41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MCL_INPUT_CALL_RATE_HZ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
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6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<sst xmlns="http://schemas.openxmlformats.org/spreadsheetml/2006/main" count="5720" uniqueCount="3144">
  <si>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</si>
  <si>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</si>
  <si>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</si>
  <si>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</si>
  <si>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</si>
  <si>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</si>
  <si>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</si>
  <si>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</si>
  <si>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</si>
  <si>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</si>
  <si>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</si>
  <si>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</si>
  <si>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</si>
  <si>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</si>
  <si>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</si>
  <si>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</si>
  <si>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</si>
  <si>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</si>
  <si>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</si>
  <si>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</si>
  <si>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</si>
  <si>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</si>
  <si>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</si>
  <si>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</si>
  <si>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</si>
  <si>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</si>
  <si>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</si>
  <si>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</si>
  <si>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</si>
  <si>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</si>
  <si>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</si>
  <si>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</si>
  <si>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</si>
  <si>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</si>
  <si>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</si>
  <si>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</si>
  <si>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</si>
  <si>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</si>
  <si>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</si>
  <si>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</si>
  <si>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</si>
  <si>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</si>
  <si>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</si>
  <si>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</si>
  <si>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</si>
  <si>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</si>
  <si>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</si>
  <si>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</si>
  <si>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</si>
  <si>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</si>
  <si>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</si>
  <si>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</si>
  <si>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</si>
  <si>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</si>
  <si>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</si>
  <si>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</si>
  <si>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</si>
  <si>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</si>
  <si>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</si>
  <si>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</si>
  <si>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</si>
  <si>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</si>
  <si>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</si>
  <si>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</si>
  <si>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</si>
  <si>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</si>
  <si>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</si>
  <si>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</si>
  <si>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</si>
  <si>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</si>
  <si>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</si>
  <si>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</si>
  <si>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</si>
  <si>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</si>
  <si>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</si>
  <si>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</si>
  <si>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</si>
  <si>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</si>
  <si>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</si>
  <si>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</si>
  <si>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</si>
  <si>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</si>
  <si>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</si>
  <si>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</si>
  <si>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</si>
  <si>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</si>
  <si>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</si>
  <si>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</si>
  <si>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</si>
  <si>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</si>
  <si>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</si>
  <si>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</si>
  <si>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</si>
  <si>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</si>
  <si>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</si>
  <si>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</si>
  <si>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</si>
  <si>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</si>
  <si>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</si>
  <si>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</si>
  <si>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</si>
  <si>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</si>
  <si>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</si>
  <si>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</si>
  <si>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</si>
  <si>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</si>
  <si>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</si>
  <si>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</si>
  <si>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</si>
  <si>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</si>
  <si>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</si>
  <si>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</si>
  <si>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</si>
  <si>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</si>
  <si>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</si>
  <si>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</si>
  <si>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</si>
  <si>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</si>
  <si>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</si>
  <si>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</si>
  <si>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</si>
  <si>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</si>
  <si>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</si>
  <si>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</si>
  <si>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</si>
  <si>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</si>
  <si>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</si>
  <si>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</si>
  <si>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</si>
  <si>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</si>
  <si>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</si>
  <si>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</si>
  <si>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</si>
  <si>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</si>
  <si>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</si>
  <si>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</si>
  <si>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Ld_Lut_Current[8]</t>
  </si>
  <si>
    <t>Ld_Lut_Current[9]</t>
  </si>
  <si>
    <t>Ld_Lut_Current[10]</t>
  </si>
  <si>
    <t>Ld_Lut_Current[12]</t>
  </si>
  <si>
    <t>Ld_Lut_Current[11]</t>
  </si>
  <si>
    <t>Ld_Lut_Current[13]</t>
  </si>
  <si>
    <t>Ld_Lut_Current[14]</t>
  </si>
  <si>
    <t>Ld_Lut_Current[15]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</si>
  <si>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</si>
  <si>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</si>
  <si>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</si>
  <si>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</si>
  <si>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</si>
  <si>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</si>
  <si>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</si>
  <si>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</si>
  <si>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Ld_Lut_Inductance[8]</t>
  </si>
  <si>
    <t>Ld_Lut_Inductance[9]</t>
  </si>
  <si>
    <t>Ld_Lut_Inductance[10]</t>
  </si>
  <si>
    <t>Ld_Lut_Inductance[11]</t>
  </si>
  <si>
    <t>Ld_Lut_Inductance[12]</t>
  </si>
  <si>
    <t>Ld_Lut_Inductance[13]</t>
  </si>
  <si>
    <t>Ld_Lut_Inductance[14]</t>
  </si>
  <si>
    <t>Ld_Lut_Inductance[15]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</si>
  <si>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</si>
  <si>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</si>
  <si>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</si>
  <si>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</si>
  <si>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</si>
  <si>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</si>
  <si>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</si>
  <si>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</si>
  <si>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Lq_Lut_Current[8]</t>
  </si>
  <si>
    <t>Lq_Lut_Current[9]</t>
  </si>
  <si>
    <t>Lq_Lut_Current[10]</t>
  </si>
  <si>
    <t>Lq_Lut_Current[11]</t>
  </si>
  <si>
    <t>Lq_Lut_Current[12]</t>
  </si>
  <si>
    <t>Lq_Lut_Current[13]</t>
  </si>
  <si>
    <t>Lq_Lut_Current[14]</t>
  </si>
  <si>
    <t>Lq_Lut_Current[15]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</si>
  <si>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</si>
  <si>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</si>
  <si>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</si>
  <si>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</si>
  <si>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</si>
  <si>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</si>
  <si>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</si>
  <si>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</si>
  <si>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Lq_Lut_Inductance[8]</t>
  </si>
  <si>
    <t>Lq_Lut_Inductance[9]</t>
  </si>
  <si>
    <t>Lq_Lut_Inductance[10]</t>
  </si>
  <si>
    <t>Lq_Lut_Inductance[11]</t>
  </si>
  <si>
    <t>Lq_Lut_Inductance[12]</t>
  </si>
  <si>
    <t>Lq_Lut_Inductance[13]</t>
  </si>
  <si>
    <t>Lq_Lut_Inductance[14]</t>
  </si>
  <si>
    <t>Lq_Lut_Inductance[15]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</si>
  <si>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</si>
  <si>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</si>
  <si>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</si>
  <si>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</si>
  <si>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</si>
  <si>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</si>
  <si>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</si>
  <si>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</si>
  <si>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</si>
  <si>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</si>
  <si>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</si>
  <si>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</si>
  <si>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</si>
  <si>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</si>
  <si>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</si>
  <si>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= MCL_INPUT_CALL_RATE_HZ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</si>
  <si>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</si>
  <si>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</si>
  <si>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</si>
  <si>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</si>
  <si>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</si>
  <si>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</si>
  <si>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</si>
  <si>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</si>
  <si>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</si>
  <si>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</si>
  <si>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</si>
  <si>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</si>
  <si>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</si>
  <si>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</si>
  <si>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</si>
  <si>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</si>
  <si>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</si>
  <si>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</si>
  <si>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</si>
  <si>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</si>
  <si>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</si>
  <si>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</si>
  <si>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</si>
  <si>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</si>
  <si>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</si>
  <si>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</si>
  <si>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</si>
  <si>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</si>
  <si>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</si>
  <si>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</si>
  <si>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</si>
  <si>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</si>
  <si>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</si>
  <si>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</si>
  <si>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</si>
  <si>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</si>
  <si>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</si>
  <si>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</si>
  <si>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</si>
  <si>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</si>
  <si>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</si>
  <si>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</si>
  <si>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</si>
  <si>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Inductance table[8]</t>
  </si>
  <si>
    <t>Direct Inductance table[9]</t>
  </si>
  <si>
    <t>Direct Inductance table[10]</t>
  </si>
  <si>
    <t>Direct Inductance table[11]</t>
  </si>
  <si>
    <t>Direct Inductance table[12]</t>
  </si>
  <si>
    <t>Direct Inductance table[13]</t>
  </si>
  <si>
    <t>Direct Inductance table[14]</t>
  </si>
  <si>
    <t>Direct Inductance table[15]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</si>
  <si>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</si>
  <si>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</si>
  <si>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</si>
  <si>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</si>
  <si>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</si>
  <si>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</si>
  <si>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</si>
  <si>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</si>
  <si>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Direct Current table[8]</t>
  </si>
  <si>
    <t>Direct Current table[9]</t>
  </si>
  <si>
    <t>Direct Current table[10]</t>
  </si>
  <si>
    <t>Direct Current table[11]</t>
  </si>
  <si>
    <t>Direct Current table[12]</t>
  </si>
  <si>
    <t>Direct Current table[13]</t>
  </si>
  <si>
    <t>Direct Current table[14]</t>
  </si>
  <si>
    <t>Direct Current table[15]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</si>
  <si>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</si>
  <si>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</si>
  <si>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</si>
  <si>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</si>
  <si>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</si>
  <si>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</si>
  <si>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</si>
  <si>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</si>
  <si>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Inductance table[8]</t>
  </si>
  <si>
    <t>Quadrature Inductance table[9]</t>
  </si>
  <si>
    <t>Quadrature Inductance table[10]</t>
  </si>
  <si>
    <t>Quadrature Inductance table[11]</t>
  </si>
  <si>
    <t>Quadrature Inductance table[12]</t>
  </si>
  <si>
    <t>Quadrature Inductance table[13]</t>
  </si>
  <si>
    <t>Quadrature Inductance table[14]</t>
  </si>
  <si>
    <t>Quadrature Inductance table[15]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</si>
  <si>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</si>
  <si>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</si>
  <si>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</si>
  <si>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</si>
  <si>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</si>
  <si>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</si>
  <si>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</si>
  <si>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</si>
  <si>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Quadrature Current table[8]</t>
  </si>
  <si>
    <t>Quadrature Current table[9]</t>
  </si>
  <si>
    <t>Quadrature Current table[10]</t>
  </si>
  <si>
    <t>Quadrature Current table[11]</t>
  </si>
  <si>
    <t>Quadrature Current table[12]</t>
  </si>
  <si>
    <t>Quadrature Current table[13]</t>
  </si>
  <si>
    <t>Quadrature Current table[14]</t>
  </si>
  <si>
    <t>Quadrature Current table[15]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</si>
  <si>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</si>
  <si>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</si>
  <si>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</si>
  <si>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</si>
  <si>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</si>
  <si>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</si>
  <si>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</si>
  <si>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</si>
  <si>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</si>
  <si>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</si>
  <si>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</si>
  <si>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</si>
  <si>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</si>
  <si>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</si>
  <si>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</si>
  <si>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</si>
  <si>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</si>
  <si>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</si>
  <si>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</si>
  <si>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</si>
  <si>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</si>
  <si>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</si>
  <si>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</si>
  <si>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</si>
  <si>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</si>
  <si>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</si>
  <si>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</si>
  <si>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</si>
  <si>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</si>
  <si>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</si>
  <si>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</si>
  <si>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</si>
  <si>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</si>
  <si>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</si>
  <si>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</si>
  <si>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</si>
  <si>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</si>
  <si>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</si>
  <si>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</si>
  <si>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</si>
  <si>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</si>
  <si>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</si>
  <si>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</si>
  <si>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</si>
  <si>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</si>
  <si>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</si>
  <si>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</si>
  <si>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</si>
  <si>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</si>
  <si>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</si>
  <si>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</si>
  <si>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</si>
  <si>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</si>
  <si>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</si>
  <si>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</si>
  <si>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</si>
  <si>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</si>
  <si>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</si>
  <si>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</si>
  <si>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</si>
  <si>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</si>
  <si>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</si>
  <si>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</si>
  <si>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</si>
  <si>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</si>
  <si>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</si>
  <si>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</si>
  <si>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</si>
  <si>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</si>
  <si>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</si>
  <si>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</si>
  <si>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</si>
  <si>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</si>
  <si>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</si>
  <si>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</si>
  <si>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</si>
  <si>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Starting time to force compensation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</si>
  <si>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</si>
  <si>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</si>
  <si>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</si>
  <si>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</si>
  <si>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</si>
  <si>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</si>
  <si>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</si>
  <si>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</si>
  <si>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</si>
  <si>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</si>
  <si>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</si>
  <si>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</si>
  <si>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</si>
  <si>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</si>
  <si>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</si>
  <si>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</si>
  <si>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</si>
  <si>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</si>
  <si>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</si>
  <si>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</si>
  <si>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</si>
  <si>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</si>
  <si>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</si>
  <si>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</si>
  <si>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</si>
  <si>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</si>
  <si>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</si>
  <si>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</si>
  <si>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</si>
  <si>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</si>
  <si>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</si>
  <si>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</si>
  <si>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</si>
  <si>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</si>
  <si>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</si>
  <si>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</si>
  <si>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</si>
  <si>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</si>
  <si>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</si>
  <si>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</si>
  <si>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</si>
  <si>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</si>
  <si>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Pwm call rate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</si>
  <si>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</si>
  <si>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</si>
  <si>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</si>
  <si>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</si>
  <si>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</si>
  <si>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</si>
  <si>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</si>
  <si>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</si>
  <si>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</si>
  <si>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</si>
  <si>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</si>
  <si>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</si>
  <si>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</si>
  <si>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</si>
  <si>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</si>
  <si>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</si>
  <si>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</si>
  <si>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</si>
  <si>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</si>
  <si>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</si>
  <si>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</si>
  <si>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</si>
  <si>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</si>
  <si>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</si>
  <si>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</si>
  <si>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</si>
  <si>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</si>
  <si>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</si>
  <si>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Pwm compensation table - current[0]</t>
  </si>
  <si>
    <t>Pwm compensation table - current[1]</t>
  </si>
  <si>
    <t>Pwm compensation table - current[2]</t>
  </si>
  <si>
    <t>Pwm compensation table - current[3]</t>
  </si>
  <si>
    <t>Pwm compensation table - current[4]</t>
  </si>
  <si>
    <t>Pwm compensation table - current[5]</t>
  </si>
  <si>
    <t>Pwm compensation table - current[6]</t>
  </si>
  <si>
    <t>Pwm compensation table - current[7]</t>
  </si>
  <si>
    <t>Pwm compensation table - current[8]</t>
  </si>
  <si>
    <t>Pwm compensation table - current[9]</t>
  </si>
  <si>
    <t>Pwm compensation table - current[10]</t>
  </si>
  <si>
    <t>Pwm compensation table - current[11]</t>
  </si>
  <si>
    <t>Pwm compensation table - current[12]</t>
  </si>
  <si>
    <t>Pwm compensation table - current[13]</t>
  </si>
  <si>
    <t>Pwm compensation table - current[14]</t>
  </si>
  <si>
    <t>Pwm compensation table - current[15]</t>
  </si>
  <si>
    <t>Pwm compensation table - current[16]</t>
  </si>
  <si>
    <t>Pwm compensation table - current[17]</t>
  </si>
  <si>
    <t>Pwm compensation table - current[18]</t>
  </si>
  <si>
    <t>Pwm compensation table - current[19]</t>
  </si>
  <si>
    <t>Pwm compensation table - current[20]</t>
  </si>
  <si>
    <t>Pwm compensation table - current[21]</t>
  </si>
  <si>
    <t>Pwm compensation table - current[22]</t>
  </si>
  <si>
    <t>Pwm compensation table - current[23]</t>
  </si>
  <si>
    <t>Pwm compensation table - current[24]</t>
  </si>
  <si>
    <t>Pwm compensation table - current[25]</t>
  </si>
  <si>
    <t>Pwm compensation table - current[26]</t>
  </si>
  <si>
    <t>Pwm compensation table - current[27]</t>
  </si>
  <si>
    <t>Pwm compensation table - current[28]</t>
  </si>
  <si>
    <t>Pwm compensation table - current[29]</t>
  </si>
  <si>
    <t>Pwm compensation table - current[30]</t>
  </si>
  <si>
    <t>Pwm compensation table - current[31]</t>
  </si>
  <si>
    <t>Pwm compensation table - current[32]</t>
  </si>
  <si>
    <t>Pwm compensation table - current[33]</t>
  </si>
  <si>
    <t>Pwm compensation table - current[34]</t>
  </si>
  <si>
    <t>Pwm compensation table - current[35]</t>
  </si>
  <si>
    <t>Pwm compensation table - current[36]</t>
  </si>
  <si>
    <t>Pwm compensation table - current[37]</t>
  </si>
  <si>
    <t>Pwm compensation table - current[38]</t>
  </si>
  <si>
    <t>Pwm compensation table - current[39]</t>
  </si>
  <si>
    <t>Pwm compensation table - current[40]</t>
  </si>
  <si>
    <t>Pwm compensation table - current[41]</t>
  </si>
  <si>
    <t>Pwm compensation table - current[42]</t>
  </si>
  <si>
    <t>Pwm compensation table - current[43]</t>
  </si>
  <si>
    <t>Pwm compensation table - current[44]</t>
  </si>
  <si>
    <t>Pwm compensation table - current[45]</t>
  </si>
  <si>
    <t>Pwm compensation table - current[46]</t>
  </si>
  <si>
    <t>Pwm compensation table - current[47]</t>
  </si>
  <si>
    <t>Pwm compensation table - current[48]</t>
  </si>
  <si>
    <t>Pwm compensation table - current[49]</t>
  </si>
  <si>
    <t>Pwm compensation table - current[50]</t>
  </si>
  <si>
    <t>Pwm compensation table - current[51]</t>
  </si>
  <si>
    <t>Pwm compensation table - current[52]</t>
  </si>
  <si>
    <t>Pwm compensation table - current[53]</t>
  </si>
  <si>
    <t>Pwm compensation table - current[54]</t>
  </si>
  <si>
    <t>Pwm compensation table - current[55]</t>
  </si>
  <si>
    <t>Pwm compensation table - current[56]</t>
  </si>
  <si>
    <t>Pwm compensation table - current[57]</t>
  </si>
  <si>
    <t>Pwm compensation table - current[58]</t>
  </si>
  <si>
    <t>Pwm compensation table - current[59]</t>
  </si>
  <si>
    <t>Pwm compensation table - current[60]</t>
  </si>
  <si>
    <t>Pwm compensation table - current[61]</t>
  </si>
  <si>
    <t>Pwm compensation table - current[62]</t>
  </si>
  <si>
    <t>Pwm compensation table - current[63]</t>
  </si>
  <si>
    <t>Pwm compensation table - current[64]</t>
  </si>
  <si>
    <t>Pwm compensation table - current[65]</t>
  </si>
  <si>
    <t>Pwm compensation table - duty cycle[0]</t>
  </si>
  <si>
    <t>Pwm compensation table - duty cycle[1]</t>
  </si>
  <si>
    <t>Pwm compensation table - duty cycle[2]</t>
  </si>
  <si>
    <t>Pwm compensation table - duty cycle[3]</t>
  </si>
  <si>
    <t>Pwm compensation table - duty cycle[4]</t>
  </si>
  <si>
    <t>Pwm compensation table - duty cycle[5]</t>
  </si>
  <si>
    <t>Pwm compensation table - duty cycle[6]</t>
  </si>
  <si>
    <t>Pwm compensation table - duty cycle[7]</t>
  </si>
  <si>
    <t>Pwm compensation table - duty cycle[8]</t>
  </si>
  <si>
    <t>Pwm compensation table - duty cycle[9]</t>
  </si>
  <si>
    <t>Pwm compensation table - duty cycle[10]</t>
  </si>
  <si>
    <t>Pwm compensation table - duty cycle[11]</t>
  </si>
  <si>
    <t>Pwm compensation table - duty cycle[12]</t>
  </si>
  <si>
    <t>Pwm compensation table - duty cycle[13]</t>
  </si>
  <si>
    <t>Pwm compensation table - duty cycle[14]</t>
  </si>
  <si>
    <t>Pwm compensation table - duty cycle[15]</t>
  </si>
  <si>
    <t>Pwm compensation table - duty cycle[16]</t>
  </si>
  <si>
    <t>Pwm compensation table - duty cycle[17]</t>
  </si>
  <si>
    <t>Pwm compensation table - duty cycle[18]</t>
  </si>
  <si>
    <t>Pwm compensation table - duty cycle[19]</t>
  </si>
  <si>
    <t>Pwm compensation table - duty cycle[20]</t>
  </si>
  <si>
    <t>Pwm compensation table - duty cycle[21]</t>
  </si>
  <si>
    <t>Pwm compensation table - duty cycle[22]</t>
  </si>
  <si>
    <t>Pwm compensation table - duty cycle[23]</t>
  </si>
  <si>
    <t>Pwm compensation table - duty cycle[24]</t>
  </si>
  <si>
    <t>Pwm compensation table - duty cycle[25]</t>
  </si>
  <si>
    <t>Pwm compensation table - duty cycle[26]</t>
  </si>
  <si>
    <t>Pwm compensation table - duty cycle[27]</t>
  </si>
  <si>
    <t>Pwm compensation table - duty cycle[28]</t>
  </si>
  <si>
    <t>Pwm compensation table - duty cycle[29]</t>
  </si>
  <si>
    <t>Pwm compensation table - duty cycle[30]</t>
  </si>
  <si>
    <t>Pwm compensation table - duty cycle[31]</t>
  </si>
  <si>
    <t>Pwm compensation table - duty cycle[32]</t>
  </si>
  <si>
    <t>Pwm compensation table - duty cycle[33]</t>
  </si>
  <si>
    <t>Pwm compensation table - duty cycle[34]</t>
  </si>
  <si>
    <t>Pwm compensation table - duty cycle[35]</t>
  </si>
  <si>
    <t>Pwm compensation table - duty cycle[36]</t>
  </si>
  <si>
    <t>Pwm compensation table - duty cycle[37]</t>
  </si>
  <si>
    <t>Pwm compensation table - duty cycle[38]</t>
  </si>
  <si>
    <t>Pwm compensation table - duty cycle[39]</t>
  </si>
  <si>
    <t>Pwm compensation table - duty cycle[40]</t>
  </si>
  <si>
    <t>Pwm compensation table - duty cycle[41]</t>
  </si>
  <si>
    <t>Pwm compensation table - duty cycle[42]</t>
  </si>
  <si>
    <t>Pwm compensation table - duty cycle[43]</t>
  </si>
  <si>
    <t>Pwm compensation table - duty cycle[44]</t>
  </si>
  <si>
    <t>Pwm compensation table - duty cycle[45]</t>
  </si>
  <si>
    <t>Pwm compensation table - duty cycle[46]</t>
  </si>
  <si>
    <t>Pwm compensation table - duty cycle[47]</t>
  </si>
  <si>
    <t>Pwm compensation table - duty cycle[48]</t>
  </si>
  <si>
    <t>Pwm compensation table - duty cycle[49]</t>
  </si>
  <si>
    <t>Pwm compensation table - duty cycle[50]</t>
  </si>
  <si>
    <t>Pwm compensation table - duty cycle[51]</t>
  </si>
  <si>
    <t>Pwm compensation table - duty cycle[52]</t>
  </si>
  <si>
    <t>Pwm compensation table - duty cycle[53]</t>
  </si>
  <si>
    <t>Pwm compensation table - duty cycle[54]</t>
  </si>
  <si>
    <t>Pwm compensation table - duty cycle[55]</t>
  </si>
  <si>
    <t>Pwm compensation table - duty cycle[56]</t>
  </si>
  <si>
    <t>Pwm compensation table - duty cycle[57]</t>
  </si>
  <si>
    <t>Pwm compensation table - duty cycle[58]</t>
  </si>
  <si>
    <t>Pwm compensation table - duty cycle[59]</t>
  </si>
  <si>
    <t>Pwm compensation table - duty cycle[60]</t>
  </si>
  <si>
    <t>Pwm compensation table - duty cycle[61]</t>
  </si>
  <si>
    <t>Pwm compensation table - duty cycle[62]</t>
  </si>
  <si>
    <t>Pwm compensation table - duty cycle[63]</t>
  </si>
  <si>
    <t>Pwm compensation table - duty cycle[64]</t>
  </si>
  <si>
    <t>Pwm compensation table - duty cycle[65]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</si>
  <si>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</si>
  <si>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</si>
  <si>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</si>
  <si>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</si>
  <si>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</si>
  <si>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</si>
  <si>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</si>
  <si>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</si>
  <si>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</si>
  <si>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</si>
  <si>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</si>
  <si>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</si>
  <si>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</si>
  <si>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</si>
  <si>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</si>
  <si>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</si>
  <si>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</si>
  <si>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</si>
  <si>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</si>
  <si>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</si>
  <si>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</si>
  <si>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</si>
  <si>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</si>
  <si>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</si>
  <si>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</si>
  <si>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</si>
  <si>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</si>
  <si>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=(OBSERVER_STARTING_THRESHOLD/OBSERVER_TS)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</si>
  <si>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</si>
  <si>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</si>
  <si>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</si>
  <si>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</si>
  <si>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</si>
  <si>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</si>
  <si>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</si>
  <si>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</si>
  <si>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</si>
  <si>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(DIRECT_CURR_POS_8 * 32768)/BASE_CURRENT)</t>
  </si>
  <si>
    <t>=( (DIRECT_CURR_POS_9 * 32768)/BASE_CURRENT)</t>
  </si>
  <si>
    <t>=( (DIRECT_CURR_POS_10 * 32768)/BASE_CURRENT)</t>
  </si>
  <si>
    <t>=( (DIRECT_CURR_POS_11 * 32768)/BASE_CURRENT)</t>
  </si>
  <si>
    <t>=( (DIRECT_CURR_POS_12 * 32768)/BASE_CURRENT)</t>
  </si>
  <si>
    <t>=( (DIRECT_CURR_POS_13 * 32768)/BASE_CURRENT)</t>
  </si>
  <si>
    <t>=( (DIRECT_CURR_POS_14 * 32768)/BASE_CURRENT)</t>
  </si>
  <si>
    <t>=( (DIRECT_CURR_POS_15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</si>
  <si>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</si>
  <si>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</si>
  <si>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</si>
  <si>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</si>
  <si>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</si>
  <si>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</si>
  <si>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</si>
  <si>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</si>
  <si>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(DIRECT_IND_POS_8 * 32768)/BASE_IND)</t>
  </si>
  <si>
    <t>=( (DIRECT_IND_POS_9 * 32768)/BASE_IND)</t>
  </si>
  <si>
    <t>=( (DIRECT_IND_POS_10 * 32768)/BASE_IND)</t>
  </si>
  <si>
    <t>=( (DIRECT_IND_POS_11 * 32768)/BASE_IND)</t>
  </si>
  <si>
    <t>=( (DIRECT_IND_POS_12 * 32768)/BASE_IND)</t>
  </si>
  <si>
    <t>=( (DIRECT_IND_POS_13 * 32768)/BASE_IND)</t>
  </si>
  <si>
    <t>=( (DIRECT_IND_POS_14 * 32768)/BASE_IND)</t>
  </si>
  <si>
    <t>=( (DIRECT_IND_POS_15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</si>
  <si>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</si>
  <si>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</si>
  <si>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</si>
  <si>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</si>
  <si>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</si>
  <si>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</si>
  <si>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</si>
  <si>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</si>
  <si>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(QUAD_CURR_POS_8 * 32768)/BASE_CURRENT)</t>
  </si>
  <si>
    <t>=( (QUAD_CURR_POS_9 * 32768)/BASE_CURRENT)</t>
  </si>
  <si>
    <t>=( (QUAD_CURR_POS_10 * 32768)/BASE_CURRENT)</t>
  </si>
  <si>
    <t>=( (QUAD_CURR_POS_11 * 32768)/BASE_CURRENT)</t>
  </si>
  <si>
    <t>=( (QUAD_CURR_POS_12 * 32768)/BASE_CURRENT)</t>
  </si>
  <si>
    <t>=( (QUAD_CURR_POS_13 * 32768)/BASE_CURRENT)</t>
  </si>
  <si>
    <t>=( (QUAD_CURR_POS_14 * 32768)/BASE_CURRENT)</t>
  </si>
  <si>
    <t>=( (QUAD_CURR_POS_15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</si>
  <si>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</si>
  <si>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</si>
  <si>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</si>
  <si>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</si>
  <si>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</si>
  <si>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</si>
  <si>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</si>
  <si>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</si>
  <si>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 (QUAD_IND_POS_8 * 32768)/BASE_IND)</t>
  </si>
  <si>
    <t>=( (QUAD_IND_POS_9 * 32768)/BASE_IND)</t>
  </si>
  <si>
    <t>=( (QUAD_IND_POS_10 * 32768)/BASE_IND)</t>
  </si>
  <si>
    <t>=( (QUAD_IND_POS_11 * 32768)/BASE_IND)</t>
  </si>
  <si>
    <t>=( (QUAD_IND_POS_12 * 32768)/BASE_IND)</t>
  </si>
  <si>
    <t>=( (QUAD_IND_POS_13 * 32768)/BASE_IND)</t>
  </si>
  <si>
    <t>=( (QUAD_IND_POS_14 * 32768)/BASE_IND)</t>
  </si>
  <si>
    <t>=( (QUAD_IND_POS_15 * 32768)/BASE_IND)</t>
  </si>
  <si>
    <t>=(((1/OBSERVER_TS) * TIME_DQ_FORCE_GAINS_STARTING))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</si>
  <si>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</si>
  <si>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</si>
  <si>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</si>
  <si>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</si>
  <si>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</si>
  <si>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</si>
  <si>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</si>
  <si>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</si>
  <si>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</si>
  <si>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</si>
  <si>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</si>
  <si>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</si>
  <si>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</si>
  <si>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</si>
  <si>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</si>
  <si>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</si>
  <si>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</si>
  <si>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</si>
  <si>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</si>
  <si>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=((DQ_STARTING_TIME / DQ_CONTROLLER_TS))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</si>
  <si>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</si>
  <si>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</si>
  <si>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</si>
  <si>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</si>
  <si>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</si>
  <si>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</si>
  <si>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</si>
  <si>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</si>
  <si>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</si>
  <si>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</si>
  <si>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</si>
  <si>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</si>
  <si>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</si>
  <si>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</si>
  <si>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</si>
  <si>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</si>
  <si>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</si>
  <si>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</si>
  <si>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</si>
  <si>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</si>
  <si>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</si>
  <si>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</si>
  <si>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</si>
  <si>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</si>
  <si>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</si>
  <si>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</si>
  <si>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</si>
  <si>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</si>
  <si>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</si>
  <si>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</si>
  <si>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</si>
  <si>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</si>
  <si>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</si>
  <si>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</si>
  <si>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</si>
  <si>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</si>
  <si>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</si>
  <si>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</si>
  <si>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</si>
  <si>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</si>
  <si>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</si>
  <si>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</si>
  <si>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</si>
  <si>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</si>
  <si>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</si>
  <si>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</si>
  <si>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</si>
  <si>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</si>
  <si>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</si>
  <si>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</si>
  <si>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</si>
  <si>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</si>
  <si>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</si>
  <si>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</si>
  <si>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=(((1/OBSERVER_TS) * FORCE_MAX_STARTING_TIME))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</si>
  <si>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</si>
  <si>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</si>
  <si>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</si>
  <si>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</si>
  <si>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</si>
  <si>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</si>
  <si>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</si>
  <si>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</si>
  <si>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</si>
  <si>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</si>
  <si>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=(((1/OBSERVER_TS) * TIME_FORCE_USE_DEFAULT_SPEED_GAINS))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</si>
  <si>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</si>
  <si>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</si>
  <si>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</si>
  <si>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</si>
  <si>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</si>
  <si>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</si>
  <si>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</si>
  <si>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</si>
  <si>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</si>
  <si>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</si>
  <si>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</si>
  <si>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</si>
  <si>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</si>
  <si>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</si>
  <si>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</si>
  <si>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</si>
  <si>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</si>
  <si>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</si>
  <si>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</si>
  <si>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</si>
  <si>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</si>
  <si>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</si>
  <si>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</si>
  <si>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</si>
  <si>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</si>
  <si>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</si>
  <si>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</si>
  <si>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</si>
  <si>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</si>
  <si>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</si>
  <si>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</si>
  <si>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</si>
  <si>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</si>
  <si>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</si>
  <si>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</si>
  <si>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</si>
  <si>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</si>
  <si>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</si>
  <si>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</si>
  <si>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</si>
  <si>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</si>
  <si>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</si>
  <si>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</si>
  <si>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</si>
  <si>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</si>
  <si>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</si>
  <si>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</si>
  <si>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</si>
  <si>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</si>
  <si>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</si>
  <si>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</si>
  <si>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</si>
  <si>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</si>
  <si>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</si>
  <si>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</si>
  <si>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</si>
  <si>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</si>
  <si>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</si>
  <si>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Time_Starting_Compensate</t>
  </si>
  <si>
    <t>=(PWM_STARTING_TIME/PWM_MODULATION_TS)</t>
  </si>
  <si>
    <t>DUTYCYCLE_BY_CURRENT_LUT.input[0]</t>
  </si>
  <si>
    <t>=Pwm compensation table - current[0]*(32768/BASE_CURRENT)</t>
  </si>
  <si>
    <t>DUTYCYCLE_BY_CURRENT_LUT.input[1]</t>
  </si>
  <si>
    <t>=Pwm compensation table - current[1]*(32768/BASE_CURRENT)</t>
  </si>
  <si>
    <t>DUTYCYCLE_BY_CURRENT_LUT.input[2]</t>
  </si>
  <si>
    <t>=Pwm compensation table - current[2]*(32768/BASE_CURRENT)</t>
  </si>
  <si>
    <t>DUTYCYCLE_BY_CURRENT_LUT.input[3]</t>
  </si>
  <si>
    <t>=Pwm compensation table - current[3]*(32768/BASE_CURRENT)</t>
  </si>
  <si>
    <t>DUTYCYCLE_BY_CURRENT_LUT.input[4]</t>
  </si>
  <si>
    <t>=Pwm compensation table - current[4]*(32768/BASE_CURRENT)</t>
  </si>
  <si>
    <t>DUTYCYCLE_BY_CURRENT_LUT.input[5]</t>
  </si>
  <si>
    <t>=Pwm compensation table - current[5]*(32768/BASE_CURRENT)</t>
  </si>
  <si>
    <t>DUTYCYCLE_BY_CURRENT_LUT.input[6]</t>
  </si>
  <si>
    <t>=Pwm compensation table - current[6]*(32768/BASE_CURRENT)</t>
  </si>
  <si>
    <t>DUTYCYCLE_BY_CURRENT_LUT.input[7]</t>
  </si>
  <si>
    <t>=Pwm compensation table - current[7]*(32768/BASE_CURRENT)</t>
  </si>
  <si>
    <t>DUTYCYCLE_BY_CURRENT_LUT.input[8]</t>
  </si>
  <si>
    <t>=Pwm compensation table - current[8]*(32768/BASE_CURRENT)</t>
  </si>
  <si>
    <t>DUTYCYCLE_BY_CURRENT_LUT.input[9]</t>
  </si>
  <si>
    <t>=Pwm compensation table - current[9]*(32768/BASE_CURRENT)</t>
  </si>
  <si>
    <t>DUTYCYCLE_BY_CURRENT_LUT.input[10]</t>
  </si>
  <si>
    <t>=Pwm compensation table - current[10]*(32768/BASE_CURRENT)</t>
  </si>
  <si>
    <t>DUTYCYCLE_BY_CURRENT_LUT.input[11]</t>
  </si>
  <si>
    <t>=Pwm compensation table - current[11]*(32768/BASE_CURRENT)</t>
  </si>
  <si>
    <t>DUTYCYCLE_BY_CURRENT_LUT.input[12]</t>
  </si>
  <si>
    <t>=Pwm compensation table - current[12]*(32768/BASE_CURRENT)</t>
  </si>
  <si>
    <t>DUTYCYCLE_BY_CURRENT_LUT.input[13]</t>
  </si>
  <si>
    <t>=Pwm compensation table - current[13]*(32768/BASE_CURRENT)</t>
  </si>
  <si>
    <t>DUTYCYCLE_BY_CURRENT_LUT.input[14]</t>
  </si>
  <si>
    <t>=Pwm compensation table - current[14]*(32768/BASE_CURRENT)</t>
  </si>
  <si>
    <t>DUTYCYCLE_BY_CURRENT_LUT.input[15]</t>
  </si>
  <si>
    <t>=Pwm compensation table - current[15]*(32768/BASE_CURRENT)</t>
  </si>
  <si>
    <t>DUTYCYCLE_BY_CURRENT_LUT.input[16]</t>
  </si>
  <si>
    <t>=Pwm compensation table - current[16]*(32768/BASE_CURRENT)</t>
  </si>
  <si>
    <t>DUTYCYCLE_BY_CURRENT_LUT.input[17]</t>
  </si>
  <si>
    <t>=Pwm compensation table - current[17]*(32768/BASE_CURRENT)</t>
  </si>
  <si>
    <t>DUTYCYCLE_BY_CURRENT_LUT.input[18]</t>
  </si>
  <si>
    <t>=Pwm compensation table - current[18]*(32768/BASE_CURRENT)</t>
  </si>
  <si>
    <t>DUTYCYCLE_BY_CURRENT_LUT.input[19]</t>
  </si>
  <si>
    <t>=Pwm compensation table - current[19]*(32768/BASE_CURRENT)</t>
  </si>
  <si>
    <t>DUTYCYCLE_BY_CURRENT_LUT.input[20]</t>
  </si>
  <si>
    <t>=Pwm compensation table - current[20]*(32768/BASE_CURRENT)</t>
  </si>
  <si>
    <t>DUTYCYCLE_BY_CURRENT_LUT.input[21]</t>
  </si>
  <si>
    <t>=Pwm compensation table - current[21]*(32768/BASE_CURRENT)</t>
  </si>
  <si>
    <t>DUTYCYCLE_BY_CURRENT_LUT.input[22]</t>
  </si>
  <si>
    <t>=Pwm compensation table - current[22]*(32768/BASE_CURRENT)</t>
  </si>
  <si>
    <t>DUTYCYCLE_BY_CURRENT_LUT.input[23]</t>
  </si>
  <si>
    <t>=Pwm compensation table - current[23]*(32768/BASE_CURRENT)</t>
  </si>
  <si>
    <t>DUTYCYCLE_BY_CURRENT_LUT.input[24]</t>
  </si>
  <si>
    <t>=Pwm compensation table - current[24]*(32768/BASE_CURRENT)</t>
  </si>
  <si>
    <t>DUTYCYCLE_BY_CURRENT_LUT.input[25]</t>
  </si>
  <si>
    <t>=Pwm compensation table - current[25]*(32768/BASE_CURRENT)</t>
  </si>
  <si>
    <t>DUTYCYCLE_BY_CURRENT_LUT.input[26]</t>
  </si>
  <si>
    <t>=Pwm compensation table - current[26]*(32768/BASE_CURRENT)</t>
  </si>
  <si>
    <t>DUTYCYCLE_BY_CURRENT_LUT.input[27]</t>
  </si>
  <si>
    <t>=Pwm compensation table - current[27]*(32768/BASE_CURRENT)</t>
  </si>
  <si>
    <t>DUTYCYCLE_BY_CURRENT_LUT.input[28]</t>
  </si>
  <si>
    <t>=Pwm compensation table - current[28]*(32768/BASE_CURRENT)</t>
  </si>
  <si>
    <t>DUTYCYCLE_BY_CURRENT_LUT.input[29]</t>
  </si>
  <si>
    <t>=Pwm compensation table - current[29]*(32768/BASE_CURRENT)</t>
  </si>
  <si>
    <t>DUTYCYCLE_BY_CURRENT_LUT.input[30]</t>
  </si>
  <si>
    <t>=Pwm compensation table - current[30]*(32768/BASE_CURRENT)</t>
  </si>
  <si>
    <t>DUTYCYCLE_BY_CURRENT_LUT.input[31]</t>
  </si>
  <si>
    <t>=Pwm compensation table - current[31]*(32768/BASE_CURRENT)</t>
  </si>
  <si>
    <t>DUTYCYCLE_BY_CURRENT_LUT.input[32]</t>
  </si>
  <si>
    <t>=Pwm compensation table - current[32]*(32768/BASE_CURRENT)</t>
  </si>
  <si>
    <t>DUTYCYCLE_BY_CURRENT_LUT.input[33]</t>
  </si>
  <si>
    <t>=Pwm compensation table - current[33]*(32768/BASE_CURRENT)</t>
  </si>
  <si>
    <t>DUTYCYCLE_BY_CURRENT_LUT.input[34]</t>
  </si>
  <si>
    <t>=Pwm compensation table - current[34]*(32768/BASE_CURRENT)</t>
  </si>
  <si>
    <t>DUTYCYCLE_BY_CURRENT_LUT.input[35]</t>
  </si>
  <si>
    <t>=Pwm compensation table - current[35]*(32768/BASE_CURRENT)</t>
  </si>
  <si>
    <t>DUTYCYCLE_BY_CURRENT_LUT.input[36]</t>
  </si>
  <si>
    <t>=Pwm compensation table - current[36]*(32768/BASE_CURRENT)</t>
  </si>
  <si>
    <t>DUTYCYCLE_BY_CURRENT_LUT.input[37]</t>
  </si>
  <si>
    <t>=Pwm compensation table - current[37]*(32768/BASE_CURRENT)</t>
  </si>
  <si>
    <t>DUTYCYCLE_BY_CURRENT_LUT.input[38]</t>
  </si>
  <si>
    <t>=Pwm compensation table - current[38]*(32768/BASE_CURRENT)</t>
  </si>
  <si>
    <t>DUTYCYCLE_BY_CURRENT_LUT.input[39]</t>
  </si>
  <si>
    <t>=Pwm compensation table - current[39]*(32768/BASE_CURRENT)</t>
  </si>
  <si>
    <t>DUTYCYCLE_BY_CURRENT_LUT.input[40]</t>
  </si>
  <si>
    <t>=Pwm compensation table - current[40]*(32768/BASE_CURRENT)</t>
  </si>
  <si>
    <t>DUTYCYCLE_BY_CURRENT_LUT.input[41]</t>
  </si>
  <si>
    <t>=Pwm compensation table - current[41]*(32768/BASE_CURRENT)</t>
  </si>
  <si>
    <t>DUTYCYCLE_BY_CURRENT_LUT.input[42]</t>
  </si>
  <si>
    <t>=Pwm compensation table - current[42]*(32768/BASE_CURRENT)</t>
  </si>
  <si>
    <t>DUTYCYCLE_BY_CURRENT_LUT.input[43]</t>
  </si>
  <si>
    <t>=Pwm compensation table - current[43]*(32768/BASE_CURRENT)</t>
  </si>
  <si>
    <t>DUTYCYCLE_BY_CURRENT_LUT.input[44]</t>
  </si>
  <si>
    <t>=Pwm compensation table - current[44]*(32768/BASE_CURRENT)</t>
  </si>
  <si>
    <t>DUTYCYCLE_BY_CURRENT_LUT.input[45]</t>
  </si>
  <si>
    <t>=Pwm compensation table - current[45]*(32768/BASE_CURRENT)</t>
  </si>
  <si>
    <t>DUTYCYCLE_BY_CURRENT_LUT.input[46]</t>
  </si>
  <si>
    <t>=Pwm compensation table - current[46]*(32768/BASE_CURRENT)</t>
  </si>
  <si>
    <t>DUTYCYCLE_BY_CURRENT_LUT.input[47]</t>
  </si>
  <si>
    <t>=Pwm compensation table - current[47]*(32768/BASE_CURRENT)</t>
  </si>
  <si>
    <t>DUTYCYCLE_BY_CURRENT_LUT.input[48]</t>
  </si>
  <si>
    <t>=Pwm compensation table - current[48]*(32768/BASE_CURRENT)</t>
  </si>
  <si>
    <t>DUTYCYCLE_BY_CURRENT_LUT.input[49]</t>
  </si>
  <si>
    <t>=Pwm compensation table - current[49]*(32768/BASE_CURRENT)</t>
  </si>
  <si>
    <t>DUTYCYCLE_BY_CURRENT_LUT.input[50]</t>
  </si>
  <si>
    <t>=Pwm compensation table - current[50]*(32768/BASE_CURRENT)</t>
  </si>
  <si>
    <t>DUTYCYCLE_BY_CURRENT_LUT.input[51]</t>
  </si>
  <si>
    <t>=Pwm compensation table - current[51]*(32768/BASE_CURRENT)</t>
  </si>
  <si>
    <t>DUTYCYCLE_BY_CURRENT_LUT.input[52]</t>
  </si>
  <si>
    <t>=Pwm compensation table - current[52]*(32768/BASE_CURRENT)</t>
  </si>
  <si>
    <t>DUTYCYCLE_BY_CURRENT_LUT.input[53]</t>
  </si>
  <si>
    <t>=Pwm compensation table - current[53]*(32768/BASE_CURRENT)</t>
  </si>
  <si>
    <t>DUTYCYCLE_BY_CURRENT_LUT.input[54]</t>
  </si>
  <si>
    <t>=Pwm compensation table - current[54]*(32768/BASE_CURRENT)</t>
  </si>
  <si>
    <t>DUTYCYCLE_BY_CURRENT_LUT.input[55]</t>
  </si>
  <si>
    <t>=Pwm compensation table - current[55]*(32768/BASE_CURRENT)</t>
  </si>
  <si>
    <t>DUTYCYCLE_BY_CURRENT_LUT.input[56]</t>
  </si>
  <si>
    <t>=Pwm compensation table - current[56]*(32768/BASE_CURRENT)</t>
  </si>
  <si>
    <t>DUTYCYCLE_BY_CURRENT_LUT.input[57]</t>
  </si>
  <si>
    <t>=Pwm compensation table - current[57]*(32768/BASE_CURRENT)</t>
  </si>
  <si>
    <t>DUTYCYCLE_BY_CURRENT_LUT.input[58]</t>
  </si>
  <si>
    <t>=Pwm compensation table - current[58]*(32768/BASE_CURRENT)</t>
  </si>
  <si>
    <t>DUTYCYCLE_BY_CURRENT_LUT.input[59]</t>
  </si>
  <si>
    <t>=Pwm compensation table - current[59]*(32768/BASE_CURRENT)</t>
  </si>
  <si>
    <t>DUTYCYCLE_BY_CURRENT_LUT.input[60]</t>
  </si>
  <si>
    <t>=Pwm compensation table - current[60]*(32768/BASE_CURRENT)</t>
  </si>
  <si>
    <t>DUTYCYCLE_BY_CURRENT_LUT.input[61]</t>
  </si>
  <si>
    <t>=Pwm compensation table - current[61]*(32768/BASE_CURRENT)</t>
  </si>
  <si>
    <t>DUTYCYCLE_BY_CURRENT_LUT.input[62]</t>
  </si>
  <si>
    <t>=Pwm compensation table - current[62]*(32768/BASE_CURRENT)</t>
  </si>
  <si>
    <t>DUTYCYCLE_BY_CURRENT_LUT.input[63]</t>
  </si>
  <si>
    <t>=Pwm compensation table - current[63]*(32768/BASE_CURRENT)</t>
  </si>
  <si>
    <t>DUTYCYCLE_BY_CURRENT_LUT.input[64]</t>
  </si>
  <si>
    <t>=Pwm compensation table - current[64]*(32768/BASE_CURRENT)</t>
  </si>
  <si>
    <t>DUTYCYCLE_BY_CURRENT_LUT.input[65]</t>
  </si>
  <si>
    <t>=Pwm compensation table - current[65]*(32768/BASE_CURRENT)</t>
  </si>
  <si>
    <t>DUTYCYCLE_BY_CURRENT_LUT.output[0]</t>
  </si>
  <si>
    <t>=Pwm compensation table - duty cycle[0]*32768</t>
  </si>
  <si>
    <t>DUTYCYCLE_BY_CURRENT_LUT.output[1]</t>
  </si>
  <si>
    <t>=Pwm compensation table - duty cycle[1]*32768</t>
  </si>
  <si>
    <t>DUTYCYCLE_BY_CURRENT_LUT.output[2]</t>
  </si>
  <si>
    <t>=Pwm compensation table - duty cycle[2]*32768</t>
  </si>
  <si>
    <t>DUTYCYCLE_BY_CURRENT_LUT.output[3]</t>
  </si>
  <si>
    <t>=Pwm compensation table - duty cycle[3]*32768</t>
  </si>
  <si>
    <t>DUTYCYCLE_BY_CURRENT_LUT.output[4]</t>
  </si>
  <si>
    <t>=Pwm compensation table - duty cycle[4]*32768</t>
  </si>
  <si>
    <t>DUTYCYCLE_BY_CURRENT_LUT.output[5]</t>
  </si>
  <si>
    <t>=Pwm compensation table - duty cycle[5]*32768</t>
  </si>
  <si>
    <t>DUTYCYCLE_BY_CURRENT_LUT.output[6]</t>
  </si>
  <si>
    <t>=Pwm compensation table - duty cycle[6]*32768</t>
  </si>
  <si>
    <t>DUTYCYCLE_BY_CURRENT_LUT.output[7]</t>
  </si>
  <si>
    <t>=Pwm compensation table - duty cycle[7]*32768</t>
  </si>
  <si>
    <t>DUTYCYCLE_BY_CURRENT_LUT.output[8]</t>
  </si>
  <si>
    <t>=Pwm compensation table - duty cycle[8]*32768</t>
  </si>
  <si>
    <t>DUTYCYCLE_BY_CURRENT_LUT.output[9]</t>
  </si>
  <si>
    <t>=Pwm compensation table - duty cycle[9]*32768</t>
  </si>
  <si>
    <t>DUTYCYCLE_BY_CURRENT_LUT.output[10]</t>
  </si>
  <si>
    <t>=Pwm compensation table - duty cycle[10]*32768</t>
  </si>
  <si>
    <t>DUTYCYCLE_BY_CURRENT_LUT.output[11]</t>
  </si>
  <si>
    <t>=Pwm compensation table - duty cycle[11]*32768</t>
  </si>
  <si>
    <t>DUTYCYCLE_BY_CURRENT_LUT.output[12]</t>
  </si>
  <si>
    <t>=Pwm compensation table - duty cycle[12]*32768</t>
  </si>
  <si>
    <t>DUTYCYCLE_BY_CURRENT_LUT.output[13]</t>
  </si>
  <si>
    <t>=Pwm compensation table - duty cycle[13]*32768</t>
  </si>
  <si>
    <t>DUTYCYCLE_BY_CURRENT_LUT.output[14]</t>
  </si>
  <si>
    <t>=Pwm compensation table - duty cycle[14]*32768</t>
  </si>
  <si>
    <t>DUTYCYCLE_BY_CURRENT_LUT.output[15]</t>
  </si>
  <si>
    <t>=Pwm compensation table - duty cycle[15]*32768</t>
  </si>
  <si>
    <t>DUTYCYCLE_BY_CURRENT_LUT.output[16]</t>
  </si>
  <si>
    <t>=Pwm compensation table - duty cycle[16]*32768</t>
  </si>
  <si>
    <t>DUTYCYCLE_BY_CURRENT_LUT.output[17]</t>
  </si>
  <si>
    <t>=Pwm compensation table - duty cycle[17]*32768</t>
  </si>
  <si>
    <t>DUTYCYCLE_BY_CURRENT_LUT.output[18]</t>
  </si>
  <si>
    <t>=Pwm compensation table - duty cycle[18]*32768</t>
  </si>
  <si>
    <t>DUTYCYCLE_BY_CURRENT_LUT.output[19]</t>
  </si>
  <si>
    <t>=Pwm compensation table - duty cycle[19]*32768</t>
  </si>
  <si>
    <t>DUTYCYCLE_BY_CURRENT_LUT.output[20]</t>
  </si>
  <si>
    <t>=Pwm compensation table - duty cycle[20]*32768</t>
  </si>
  <si>
    <t>DUTYCYCLE_BY_CURRENT_LUT.output[21]</t>
  </si>
  <si>
    <t>=Pwm compensation table - duty cycle[21]*32768</t>
  </si>
  <si>
    <t>DUTYCYCLE_BY_CURRENT_LUT.output[22]</t>
  </si>
  <si>
    <t>=Pwm compensation table - duty cycle[22]*32768</t>
  </si>
  <si>
    <t>DUTYCYCLE_BY_CURRENT_LUT.output[23]</t>
  </si>
  <si>
    <t>=Pwm compensation table - duty cycle[23]*32768</t>
  </si>
  <si>
    <t>DUTYCYCLE_BY_CURRENT_LUT.output[24]</t>
  </si>
  <si>
    <t>=Pwm compensation table - duty cycle[24]*32768</t>
  </si>
  <si>
    <t>DUTYCYCLE_BY_CURRENT_LUT.output[25]</t>
  </si>
  <si>
    <t>=Pwm compensation table - duty cycle[25]*32768</t>
  </si>
  <si>
    <t>DUTYCYCLE_BY_CURRENT_LUT.output[26]</t>
  </si>
  <si>
    <t>=Pwm compensation table - duty cycle[26]*32768</t>
  </si>
  <si>
    <t>DUTYCYCLE_BY_CURRENT_LUT.output[27]</t>
  </si>
  <si>
    <t>=Pwm compensation table - duty cycle[27]*32768</t>
  </si>
  <si>
    <t>DUTYCYCLE_BY_CURRENT_LUT.output[28]</t>
  </si>
  <si>
    <t>=Pwm compensation table - duty cycle[28]*32768</t>
  </si>
  <si>
    <t>DUTYCYCLE_BY_CURRENT_LUT.output[29]</t>
  </si>
  <si>
    <t>=Pwm compensation table - duty cycle[29]*32768</t>
  </si>
  <si>
    <t>DUTYCYCLE_BY_CURRENT_LUT.output[30]</t>
  </si>
  <si>
    <t>=Pwm compensation table - duty cycle[30]*32768</t>
  </si>
  <si>
    <t>DUTYCYCLE_BY_CURRENT_LUT.output[31]</t>
  </si>
  <si>
    <t>=Pwm compensation table - duty cycle[31]*32768</t>
  </si>
  <si>
    <t>DUTYCYCLE_BY_CURRENT_LUT.output[32]</t>
  </si>
  <si>
    <t>=Pwm compensation table - duty cycle[32]*32768</t>
  </si>
  <si>
    <t>DUTYCYCLE_BY_CURRENT_LUT.output[33]</t>
  </si>
  <si>
    <t>=Pwm compensation table - duty cycle[33]*32768</t>
  </si>
  <si>
    <t>DUTYCYCLE_BY_CURRENT_LUT.output[34]</t>
  </si>
  <si>
    <t>=Pwm compensation table - duty cycle[34]*32768</t>
  </si>
  <si>
    <t>DUTYCYCLE_BY_CURRENT_LUT.output[35]</t>
  </si>
  <si>
    <t>=Pwm compensation table - duty cycle[35]*32768</t>
  </si>
  <si>
    <t>DUTYCYCLE_BY_CURRENT_LUT.output[36]</t>
  </si>
  <si>
    <t>=Pwm compensation table - duty cycle[36]*32768</t>
  </si>
  <si>
    <t>DUTYCYCLE_BY_CURRENT_LUT.output[37]</t>
  </si>
  <si>
    <t>=Pwm compensation table - duty cycle[37]*32768</t>
  </si>
  <si>
    <t>DUTYCYCLE_BY_CURRENT_LUT.output[38]</t>
  </si>
  <si>
    <t>=Pwm compensation table - duty cycle[38]*32768</t>
  </si>
  <si>
    <t>DUTYCYCLE_BY_CURRENT_LUT.output[39]</t>
  </si>
  <si>
    <t>=Pwm compensation table - duty cycle[39]*32768</t>
  </si>
  <si>
    <t>DUTYCYCLE_BY_CURRENT_LUT.output[40]</t>
  </si>
  <si>
    <t>=Pwm compensation table - duty cycle[40]*32768</t>
  </si>
  <si>
    <t>DUTYCYCLE_BY_CURRENT_LUT.output[41]</t>
  </si>
  <si>
    <t>=Pwm compensation table - duty cycle[41]*32768</t>
  </si>
  <si>
    <t>DUTYCYCLE_BY_CURRENT_LUT.output[42]</t>
  </si>
  <si>
    <t>=Pwm compensation table - duty cycle[42]*32768</t>
  </si>
  <si>
    <t>DUTYCYCLE_BY_CURRENT_LUT.output[43]</t>
  </si>
  <si>
    <t>=Pwm compensation table - duty cycle[43]*32768</t>
  </si>
  <si>
    <t>DUTYCYCLE_BY_CURRENT_LUT.output[44]</t>
  </si>
  <si>
    <t>=Pwm compensation table - duty cycle[44]*32768</t>
  </si>
  <si>
    <t>DUTYCYCLE_BY_CURRENT_LUT.output[45]</t>
  </si>
  <si>
    <t>=Pwm compensation table - duty cycle[45]*32768</t>
  </si>
  <si>
    <t>DUTYCYCLE_BY_CURRENT_LUT.output[46]</t>
  </si>
  <si>
    <t>=Pwm compensation table - duty cycle[46]*32768</t>
  </si>
  <si>
    <t>DUTYCYCLE_BY_CURRENT_LUT.output[47]</t>
  </si>
  <si>
    <t>=Pwm compensation table - duty cycle[47]*32768</t>
  </si>
  <si>
    <t>DUTYCYCLE_BY_CURRENT_LUT.output[48]</t>
  </si>
  <si>
    <t>=Pwm compensation table - duty cycle[48]*32768</t>
  </si>
  <si>
    <t>DUTYCYCLE_BY_CURRENT_LUT.output[49]</t>
  </si>
  <si>
    <t>=Pwm compensation table - duty cycle[49]*32768</t>
  </si>
  <si>
    <t>DUTYCYCLE_BY_CURRENT_LUT.output[50]</t>
  </si>
  <si>
    <t>=Pwm compensation table - duty cycle[50]*32768</t>
  </si>
  <si>
    <t>DUTYCYCLE_BY_CURRENT_LUT.output[51]</t>
  </si>
  <si>
    <t>=Pwm compensation table - duty cycle[51]*32768</t>
  </si>
  <si>
    <t>DUTYCYCLE_BY_CURRENT_LUT.output[52]</t>
  </si>
  <si>
    <t>=Pwm compensation table - duty cycle[52]*32768</t>
  </si>
  <si>
    <t>DUTYCYCLE_BY_CURRENT_LUT.output[53]</t>
  </si>
  <si>
    <t>=Pwm compensation table - duty cycle[53]*32768</t>
  </si>
  <si>
    <t>DUTYCYCLE_BY_CURRENT_LUT.output[54]</t>
  </si>
  <si>
    <t>=Pwm compensation table - duty cycle[54]*32768</t>
  </si>
  <si>
    <t>DUTYCYCLE_BY_CURRENT_LUT.output[55]</t>
  </si>
  <si>
    <t>=Pwm compensation table - duty cycle[55]*32768</t>
  </si>
  <si>
    <t>DUTYCYCLE_BY_CURRENT_LUT.output[56]</t>
  </si>
  <si>
    <t>=Pwm compensation table - duty cycle[56]*32768</t>
  </si>
  <si>
    <t>DUTYCYCLE_BY_CURRENT_LUT.output[57]</t>
  </si>
  <si>
    <t>=Pwm compensation table - duty cycle[57]*32768</t>
  </si>
  <si>
    <t>DUTYCYCLE_BY_CURRENT_LUT.output[58]</t>
  </si>
  <si>
    <t>=Pwm compensation table - duty cycle[58]*32768</t>
  </si>
  <si>
    <t>DUTYCYCLE_BY_CURRENT_LUT.output[59]</t>
  </si>
  <si>
    <t>=Pwm compensation table - duty cycle[59]*32768</t>
  </si>
  <si>
    <t>DUTYCYCLE_BY_CURRENT_LUT.output[60]</t>
  </si>
  <si>
    <t>=Pwm compensation table - duty cycle[60]*32768</t>
  </si>
  <si>
    <t>DUTYCYCLE_BY_CURRENT_LUT.output[61]</t>
  </si>
  <si>
    <t>=Pwm compensation table - duty cycle[61]*32768</t>
  </si>
  <si>
    <t>DUTYCYCLE_BY_CURRENT_LUT.output[62]</t>
  </si>
  <si>
    <t>=Pwm compensation table - duty cycle[62]*32768</t>
  </si>
  <si>
    <t>DUTYCYCLE_BY_CURRENT_LUT.output[63]</t>
  </si>
  <si>
    <t>=Pwm compensation table - duty cycle[63]*32768</t>
  </si>
  <si>
    <t>DUTYCYCLE_BY_CURRENT_LUT.output[64]</t>
  </si>
  <si>
    <t>=Pwm compensation table - duty cycle[64]*32768</t>
  </si>
  <si>
    <t>DUTYCYCLE_BY_CURRENT_LUT.output[65]</t>
  </si>
  <si>
    <t>=Pwm compensation table - duty cycle[65]*32768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</si>
  <si>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</si>
  <si>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</si>
  <si>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</si>
  <si>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</si>
  <si>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</si>
  <si>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</si>
  <si>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</si>
  <si>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</si>
  <si>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</si>
  <si>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</si>
  <si>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</si>
  <si>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</si>
  <si>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</si>
  <si>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</si>
  <si>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Stator_Resistance_Corr</t>
  </si>
  <si>
    <t>=0</t>
  </si>
  <si>
    <t>SpeedRef_Default_Accel</t>
  </si>
  <si>
    <t>SpeedRef_Min_Speed_Default_Accel</t>
  </si>
  <si>
    <t>Mcl_Input_Processing_Call_Rate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</si>
  <si>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</si>
  <si>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</si>
  <si>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</si>
  <si>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</si>
  <si>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</si>
  <si>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</si>
  <si>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</si>
  <si>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</si>
  <si>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</si>
  <si>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</si>
  <si>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</si>
  <si>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</si>
  <si>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=(ALGO_RUNNING_LOCKED_ROTOR_START_OR_RUNNING * (2 * MCL_INPUT_CALL_RATE_HZ))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</si>
  <si>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</si>
  <si>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</si>
  <si>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</si>
  <si>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</si>
  <si>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</si>
  <si>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</si>
  <si>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</si>
  <si>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</si>
  <si>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</si>
  <si>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</si>
  <si>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</si>
  <si>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Pwm Compensation Table</t>
  </si>
  <si>
    <t>Parameters to Settings File - Displacement PWM Modulator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</si>
  <si>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</si>
  <si>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</si>
  <si>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</si>
  <si>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</si>
  <si>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</si>
  <si>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</si>
  <si>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</si>
  <si>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</si>
  <si>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</si>
  <si>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</si>
  <si>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</si>
  <si>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</si>
  <si>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</si>
  <si>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</si>
  <si>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</si>
  <si>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</si>
  <si>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</si>
  <si>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</si>
  <si>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</si>
  <si>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</si>
  <si>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</si>
  <si>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</si>
  <si>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</si>
  <si>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</si>
  <si>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</si>
  <si>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</si>
  <si>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</si>
  <si>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</si>
  <si>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</si>
  <si>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</si>
  <si>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</si>
  <si>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</si>
  <si>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</si>
  <si>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</si>
  <si>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</si>
  <si>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</si>
  <si>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</si>
  <si>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</si>
  <si>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</si>
  <si>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</si>
  <si>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</si>
  <si>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</si>
  <si>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</si>
  <si>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</si>
  <si>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</si>
  <si>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</si>
  <si>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</si>
  <si>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</si>
  <si>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</si>
  <si>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</si>
  <si>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</si>
  <si>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</si>
  <si>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</si>
  <si>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</si>
  <si>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</si>
  <si>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</si>
  <si>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</si>
  <si>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MTPATorque_25</t>
  </si>
  <si>
    <t>MTPATorque_26</t>
  </si>
  <si>
    <t>MTPATorque_27</t>
  </si>
  <si>
    <t>MTPATorque_28</t>
  </si>
  <si>
    <t>MTPATorque_29</t>
  </si>
  <si>
    <t>MTPATorque_30</t>
  </si>
  <si>
    <t>MTPATorque_31</t>
  </si>
  <si>
    <t>MTPATorque_32</t>
  </si>
  <si>
    <t>MTPATorque_33</t>
  </si>
  <si>
    <t>MTPATorque_34</t>
  </si>
  <si>
    <t>MTPATorque_35</t>
  </si>
  <si>
    <t>MTPATorque_36</t>
  </si>
  <si>
    <t>MTPATorque_37</t>
  </si>
  <si>
    <t>MTPATorque_38</t>
  </si>
  <si>
    <t>MTPATorque_39</t>
  </si>
  <si>
    <t>MTPATorque_40</t>
  </si>
  <si>
    <t>MTPATorque_41</t>
  </si>
  <si>
    <t>MTPATorque_42</t>
  </si>
  <si>
    <t>MTPATorque_43</t>
  </si>
  <si>
    <t>MTPATorque_44</t>
  </si>
  <si>
    <t>MTPATorque_45</t>
  </si>
  <si>
    <t>MTPATorque_46</t>
  </si>
  <si>
    <t>MTPATorque_47</t>
  </si>
  <si>
    <t>MTPATorque_48</t>
  </si>
  <si>
    <t>MTPATorque_49</t>
  </si>
  <si>
    <t>MTPATorque_50</t>
  </si>
  <si>
    <t>MTPATorque_51</t>
  </si>
  <si>
    <t>MTPATorque_52</t>
  </si>
  <si>
    <t>MTPATorque_53</t>
  </si>
  <si>
    <t>MTPATorque_54</t>
  </si>
  <si>
    <t>MTPATorque_55</t>
  </si>
  <si>
    <t>MTPATorque_56</t>
  </si>
  <si>
    <t>MTPATorque_57</t>
  </si>
  <si>
    <t>MTPATorque_58</t>
  </si>
  <si>
    <t>MTPATorque_59</t>
  </si>
  <si>
    <t>MTPATorque_60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</si>
  <si>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</si>
  <si>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</si>
  <si>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</si>
  <si>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</si>
  <si>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</si>
  <si>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</si>
  <si>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</si>
  <si>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</si>
  <si>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</si>
  <si>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</si>
  <si>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</si>
  <si>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</si>
  <si>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</si>
  <si>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</si>
  <si>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</si>
  <si>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</si>
  <si>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</si>
  <si>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</si>
  <si>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</si>
  <si>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</si>
  <si>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</si>
  <si>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</si>
  <si>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</si>
  <si>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</si>
  <si>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</si>
  <si>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MTPAFlux_25</t>
  </si>
  <si>
    <t>MTPAFlux_26</t>
  </si>
  <si>
    <t>MTPAFlux_27</t>
  </si>
  <si>
    <t>MTPAFlux_28</t>
  </si>
  <si>
    <t>MTPAFlux_29</t>
  </si>
  <si>
    <t>MTPAFlux_30</t>
  </si>
  <si>
    <t>MTPAFlux_31</t>
  </si>
  <si>
    <t>MTPAFlux_32</t>
  </si>
  <si>
    <t>MTPAFlux_33</t>
  </si>
  <si>
    <t>MTPAFlux_34</t>
  </si>
  <si>
    <t>MTPAFlux_35</t>
  </si>
  <si>
    <t>MTPAFlux_36</t>
  </si>
  <si>
    <t>MTPAFlux_37</t>
  </si>
  <si>
    <t>MTPAFlux_38</t>
  </si>
  <si>
    <t>MTPAFlux_39</t>
  </si>
  <si>
    <t>MTPAFlux_40</t>
  </si>
  <si>
    <t>MTPAFlux_41</t>
  </si>
  <si>
    <t>MTPAFlux_42</t>
  </si>
  <si>
    <t>MTPAFlux_43</t>
  </si>
  <si>
    <t>MTPAFlux_44</t>
  </si>
  <si>
    <t>MTPAFlux_45</t>
  </si>
  <si>
    <t>MTPAFlux_46</t>
  </si>
  <si>
    <t>MTPAFlux_47</t>
  </si>
  <si>
    <t>MTPAFlux_48</t>
  </si>
  <si>
    <t>MTPAFlux_49</t>
  </si>
  <si>
    <t>MTPAFlux_50</t>
  </si>
  <si>
    <t>MTPAFlux_51</t>
  </si>
  <si>
    <t>MTPAFlux_52</t>
  </si>
  <si>
    <t>MTPAFlux_53</t>
  </si>
  <si>
    <t>MTPAFlux_54</t>
  </si>
  <si>
    <t>MTPAFlux_55</t>
  </si>
  <si>
    <t>MTPAFlux_56</t>
  </si>
  <si>
    <t>MTPAFlux_57</t>
  </si>
  <si>
    <t>MTPAFlux_58</t>
  </si>
  <si>
    <t>MTPAFlux_59</t>
  </si>
  <si>
    <t>MTPAFlux_60</t>
  </si>
  <si>
    <t>MTPATorque_61</t>
  </si>
  <si>
    <t>MTPATorque_62</t>
  </si>
  <si>
    <t>MTPATorque_63</t>
  </si>
  <si>
    <t>MTPATorque_64</t>
  </si>
  <si>
    <t>MTPATorque_65</t>
  </si>
  <si>
    <t>MTPATorque_66</t>
  </si>
  <si>
    <t>MTPATorque_67</t>
  </si>
  <si>
    <t>MTPATorque_68</t>
  </si>
  <si>
    <t>MTPATorque_69</t>
  </si>
  <si>
    <t>MTPATorque_70</t>
  </si>
  <si>
    <t>MTPATorque_71</t>
  </si>
  <si>
    <t>MTPATorque_72</t>
  </si>
  <si>
    <t>MTPATorque_73</t>
  </si>
  <si>
    <t>MTPATorque_74</t>
  </si>
  <si>
    <t>MTPATorque_75</t>
  </si>
  <si>
    <t>MTPATorque_76</t>
  </si>
  <si>
    <t>MTPATorque_77</t>
  </si>
  <si>
    <t>MTPATorque_78</t>
  </si>
  <si>
    <t>MTPATorque_79</t>
  </si>
  <si>
    <t>MTPATorque_80</t>
  </si>
  <si>
    <t>MTPAFlux_61</t>
  </si>
  <si>
    <t>MTPAFlux_62</t>
  </si>
  <si>
    <t>MTPAFlux_63</t>
  </si>
  <si>
    <t>MTPAFlux_64</t>
  </si>
  <si>
    <t>MTPAFlux_65</t>
  </si>
  <si>
    <t>MTPAFlux_66</t>
  </si>
  <si>
    <t>MTPAFlux_67</t>
  </si>
  <si>
    <t>MTPAFlux_68</t>
  </si>
  <si>
    <t>MTPAFlux_69</t>
  </si>
  <si>
    <t>MTPAFlux_70</t>
  </si>
  <si>
    <t>MTPAFlux_71</t>
  </si>
  <si>
    <t>MTPAFlux_72</t>
  </si>
  <si>
    <t>MTPAFlux_73</t>
  </si>
  <si>
    <t>MTPAFlux_74</t>
  </si>
  <si>
    <t>MTPAFlux_75</t>
  </si>
  <si>
    <t>MTPAFlux_76</t>
  </si>
  <si>
    <t>MTPAFlux_77</t>
  </si>
  <si>
    <t>MTPAFlux_78</t>
  </si>
  <si>
    <t>MTPAFlux_79</t>
  </si>
  <si>
    <t>MTPAFlux_80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</si>
  <si>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</si>
  <si>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</si>
  <si>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</si>
  <si>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</si>
  <si>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</si>
  <si>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</si>
  <si>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</si>
  <si>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</si>
  <si>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</si>
  <si>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</si>
  <si>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</si>
  <si>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</si>
  <si>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</si>
  <si>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</si>
  <si>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</si>
  <si>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</si>
  <si>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</si>
  <si>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</si>
  <si>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</si>
  <si>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</si>
  <si>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</si>
  <si>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</si>
  <si>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</si>
  <si>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</si>
  <si>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</si>
  <si>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Mtpa_Torque_25</t>
  </si>
  <si>
    <t>Mtpa_Torque_26</t>
  </si>
  <si>
    <t>Mtpa_Torque_27</t>
  </si>
  <si>
    <t>Mtpa_Torque_28</t>
  </si>
  <si>
    <t>Mtpa_Torque_29</t>
  </si>
  <si>
    <t>Mtpa_Torque_30</t>
  </si>
  <si>
    <t>Mtpa_Torque_31</t>
  </si>
  <si>
    <t>Mtpa_Torque_32</t>
  </si>
  <si>
    <t>Mtpa_Torque_33</t>
  </si>
  <si>
    <t>Mtpa_Torque_34</t>
  </si>
  <si>
    <t>Mtpa_Torque_35</t>
  </si>
  <si>
    <t>Mtpa_Torque_36</t>
  </si>
  <si>
    <t>Mtpa_Torque_37</t>
  </si>
  <si>
    <t>Mtpa_Torque_38</t>
  </si>
  <si>
    <t>Mtpa_Torque_39</t>
  </si>
  <si>
    <t>Mtpa_Torque_40</t>
  </si>
  <si>
    <t>Mtpa_Torque_41</t>
  </si>
  <si>
    <t>Mtpa_Torque_42</t>
  </si>
  <si>
    <t>Mtpa_Torque_43</t>
  </si>
  <si>
    <t>Mtpa_Torque_44</t>
  </si>
  <si>
    <t>Mtpa_Torque_45</t>
  </si>
  <si>
    <t>Mtpa_Torque_46</t>
  </si>
  <si>
    <t>Mtpa_Torque_47</t>
  </si>
  <si>
    <t>Mtpa_Torque_48</t>
  </si>
  <si>
    <t>Mtpa_Torque_49</t>
  </si>
  <si>
    <t>Mtpa_Torque_50</t>
  </si>
  <si>
    <t>Mtpa_Torque_51</t>
  </si>
  <si>
    <t>Mtpa_Torque_52</t>
  </si>
  <si>
    <t>Mtpa_Torque_53</t>
  </si>
  <si>
    <t>Mtpa_Torque_54</t>
  </si>
  <si>
    <t>Mtpa_Torque_55</t>
  </si>
  <si>
    <t>Mtpa_Torque_56</t>
  </si>
  <si>
    <t>Mtpa_Torque_57</t>
  </si>
  <si>
    <t>Mtpa_Torque_58</t>
  </si>
  <si>
    <t>Mtpa_Torque_59</t>
  </si>
  <si>
    <t>Mtpa_Torque_60</t>
  </si>
  <si>
    <t>Mtpa_Torque_61</t>
  </si>
  <si>
    <t>Mtpa_Torque_62</t>
  </si>
  <si>
    <t>Mtpa_Torque_63</t>
  </si>
  <si>
    <t>Mtpa_Torque_64</t>
  </si>
  <si>
    <t>Mtpa_Torque_65</t>
  </si>
  <si>
    <t>Mtpa_Torque_66</t>
  </si>
  <si>
    <t>Mtpa_Torque_67</t>
  </si>
  <si>
    <t>Mtpa_Torque_68</t>
  </si>
  <si>
    <t>Mtpa_Torque_69</t>
  </si>
  <si>
    <t>Mtpa_Torque_70</t>
  </si>
  <si>
    <t>Mtpa_Torque_71</t>
  </si>
  <si>
    <t>Mtpa_Torque_72</t>
  </si>
  <si>
    <t>Mtpa_Torque_73</t>
  </si>
  <si>
    <t>Mtpa_Torque_74</t>
  </si>
  <si>
    <t>Mtpa_Torque_75</t>
  </si>
  <si>
    <t>Mtpa_Torque_76</t>
  </si>
  <si>
    <t>Mtpa_Torque_77</t>
  </si>
  <si>
    <t>Mtpa_Torque_78</t>
  </si>
  <si>
    <t>Mtpa_Torque_79</t>
  </si>
  <si>
    <t>Mtpa_Torque_80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</si>
  <si>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</si>
  <si>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</si>
  <si>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</si>
  <si>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</si>
  <si>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</si>
  <si>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</si>
  <si>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</si>
  <si>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</si>
  <si>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</si>
  <si>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</si>
  <si>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</si>
  <si>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</si>
  <si>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</si>
  <si>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</si>
  <si>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</si>
  <si>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</si>
  <si>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</si>
  <si>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</si>
  <si>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</si>
  <si>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</si>
  <si>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</si>
  <si>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</si>
  <si>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</si>
  <si>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</si>
  <si>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</si>
  <si>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Mtpa_Flux_25</t>
  </si>
  <si>
    <t>Mtpa_Flux_26</t>
  </si>
  <si>
    <t>Mtpa_Flux_27</t>
  </si>
  <si>
    <t>Mtpa_Flux_28</t>
  </si>
  <si>
    <t>Mtpa_Flux_29</t>
  </si>
  <si>
    <t>Mtpa_Flux_30</t>
  </si>
  <si>
    <t>Mtpa_Flux_31</t>
  </si>
  <si>
    <t>Mtpa_Flux_32</t>
  </si>
  <si>
    <t>Mtpa_Flux_33</t>
  </si>
  <si>
    <t>Mtpa_Flux_34</t>
  </si>
  <si>
    <t>Mtpa_Flux_35</t>
  </si>
  <si>
    <t>Mtpa_Flux_36</t>
  </si>
  <si>
    <t>Mtpa_Flux_37</t>
  </si>
  <si>
    <t>Mtpa_Flux_38</t>
  </si>
  <si>
    <t>Mtpa_Flux_39</t>
  </si>
  <si>
    <t>Mtpa_Flux_40</t>
  </si>
  <si>
    <t>Mtpa_Flux_41</t>
  </si>
  <si>
    <t>Mtpa_Flux_42</t>
  </si>
  <si>
    <t>Mtpa_Flux_43</t>
  </si>
  <si>
    <t>Mtpa_Flux_44</t>
  </si>
  <si>
    <t>Mtpa_Flux_45</t>
  </si>
  <si>
    <t>Mtpa_Flux_46</t>
  </si>
  <si>
    <t>Mtpa_Flux_47</t>
  </si>
  <si>
    <t>Mtpa_Flux_48</t>
  </si>
  <si>
    <t>Mtpa_Flux_49</t>
  </si>
  <si>
    <t>Mtpa_Flux_50</t>
  </si>
  <si>
    <t>Mtpa_Flux_51</t>
  </si>
  <si>
    <t>Mtpa_Flux_52</t>
  </si>
  <si>
    <t>Mtpa_Flux_53</t>
  </si>
  <si>
    <t>Mtpa_Flux_54</t>
  </si>
  <si>
    <t>Mtpa_Flux_55</t>
  </si>
  <si>
    <t>Mtpa_Flux_56</t>
  </si>
  <si>
    <t>Mtpa_Flux_57</t>
  </si>
  <si>
    <t>Mtpa_Flux_58</t>
  </si>
  <si>
    <t>Mtpa_Flux_59</t>
  </si>
  <si>
    <t>Mtpa_Flux_60</t>
  </si>
  <si>
    <t>Mtpa_Flux_61</t>
  </si>
  <si>
    <t>Mtpa_Flux_62</t>
  </si>
  <si>
    <t>Mtpa_Flux_63</t>
  </si>
  <si>
    <t>Mtpa_Flux_64</t>
  </si>
  <si>
    <t>Mtpa_Flux_65</t>
  </si>
  <si>
    <t>Mtpa_Flux_66</t>
  </si>
  <si>
    <t>Mtpa_Flux_67</t>
  </si>
  <si>
    <t>Mtpa_Flux_68</t>
  </si>
  <si>
    <t>Mtpa_Flux_69</t>
  </si>
  <si>
    <t>Mtpa_Flux_70</t>
  </si>
  <si>
    <t>Mtpa_Flux_71</t>
  </si>
  <si>
    <t>Mtpa_Flux_72</t>
  </si>
  <si>
    <t>Mtpa_Flux_73</t>
  </si>
  <si>
    <t>Mtpa_Flux_74</t>
  </si>
  <si>
    <t>Mtpa_Flux_75</t>
  </si>
  <si>
    <t>Mtpa_Flux_76</t>
  </si>
  <si>
    <t>Mtpa_Flux_77</t>
  </si>
  <si>
    <t>Mtpa_Flux_78</t>
  </si>
  <si>
    <t>Mtpa_Flux_79</t>
  </si>
  <si>
    <t>Mtpa_Flux_80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</si>
  <si>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</si>
  <si>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</si>
  <si>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</si>
  <si>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</si>
  <si>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</si>
  <si>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</si>
  <si>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</si>
  <si>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</si>
  <si>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</si>
  <si>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</si>
  <si>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</si>
  <si>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</si>
  <si>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</si>
  <si>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</si>
  <si>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</si>
  <si>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</si>
  <si>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</si>
  <si>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</si>
  <si>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</si>
  <si>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</si>
  <si>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</si>
  <si>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</si>
  <si>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</si>
  <si>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</si>
  <si>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</si>
  <si>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</si>
  <si>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</si>
  <si>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</si>
  <si>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</si>
  <si>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</si>
  <si>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</si>
  <si>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</si>
  <si>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</si>
  <si>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</si>
  <si>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</si>
  <si>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</si>
  <si>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</si>
  <si>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</si>
  <si>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</si>
  <si>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</si>
  <si>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</si>
  <si>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</si>
  <si>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</si>
  <si>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</si>
  <si>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</si>
  <si>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</si>
  <si>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</si>
  <si>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</si>
  <si>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</si>
  <si>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</si>
  <si>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=(32768/BASE_TORQ) * MTPATorque_25</t>
  </si>
  <si>
    <t>=(32768/BASE_FLUX) * MTPAFlux_25</t>
  </si>
  <si>
    <t>=(32768/BASE_TORQ) * MTPATorque_26</t>
  </si>
  <si>
    <t>=(32768/BASE_FLUX) * MTPAFlux_26</t>
  </si>
  <si>
    <t>=(32768/BASE_TORQ) * MTPATorque_27</t>
  </si>
  <si>
    <t>=(32768/BASE_FLUX) * MTPAFlux_27</t>
  </si>
  <si>
    <t>=(32768/BASE_TORQ) * MTPATorque_28</t>
  </si>
  <si>
    <t>=(32768/BASE_FLUX) * MTPAFlux_28</t>
  </si>
  <si>
    <t>=(32768/BASE_TORQ) * MTPATorque_29</t>
  </si>
  <si>
    <t>=(32768/BASE_FLUX) * MTPAFlux_29</t>
  </si>
  <si>
    <t>=(32768/BASE_TORQ) * MTPATorque_30</t>
  </si>
  <si>
    <t>=(32768/BASE_FLUX) * MTPAFlux_30</t>
  </si>
  <si>
    <t>=(32768/BASE_TORQ) * MTPATorque_31</t>
  </si>
  <si>
    <t>=(32768/BASE_FLUX) * MTPAFlux_31</t>
  </si>
  <si>
    <t>=(32768/BASE_TORQ) * MTPATorque_32</t>
  </si>
  <si>
    <t>=(32768/BASE_FLUX) * MTPAFlux_32</t>
  </si>
  <si>
    <t>=(32768/BASE_TORQ) * MTPATorque_33</t>
  </si>
  <si>
    <t>=(32768/BASE_FLUX) * MTPAFlux_33</t>
  </si>
  <si>
    <t>=(32768/BASE_TORQ) * MTPATorque_34</t>
  </si>
  <si>
    <t>=(32768/BASE_FLUX) * MTPAFlux_34</t>
  </si>
  <si>
    <t>=(32768/BASE_TORQ) * MTPATorque_35</t>
  </si>
  <si>
    <t>=(32768/BASE_FLUX) * MTPAFlux_35</t>
  </si>
  <si>
    <t>=(32768/BASE_TORQ) * MTPATorque_36</t>
  </si>
  <si>
    <t>=(32768/BASE_FLUX) * MTPAFlux_36</t>
  </si>
  <si>
    <t>=(32768/BASE_TORQ) * MTPATorque_37</t>
  </si>
  <si>
    <t>=(32768/BASE_FLUX) * MTPAFlux_37</t>
  </si>
  <si>
    <t>=(32768/BASE_TORQ) * MTPATorque_38</t>
  </si>
  <si>
    <t>=(32768/BASE_FLUX) * MTPAFlux_38</t>
  </si>
  <si>
    <t>=(32768/BASE_TORQ) * MTPATorque_39</t>
  </si>
  <si>
    <t>=(32768/BASE_FLUX) * MTPAFlux_39</t>
  </si>
  <si>
    <t>=(32768/BASE_TORQ) * MTPATorque_40</t>
  </si>
  <si>
    <t>=(32768/BASE_FLUX) * MTPAFlux_40</t>
  </si>
  <si>
    <t>=(32768/BASE_TORQ) * MTPATorque_41</t>
  </si>
  <si>
    <t>=(32768/BASE_FLUX) * MTPAFlux_41</t>
  </si>
  <si>
    <t>=(32768/BASE_TORQ) * MTPATorque_42</t>
  </si>
  <si>
    <t>=(32768/BASE_FLUX) * MTPAFlux_42</t>
  </si>
  <si>
    <t>=(32768/BASE_TORQ) * MTPATorque_43</t>
  </si>
  <si>
    <t>=(32768/BASE_FLUX) * MTPAFlux_43</t>
  </si>
  <si>
    <t>=(32768/BASE_TORQ) * MTPATorque_44</t>
  </si>
  <si>
    <t>=(32768/BASE_FLUX) * MTPAFlux_44</t>
  </si>
  <si>
    <t>=(32768/BASE_TORQ) * MTPATorque_45</t>
  </si>
  <si>
    <t>=(32768/BASE_FLUX) * MTPAFlux_45</t>
  </si>
  <si>
    <t>=(32768/BASE_TORQ) * MTPATorque_46</t>
  </si>
  <si>
    <t>=(32768/BASE_FLUX) * MTPAFlux_46</t>
  </si>
  <si>
    <t>=(32768/BASE_TORQ) * MTPATorque_47</t>
  </si>
  <si>
    <t>=(32768/BASE_FLUX) * MTPAFlux_47</t>
  </si>
  <si>
    <t>=(32768/BASE_TORQ) * MTPATorque_48</t>
  </si>
  <si>
    <t>=(32768/BASE_FLUX) * MTPAFlux_48</t>
  </si>
  <si>
    <t>=(32768/BASE_TORQ) * MTPATorque_49</t>
  </si>
  <si>
    <t>=(32768/BASE_FLUX) * MTPAFlux_49</t>
  </si>
  <si>
    <t>=(32768/BASE_TORQ) * MTPATorque_50</t>
  </si>
  <si>
    <t>=(32768/BASE_FLUX) * MTPAFlux_50</t>
  </si>
  <si>
    <t>=(32768/BASE_TORQ) * MTPATorque_51</t>
  </si>
  <si>
    <t>=(32768/BASE_FLUX) * MTPAFlux_51</t>
  </si>
  <si>
    <t>=(32768/BASE_TORQ) * MTPATorque_52</t>
  </si>
  <si>
    <t>=(32768/BASE_FLUX) * MTPAFlux_52</t>
  </si>
  <si>
    <t>=(32768/BASE_TORQ) * MTPATorque_53</t>
  </si>
  <si>
    <t>=(32768/BASE_FLUX) * MTPAFlux_53</t>
  </si>
  <si>
    <t>=(32768/BASE_TORQ) * MTPATorque_54</t>
  </si>
  <si>
    <t>=(32768/BASE_FLUX) * MTPAFlux_54</t>
  </si>
  <si>
    <t>=(32768/BASE_TORQ) * MTPATorque_55</t>
  </si>
  <si>
    <t>=(32768/BASE_FLUX) * MTPAFlux_55</t>
  </si>
  <si>
    <t>=(32768/BASE_TORQ) * MTPATorque_56</t>
  </si>
  <si>
    <t>=(32768/BASE_FLUX) * MTPAFlux_56</t>
  </si>
  <si>
    <t>=(32768/BASE_TORQ) * MTPATorque_57</t>
  </si>
  <si>
    <t>=(32768/BASE_FLUX) * MTPAFlux_57</t>
  </si>
  <si>
    <t>=(32768/BASE_TORQ) * MTPATorque_58</t>
  </si>
  <si>
    <t>=(32768/BASE_FLUX) * MTPAFlux_58</t>
  </si>
  <si>
    <t>=(32768/BASE_TORQ) * MTPATorque_59</t>
  </si>
  <si>
    <t>=(32768/BASE_FLUX) * MTPAFlux_59</t>
  </si>
  <si>
    <t>=(32768/BASE_TORQ) * MTPATorque_60</t>
  </si>
  <si>
    <t>=(32768/BASE_FLUX) * MTPAFlux_60</t>
  </si>
  <si>
    <t>=(32768/BASE_TORQ) * MTPATorque_61</t>
  </si>
  <si>
    <t>=(32768/BASE_FLUX) * MTPAFlux_61</t>
  </si>
  <si>
    <t>=(32768/BASE_TORQ) * MTPATorque_62</t>
  </si>
  <si>
    <t>=(32768/BASE_FLUX) * MTPAFlux_62</t>
  </si>
  <si>
    <t>=(32768/BASE_TORQ) * MTPATorque_63</t>
  </si>
  <si>
    <t>=(32768/BASE_FLUX) * MTPAFlux_63</t>
  </si>
  <si>
    <t>=(32768/BASE_TORQ) * MTPATorque_64</t>
  </si>
  <si>
    <t>=(32768/BASE_FLUX) * MTPAFlux_64</t>
  </si>
  <si>
    <t>=(32768/BASE_TORQ) * MTPATorque_65</t>
  </si>
  <si>
    <t>=(32768/BASE_FLUX) * MTPAFlux_65</t>
  </si>
  <si>
    <t>=(32768/BASE_TORQ) * MTPATorque_66</t>
  </si>
  <si>
    <t>=(32768/BASE_FLUX) * MTPAFlux_66</t>
  </si>
  <si>
    <t>=(32768/BASE_TORQ) * MTPATorque_67</t>
  </si>
  <si>
    <t>=(32768/BASE_FLUX) * MTPAFlux_67</t>
  </si>
  <si>
    <t>=(32768/BASE_TORQ) * MTPATorque_68</t>
  </si>
  <si>
    <t>=(32768/BASE_FLUX) * MTPAFlux_68</t>
  </si>
  <si>
    <t>=(32768/BASE_TORQ) * MTPATorque_69</t>
  </si>
  <si>
    <t>=(32768/BASE_FLUX) * MTPAFlux_69</t>
  </si>
  <si>
    <t>=(32768/BASE_TORQ) * MTPATorque_70</t>
  </si>
  <si>
    <t>=(32768/BASE_FLUX) * MTPAFlux_70</t>
  </si>
  <si>
    <t>=(32768/BASE_TORQ) * MTPATorque_71</t>
  </si>
  <si>
    <t>=(32768/BASE_FLUX) * MTPAFlux_71</t>
  </si>
  <si>
    <t>=(32768/BASE_TORQ) * MTPATorque_72</t>
  </si>
  <si>
    <t>=(32768/BASE_FLUX) * MTPAFlux_72</t>
  </si>
  <si>
    <t>=(32768/BASE_TORQ) * MTPATorque_73</t>
  </si>
  <si>
    <t>=(32768/BASE_FLUX) * MTPAFlux_73</t>
  </si>
  <si>
    <t>=(32768/BASE_TORQ) * MTPATorque_74</t>
  </si>
  <si>
    <t>=(32768/BASE_FLUX) * MTPAFlux_74</t>
  </si>
  <si>
    <t>=(32768/BASE_TORQ) * MTPATorque_75</t>
  </si>
  <si>
    <t>=(32768/BASE_FLUX) * MTPAFlux_75</t>
  </si>
  <si>
    <t>=(32768/BASE_TORQ) * MTPATorque_76</t>
  </si>
  <si>
    <t>=(32768/BASE_FLUX) * MTPAFlux_76</t>
  </si>
  <si>
    <t>=(32768/BASE_TORQ) * MTPATorque_77</t>
  </si>
  <si>
    <t>=(32768/BASE_FLUX) * MTPAFlux_77</t>
  </si>
  <si>
    <t>=(32768/BASE_TORQ) * MTPATorque_78</t>
  </si>
  <si>
    <t>=(32768/BASE_FLUX) * MTPAFlux_78</t>
  </si>
  <si>
    <t>=(32768/BASE_TORQ) * MTPATorque_79</t>
  </si>
  <si>
    <t>=(32768/BASE_FLUX) * MTPAFlux_79</t>
  </si>
  <si>
    <t>=(32768/BASE_TORQ) * MTPATorque_80</t>
  </si>
  <si>
    <t>=(32768/BASE_FLUX) * MTPAFlux_80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</si>
  <si>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</si>
  <si>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</si>
  <si>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</si>
  <si>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</si>
  <si>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</si>
  <si>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</si>
  <si>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</si>
  <si>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</si>
  <si>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</si>
  <si>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</si>
  <si>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</si>
  <si>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</si>
  <si>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</si>
  <si>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</si>
  <si>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</si>
  <si>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</si>
  <si>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</si>
  <si>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</si>
  <si>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</si>
  <si>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</si>
  <si>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</si>
  <si>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</si>
  <si>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</si>
  <si>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</si>
  <si>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</si>
  <si>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</si>
  <si>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MTPVTorque_25</t>
  </si>
  <si>
    <t>MTPVTorque_26</t>
  </si>
  <si>
    <t>MTPVTorque_27</t>
  </si>
  <si>
    <t>MTPVTorque_28</t>
  </si>
  <si>
    <t>MTPVTorque_29</t>
  </si>
  <si>
    <t>MTPVTorque_30</t>
  </si>
  <si>
    <t>MTPVTorque_31</t>
  </si>
  <si>
    <t>MTPVTorque_32</t>
  </si>
  <si>
    <t>MTPVTorque_33</t>
  </si>
  <si>
    <t>MTPVTorque_34</t>
  </si>
  <si>
    <t>MTPVTorque_35</t>
  </si>
  <si>
    <t>MTPVTorque_36</t>
  </si>
  <si>
    <t>MTPVTorque_37</t>
  </si>
  <si>
    <t>MTPVTorque_38</t>
  </si>
  <si>
    <t>MTPVTorque_39</t>
  </si>
  <si>
    <t>MTPVTorque_40</t>
  </si>
  <si>
    <t>MTPVTorque_41</t>
  </si>
  <si>
    <t>MTPVTorque_42</t>
  </si>
  <si>
    <t>MTPVTorque_43</t>
  </si>
  <si>
    <t>MTPVTorque_44</t>
  </si>
  <si>
    <t>MTPVTorque_45</t>
  </si>
  <si>
    <t>MTPVTorque_46</t>
  </si>
  <si>
    <t>MTPVTorque_47</t>
  </si>
  <si>
    <t>MTPVTorque_48</t>
  </si>
  <si>
    <t>MTPVTorque_49</t>
  </si>
  <si>
    <t>MTPVTorque_50</t>
  </si>
  <si>
    <t>MTPVTorque_51</t>
  </si>
  <si>
    <t>MTPVTorque_52</t>
  </si>
  <si>
    <t>MTPVTorque_53</t>
  </si>
  <si>
    <t>MTPVTorque_54</t>
  </si>
  <si>
    <t>MTPVTorque_55</t>
  </si>
  <si>
    <t>MTPVTorque_56</t>
  </si>
  <si>
    <t>MTPVTorque_57</t>
  </si>
  <si>
    <t>MTPVTorque_58</t>
  </si>
  <si>
    <t>MTPVTorque_59</t>
  </si>
  <si>
    <t>MTPVTorque_60</t>
  </si>
  <si>
    <t>MTPVTorque_61</t>
  </si>
  <si>
    <t>MTPVTorque_62</t>
  </si>
  <si>
    <t>MTPVTorque_63</t>
  </si>
  <si>
    <t>MTPVTorque_64</t>
  </si>
  <si>
    <t>MTPVTorque_65</t>
  </si>
  <si>
    <t>MTPVTorque_66</t>
  </si>
  <si>
    <t>MTPVTorque_67</t>
  </si>
  <si>
    <t>MTPVTorque_68</t>
  </si>
  <si>
    <t>MTPVTorque_69</t>
  </si>
  <si>
    <t>MTPVTorque_70</t>
  </si>
  <si>
    <t>MTPVTorque_71</t>
  </si>
  <si>
    <t>MTPVTorque_72</t>
  </si>
  <si>
    <t>MTPVTorque_73</t>
  </si>
  <si>
    <t>MTPVTorque_74</t>
  </si>
  <si>
    <t>MTPVTorque_75</t>
  </si>
  <si>
    <t>MTPVTorque_76</t>
  </si>
  <si>
    <t>MTPVTorque_77</t>
  </si>
  <si>
    <t>MTPVTorque_78</t>
  </si>
  <si>
    <t>MTPVTorque_79</t>
  </si>
  <si>
    <t>MTPVTorque_80</t>
  </si>
  <si>
    <t>MTPVTorque_81</t>
  </si>
  <si>
    <t>MTPVTorque_82</t>
  </si>
  <si>
    <t>MTPVTorque_83</t>
  </si>
  <si>
    <t>MTPVTorque_84</t>
  </si>
  <si>
    <t>MTPVTorque_85</t>
  </si>
  <si>
    <t>MTPVTorque_86</t>
  </si>
  <si>
    <t>MTPVTorque_87</t>
  </si>
  <si>
    <t>MTPVTorque_88</t>
  </si>
  <si>
    <t>MTPVTorque_89</t>
  </si>
  <si>
    <t>MTPVTorque_90</t>
  </si>
  <si>
    <t>MTPVTorque_91</t>
  </si>
  <si>
    <t>MTPVTorque_92</t>
  </si>
  <si>
    <t>MTPVTorque_93</t>
  </si>
  <si>
    <t>MTPVTorque_94</t>
  </si>
  <si>
    <t>MTPVTorque_95</t>
  </si>
  <si>
    <t>MTPVTorque_96</t>
  </si>
  <si>
    <t>MTPVTorque_97</t>
  </si>
  <si>
    <t>MTPVTorque_98</t>
  </si>
  <si>
    <t>MTPVTorque_99</t>
  </si>
  <si>
    <t>MTPVTorque_100</t>
  </si>
  <si>
    <t>MTPVTorque_101</t>
  </si>
  <si>
    <t>MTPVTorque_102</t>
  </si>
  <si>
    <t>MTPVTorque_103</t>
  </si>
  <si>
    <t>MTPVTorque_104</t>
  </si>
  <si>
    <t>MTPVTorque_105</t>
  </si>
  <si>
    <t>MTPVTorque_106</t>
  </si>
  <si>
    <t>MTPVTorque_107</t>
  </si>
  <si>
    <t>MTPVTorque_108</t>
  </si>
  <si>
    <t>MTPVTorque_109</t>
  </si>
  <si>
    <t>MTPVTorque_110</t>
  </si>
  <si>
    <t>MTPVTorque_111</t>
  </si>
  <si>
    <t>MTPVTorque_112</t>
  </si>
  <si>
    <t>MTPVTorque_113</t>
  </si>
  <si>
    <t>MTPVTorque_114</t>
  </si>
  <si>
    <t>MTPVTorque_115</t>
  </si>
  <si>
    <t>MTPVTorque_116</t>
  </si>
  <si>
    <t>MTPVTorque_117</t>
  </si>
  <si>
    <t>MTPVTorque_118</t>
  </si>
  <si>
    <t>MTPVTorque_119</t>
  </si>
  <si>
    <t>MTPVTorque_120</t>
  </si>
  <si>
    <t>MTPVTorque_121</t>
  </si>
  <si>
    <t>MTPVTorque_122</t>
  </si>
  <si>
    <t>MTPVTorque_123</t>
  </si>
  <si>
    <t>MTPVTorque_124</t>
  </si>
  <si>
    <t>MTPVTorque_125</t>
  </si>
  <si>
    <t>MTPVTorque_126</t>
  </si>
  <si>
    <t>MTPVTorque_127</t>
  </si>
  <si>
    <t>MTPVTorque_128</t>
  </si>
  <si>
    <t>MTPVTorque_129</t>
  </si>
  <si>
    <t>MTPVTorque_130</t>
  </si>
  <si>
    <t>MTPVTorque_131</t>
  </si>
  <si>
    <t>MTPVTorque_132</t>
  </si>
  <si>
    <t>MTPVTorque_133</t>
  </si>
  <si>
    <t>MTPVTorque_134</t>
  </si>
  <si>
    <t>MTPVTorque_135</t>
  </si>
  <si>
    <t>MTPVTorque_136</t>
  </si>
  <si>
    <t>MTPVTorque_137</t>
  </si>
  <si>
    <t>MTPVTorque_138</t>
  </si>
  <si>
    <t>MTPVTorque_139</t>
  </si>
  <si>
    <t>MTPVTorque_140</t>
  </si>
  <si>
    <t>MTPVTorque_141</t>
  </si>
  <si>
    <t>MTPVTorque_142</t>
  </si>
  <si>
    <t>MTPVTorque_143</t>
  </si>
  <si>
    <t>MTPVTorque_144</t>
  </si>
  <si>
    <t>MTPVTorque_145</t>
  </si>
  <si>
    <t>MTPVTorque_146</t>
  </si>
  <si>
    <t>MTPVTorque_147</t>
  </si>
  <si>
    <t>MTPVTorque_148</t>
  </si>
  <si>
    <t>MTPVTorque_149</t>
  </si>
  <si>
    <t>MTPVTorque_150</t>
  </si>
  <si>
    <t>MTPVTorque_151</t>
  </si>
  <si>
    <t>MTPVTorque_152</t>
  </si>
  <si>
    <t>MTPVTorque_153</t>
  </si>
  <si>
    <t>MTPVTorque_154</t>
  </si>
  <si>
    <t>MTPVTorque_155</t>
  </si>
  <si>
    <t>MTPVTorque_156</t>
  </si>
  <si>
    <t>MTPVTorque_157</t>
  </si>
  <si>
    <t>MTPVTorque_158</t>
  </si>
  <si>
    <t>MTPVTorque_159</t>
  </si>
  <si>
    <t>MTPVTorque_160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</si>
  <si>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</si>
  <si>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</si>
  <si>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</si>
  <si>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</si>
  <si>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</si>
  <si>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</si>
  <si>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</si>
  <si>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</si>
  <si>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</si>
  <si>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</si>
  <si>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</si>
  <si>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</si>
  <si>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</si>
  <si>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</si>
  <si>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</si>
  <si>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</si>
  <si>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</si>
  <si>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</si>
  <si>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</si>
  <si>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</si>
  <si>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</si>
  <si>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</si>
  <si>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</si>
  <si>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</si>
  <si>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</si>
  <si>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MTPVFlux_25</t>
  </si>
  <si>
    <t>MTPVFlux_26</t>
  </si>
  <si>
    <t>MTPVFlux_27</t>
  </si>
  <si>
    <t>MTPVFlux_28</t>
  </si>
  <si>
    <t>MTPVFlux_29</t>
  </si>
  <si>
    <t>MTPVFlux_30</t>
  </si>
  <si>
    <t>MTPVFlux_31</t>
  </si>
  <si>
    <t>MTPVFlux_32</t>
  </si>
  <si>
    <t>MTPVFlux_33</t>
  </si>
  <si>
    <t>MTPVFlux_34</t>
  </si>
  <si>
    <t>MTPVFlux_35</t>
  </si>
  <si>
    <t>MTPVFlux_36</t>
  </si>
  <si>
    <t>MTPVFlux_37</t>
  </si>
  <si>
    <t>MTPVFlux_38</t>
  </si>
  <si>
    <t>MTPVFlux_39</t>
  </si>
  <si>
    <t>MTPVFlux_40</t>
  </si>
  <si>
    <t>MTPVFlux_41</t>
  </si>
  <si>
    <t>MTPVFlux_42</t>
  </si>
  <si>
    <t>MTPVFlux_43</t>
  </si>
  <si>
    <t>MTPVFlux_44</t>
  </si>
  <si>
    <t>MTPVFlux_45</t>
  </si>
  <si>
    <t>MTPVFlux_46</t>
  </si>
  <si>
    <t>MTPVFlux_47</t>
  </si>
  <si>
    <t>MTPVFlux_48</t>
  </si>
  <si>
    <t>MTPVFlux_49</t>
  </si>
  <si>
    <t>MTPVFlux_50</t>
  </si>
  <si>
    <t>MTPVFlux_51</t>
  </si>
  <si>
    <t>MTPVFlux_52</t>
  </si>
  <si>
    <t>MTPVFlux_53</t>
  </si>
  <si>
    <t>MTPVFlux_54</t>
  </si>
  <si>
    <t>MTPVFlux_55</t>
  </si>
  <si>
    <t>MTPVFlux_56</t>
  </si>
  <si>
    <t>MTPVFlux_57</t>
  </si>
  <si>
    <t>MTPVFlux_58</t>
  </si>
  <si>
    <t>MTPVFlux_59</t>
  </si>
  <si>
    <t>MTPVFlux_60</t>
  </si>
  <si>
    <t>MTPVFlux_61</t>
  </si>
  <si>
    <t>MTPVFlux_62</t>
  </si>
  <si>
    <t>MTPVFlux_63</t>
  </si>
  <si>
    <t>MTPVFlux_64</t>
  </si>
  <si>
    <t>MTPVFlux_65</t>
  </si>
  <si>
    <t>MTPVFlux_66</t>
  </si>
  <si>
    <t>MTPVFlux_67</t>
  </si>
  <si>
    <t>MTPVFlux_68</t>
  </si>
  <si>
    <t>MTPVFlux_69</t>
  </si>
  <si>
    <t>MTPVFlux_70</t>
  </si>
  <si>
    <t>MTPVFlux_71</t>
  </si>
  <si>
    <t>MTPVFlux_72</t>
  </si>
  <si>
    <t>MTPVFlux_73</t>
  </si>
  <si>
    <t>MTPVFlux_74</t>
  </si>
  <si>
    <t>MTPVFlux_75</t>
  </si>
  <si>
    <t>MTPVFlux_76</t>
  </si>
  <si>
    <t>MTPVFlux_77</t>
  </si>
  <si>
    <t>MTPVFlux_78</t>
  </si>
  <si>
    <t>MTPVFlux_79</t>
  </si>
  <si>
    <t>MTPVFlux_80</t>
  </si>
  <si>
    <t>MTPVFlux_81</t>
  </si>
  <si>
    <t>MTPVFlux_82</t>
  </si>
  <si>
    <t>MTPVFlux_83</t>
  </si>
  <si>
    <t>MTPVFlux_84</t>
  </si>
  <si>
    <t>MTPVFlux_85</t>
  </si>
  <si>
    <t>MTPVFlux_86</t>
  </si>
  <si>
    <t>MTPVFlux_87</t>
  </si>
  <si>
    <t>MTPVFlux_88</t>
  </si>
  <si>
    <t>MTPVFlux_89</t>
  </si>
  <si>
    <t>MTPVFlux_90</t>
  </si>
  <si>
    <t>MTPVFlux_91</t>
  </si>
  <si>
    <t>MTPVFlux_92</t>
  </si>
  <si>
    <t>MTPVFlux_93</t>
  </si>
  <si>
    <t>MTPVFlux_94</t>
  </si>
  <si>
    <t>MTPVFlux_95</t>
  </si>
  <si>
    <t>MTPVFlux_96</t>
  </si>
  <si>
    <t>MTPVFlux_97</t>
  </si>
  <si>
    <t>MTPVFlux_98</t>
  </si>
  <si>
    <t>MTPVFlux_99</t>
  </si>
  <si>
    <t>MTPVFlux_100</t>
  </si>
  <si>
    <t>MTPVFlux_101</t>
  </si>
  <si>
    <t>MTPVFlux_102</t>
  </si>
  <si>
    <t>MTPVFlux_103</t>
  </si>
  <si>
    <t>MTPVFlux_104</t>
  </si>
  <si>
    <t>MTPVFlux_105</t>
  </si>
  <si>
    <t>MTPVFlux_106</t>
  </si>
  <si>
    <t>MTPVFlux_107</t>
  </si>
  <si>
    <t>MTPVFlux_108</t>
  </si>
  <si>
    <t>MTPVFlux_109</t>
  </si>
  <si>
    <t>MTPVFlux_110</t>
  </si>
  <si>
    <t>MTPVFlux_111</t>
  </si>
  <si>
    <t>MTPVFlux_112</t>
  </si>
  <si>
    <t>MTPVFlux_113</t>
  </si>
  <si>
    <t>MTPVFlux_114</t>
  </si>
  <si>
    <t>MTPVFlux_115</t>
  </si>
  <si>
    <t>MTPVFlux_116</t>
  </si>
  <si>
    <t>MTPVFlux_117</t>
  </si>
  <si>
    <t>MTPVFlux_118</t>
  </si>
  <si>
    <t>MTPVFlux_119</t>
  </si>
  <si>
    <t>MTPVFlux_120</t>
  </si>
  <si>
    <t>MTPVFlux_121</t>
  </si>
  <si>
    <t>MTPVFlux_122</t>
  </si>
  <si>
    <t>MTPVFlux_123</t>
  </si>
  <si>
    <t>MTPVFlux_124</t>
  </si>
  <si>
    <t>MTPVFlux_125</t>
  </si>
  <si>
    <t>MTPVFlux_126</t>
  </si>
  <si>
    <t>MTPVFlux_127</t>
  </si>
  <si>
    <t>MTPVFlux_128</t>
  </si>
  <si>
    <t>MTPVFlux_129</t>
  </si>
  <si>
    <t>MTPVFlux_130</t>
  </si>
  <si>
    <t>MTPVFlux_131</t>
  </si>
  <si>
    <t>MTPVFlux_132</t>
  </si>
  <si>
    <t>MTPVFlux_133</t>
  </si>
  <si>
    <t>MTPVFlux_134</t>
  </si>
  <si>
    <t>MTPVFlux_135</t>
  </si>
  <si>
    <t>MTPVFlux_136</t>
  </si>
  <si>
    <t>MTPVFlux_137</t>
  </si>
  <si>
    <t>MTPVFlux_138</t>
  </si>
  <si>
    <t>MTPVFlux_139</t>
  </si>
  <si>
    <t>MTPVFlux_140</t>
  </si>
  <si>
    <t>MTPVFlux_141</t>
  </si>
  <si>
    <t>MTPVFlux_142</t>
  </si>
  <si>
    <t>MTPVFlux_143</t>
  </si>
  <si>
    <t>MTPVFlux_144</t>
  </si>
  <si>
    <t>MTPVFlux_145</t>
  </si>
  <si>
    <t>MTPVFlux_146</t>
  </si>
  <si>
    <t>MTPVFlux_147</t>
  </si>
  <si>
    <t>MTPVFlux_148</t>
  </si>
  <si>
    <t>MTPVFlux_149</t>
  </si>
  <si>
    <t>MTPVFlux_150</t>
  </si>
  <si>
    <t>MTPVFlux_151</t>
  </si>
  <si>
    <t>MTPVFlux_152</t>
  </si>
  <si>
    <t>MTPVFlux_153</t>
  </si>
  <si>
    <t>MTPVFlux_154</t>
  </si>
  <si>
    <t>MTPVFlux_155</t>
  </si>
  <si>
    <t>MTPVFlux_156</t>
  </si>
  <si>
    <t>MTPVFlux_157</t>
  </si>
  <si>
    <t>MTPVFlux_158</t>
  </si>
  <si>
    <t>MTPVFlux_159</t>
  </si>
  <si>
    <t>MTPVFlux_160</t>
  </si>
  <si>
    <t>MTPVAngle_0</t>
  </si>
  <si>
    <t>MTPVAngle_1</t>
  </si>
  <si>
    <t>MTPVAngle_2</t>
  </si>
  <si>
    <t>MTPVAngle_3</t>
  </si>
  <si>
    <t>MTPVAngle_4</t>
  </si>
  <si>
    <t>MTPVAngle_5</t>
  </si>
  <si>
    <t>MTPVAngle_6</t>
  </si>
  <si>
    <t>MTPVAngle_7</t>
  </si>
  <si>
    <t>MTPVAngle_8</t>
  </si>
  <si>
    <t>MTPVAngle_9</t>
  </si>
  <si>
    <t>MTPVAngle_10</t>
  </si>
  <si>
    <t>MTPVAngle_11</t>
  </si>
  <si>
    <t>MTPVAngle_12</t>
  </si>
  <si>
    <t>MTPVAngle_13</t>
  </si>
  <si>
    <t>MTPVAngle_14</t>
  </si>
  <si>
    <t>MTPVAngle_15</t>
  </si>
  <si>
    <t>MTPVAngle_16</t>
  </si>
  <si>
    <t>MTPVAngle_17</t>
  </si>
  <si>
    <t>MTPVAngle_18</t>
  </si>
  <si>
    <t>MTPVAngle_19</t>
  </si>
  <si>
    <t>MTPVAngle_20</t>
  </si>
  <si>
    <t>MTPVAngle_21</t>
  </si>
  <si>
    <t>MTPVAngle_22</t>
  </si>
  <si>
    <t>MTPVAngle_23</t>
  </si>
  <si>
    <t>MTPVAngle_24</t>
  </si>
  <si>
    <t>MTPVAngle_25</t>
  </si>
  <si>
    <t>MTPVAngle_26</t>
  </si>
  <si>
    <t>MTPVAngle_27</t>
  </si>
  <si>
    <t>MTPVAngle_28</t>
  </si>
  <si>
    <t>MTPVAngle_29</t>
  </si>
  <si>
    <t>MTPVAngle_30</t>
  </si>
  <si>
    <t>MTPVAngle_31</t>
  </si>
  <si>
    <t>MTPVAngle_32</t>
  </si>
  <si>
    <t>MTPVAngle_33</t>
  </si>
  <si>
    <t>MTPVAngle_34</t>
  </si>
  <si>
    <t>MTPVAngle_35</t>
  </si>
  <si>
    <t>MTPVAngle_36</t>
  </si>
  <si>
    <t>MTPVAngle_37</t>
  </si>
  <si>
    <t>MTPVAngle_38</t>
  </si>
  <si>
    <t>MTPVAngle_39</t>
  </si>
  <si>
    <t>MTPVAngle_40</t>
  </si>
  <si>
    <t>MTPVAngle_41</t>
  </si>
  <si>
    <t>MTPVAngle_42</t>
  </si>
  <si>
    <t>MTPVAngle_43</t>
  </si>
  <si>
    <t>MTPVAngle_44</t>
  </si>
  <si>
    <t>MTPVAngle_45</t>
  </si>
  <si>
    <t>MTPVAngle_46</t>
  </si>
  <si>
    <t>MTPVAngle_47</t>
  </si>
  <si>
    <t>MTPVAngle_48</t>
  </si>
  <si>
    <t>MTPVAngle_49</t>
  </si>
  <si>
    <t>MTPVAngle_50</t>
  </si>
  <si>
    <t>MTPVAngle_51</t>
  </si>
  <si>
    <t>MTPVAngle_52</t>
  </si>
  <si>
    <t>MTPVAngle_53</t>
  </si>
  <si>
    <t>MTPVAngle_54</t>
  </si>
  <si>
    <t>MTPVAngle_55</t>
  </si>
  <si>
    <t>MTPVAngle_56</t>
  </si>
  <si>
    <t>MTPVAngle_57</t>
  </si>
  <si>
    <t>MTPVAngle_58</t>
  </si>
  <si>
    <t>MTPVAngle_59</t>
  </si>
  <si>
    <t>MTPVAngle_60</t>
  </si>
  <si>
    <t>MTPVAngle_61</t>
  </si>
  <si>
    <t>MTPVAngle_62</t>
  </si>
  <si>
    <t>MTPVAngle_63</t>
  </si>
  <si>
    <t>MTPVAngle_64</t>
  </si>
  <si>
    <t>MTPVAngle_65</t>
  </si>
  <si>
    <t>MTPVAngle_66</t>
  </si>
  <si>
    <t>MTPVAngle_67</t>
  </si>
  <si>
    <t>MTPVAngle_68</t>
  </si>
  <si>
    <t>MTPVAngle_69</t>
  </si>
  <si>
    <t>MTPVAngle_70</t>
  </si>
  <si>
    <t>MTPVAngle_71</t>
  </si>
  <si>
    <t>MTPVAngle_72</t>
  </si>
  <si>
    <t>MTPVAngle_73</t>
  </si>
  <si>
    <t>MTPVAngle_74</t>
  </si>
  <si>
    <t>MTPVAngle_75</t>
  </si>
  <si>
    <t>MTPVAngle_76</t>
  </si>
  <si>
    <t>MTPVAngle_77</t>
  </si>
  <si>
    <t>MTPVAngle_78</t>
  </si>
  <si>
    <t>MTPVAngle_79</t>
  </si>
  <si>
    <t>MTPVAngle_80</t>
  </si>
  <si>
    <t>MTPVAngle_81</t>
  </si>
  <si>
    <t>MTPVAngle_82</t>
  </si>
  <si>
    <t>MTPVAngle_83</t>
  </si>
  <si>
    <t>MTPVAngle_84</t>
  </si>
  <si>
    <t>MTPVAngle_85</t>
  </si>
  <si>
    <t>MTPVAngle_86</t>
  </si>
  <si>
    <t>MTPVAngle_87</t>
  </si>
  <si>
    <t>MTPVAngle_88</t>
  </si>
  <si>
    <t>MTPVAngle_89</t>
  </si>
  <si>
    <t>MTPVAngle_90</t>
  </si>
  <si>
    <t>MTPVAngle_91</t>
  </si>
  <si>
    <t>MTPVAngle_92</t>
  </si>
  <si>
    <t>MTPVAngle_93</t>
  </si>
  <si>
    <t>MTPVAngle_94</t>
  </si>
  <si>
    <t>MTPVAngle_95</t>
  </si>
  <si>
    <t>MTPVAngle_96</t>
  </si>
  <si>
    <t>MTPVAngle_97</t>
  </si>
  <si>
    <t>MTPVAngle_98</t>
  </si>
  <si>
    <t>MTPVAngle_99</t>
  </si>
  <si>
    <t>MTPVAngle_100</t>
  </si>
  <si>
    <t>MTPVAngle_101</t>
  </si>
  <si>
    <t>MTPVAngle_102</t>
  </si>
  <si>
    <t>MTPVAngle_103</t>
  </si>
  <si>
    <t>MTPVAngle_104</t>
  </si>
  <si>
    <t>MTPVAngle_105</t>
  </si>
  <si>
    <t>MTPVAngle_106</t>
  </si>
  <si>
    <t>MTPVAngle_107</t>
  </si>
  <si>
    <t>MTPVAngle_108</t>
  </si>
  <si>
    <t>MTPVAngle_109</t>
  </si>
  <si>
    <t>MTPVAngle_110</t>
  </si>
  <si>
    <t>MTPVAngle_111</t>
  </si>
  <si>
    <t>MTPVAngle_112</t>
  </si>
  <si>
    <t>MTPVAngle_113</t>
  </si>
  <si>
    <t>MTPVAngle_114</t>
  </si>
  <si>
    <t>MTPVAngle_115</t>
  </si>
  <si>
    <t>MTPVAngle_116</t>
  </si>
  <si>
    <t>MTPVAngle_117</t>
  </si>
  <si>
    <t>MTPVAngle_118</t>
  </si>
  <si>
    <t>MTPVAngle_119</t>
  </si>
  <si>
    <t>MTPVAngle_120</t>
  </si>
  <si>
    <t>MTPVAngle_121</t>
  </si>
  <si>
    <t>MTPVAngle_122</t>
  </si>
  <si>
    <t>MTPVAngle_123</t>
  </si>
  <si>
    <t>MTPVAngle_124</t>
  </si>
  <si>
    <t>MTPVAngle_125</t>
  </si>
  <si>
    <t>MTPVAngle_126</t>
  </si>
  <si>
    <t>MTPVAngle_127</t>
  </si>
  <si>
    <t>MTPVAngle_128</t>
  </si>
  <si>
    <t>MTPVAngle_129</t>
  </si>
  <si>
    <t>MTPVAngle_130</t>
  </si>
  <si>
    <t>MTPVAngle_131</t>
  </si>
  <si>
    <t>MTPVAngle_132</t>
  </si>
  <si>
    <t>MTPVAngle_133</t>
  </si>
  <si>
    <t>MTPVAngle_134</t>
  </si>
  <si>
    <t>MTPVAngle_135</t>
  </si>
  <si>
    <t>MTPVAngle_136</t>
  </si>
  <si>
    <t>MTPVAngle_137</t>
  </si>
  <si>
    <t>MTPVAngle_138</t>
  </si>
  <si>
    <t>MTPVAngle_139</t>
  </si>
  <si>
    <t>MTPVAngle_140</t>
  </si>
  <si>
    <t>MTPVAngle_141</t>
  </si>
  <si>
    <t>MTPVAngle_142</t>
  </si>
  <si>
    <t>MTPVAngle_143</t>
  </si>
  <si>
    <t>MTPVAngle_144</t>
  </si>
  <si>
    <t>MTPVAngle_145</t>
  </si>
  <si>
    <t>MTPVAngle_146</t>
  </si>
  <si>
    <t>MTPVAngle_147</t>
  </si>
  <si>
    <t>MTPVAngle_148</t>
  </si>
  <si>
    <t>MTPVAngle_149</t>
  </si>
  <si>
    <t>MTPVAngle_150</t>
  </si>
  <si>
    <t>MTPVAngle_151</t>
  </si>
  <si>
    <t>MTPVAngle_152</t>
  </si>
  <si>
    <t>MTPVAngle_153</t>
  </si>
  <si>
    <t>MTPVAngle_154</t>
  </si>
  <si>
    <t>MTPVAngle_155</t>
  </si>
  <si>
    <t>MTPVAngle_156</t>
  </si>
  <si>
    <t>MTPVAngle_157</t>
  </si>
  <si>
    <t>MTPVAngle_158</t>
  </si>
  <si>
    <t>MTPVAngle_159</t>
  </si>
  <si>
    <t>MTPVAngle_160</t>
  </si>
  <si>
    <t>Deg</t>
  </si>
  <si>
    <t>Mtpv_Flux_0</t>
  </si>
  <si>
    <t>Mtpv_Torque_0</t>
  </si>
  <si>
    <t>Mtpv_Angle_0</t>
  </si>
  <si>
    <t>Mtpv_Flux_1</t>
  </si>
  <si>
    <t>Mtpv_Torque_1</t>
  </si>
  <si>
    <t>Mtpv_Angle_1</t>
  </si>
  <si>
    <t>Mtpv_Flux_2</t>
  </si>
  <si>
    <t>Mtpv_Torque_2</t>
  </si>
  <si>
    <t>Mtpv_Angle_2</t>
  </si>
  <si>
    <t>Mtpv_Flux_3</t>
  </si>
  <si>
    <t>Mtpv_Torque_3</t>
  </si>
  <si>
    <t>Mtpv_Angle_3</t>
  </si>
  <si>
    <t>Mtpv_Flux_4</t>
  </si>
  <si>
    <t>Mtpv_Torque_4</t>
  </si>
  <si>
    <t>Mtpv_Angle_4</t>
  </si>
  <si>
    <t>Mtpv_Flux_5</t>
  </si>
  <si>
    <t>Mtpv_Torque_5</t>
  </si>
  <si>
    <t>Mtpv_Angle_5</t>
  </si>
  <si>
    <t>Mtpv_Flux_6</t>
  </si>
  <si>
    <t>Mtpv_Torque_6</t>
  </si>
  <si>
    <t>Mtpv_Angle_6</t>
  </si>
  <si>
    <t>Mtpv_Flux_7</t>
  </si>
  <si>
    <t>Mtpv_Torque_7</t>
  </si>
  <si>
    <t>Mtpv_Angle_7</t>
  </si>
  <si>
    <t>Mtpv_Flux_8</t>
  </si>
  <si>
    <t>Mtpv_Torque_8</t>
  </si>
  <si>
    <t>Mtpv_Angle_8</t>
  </si>
  <si>
    <t>Mtpv_Flux_9</t>
  </si>
  <si>
    <t>Mtpv_Torque_9</t>
  </si>
  <si>
    <t>Mtpv_Angle_9</t>
  </si>
  <si>
    <t>Mtpv_Flux_10</t>
  </si>
  <si>
    <t>Mtpv_Torque_10</t>
  </si>
  <si>
    <t>Mtpv_Angle_10</t>
  </si>
  <si>
    <t>Mtpv_Flux_11</t>
  </si>
  <si>
    <t>Mtpv_Torque_11</t>
  </si>
  <si>
    <t>Mtpv_Angle_11</t>
  </si>
  <si>
    <t>Mtpv_Flux_12</t>
  </si>
  <si>
    <t>Mtpv_Torque_12</t>
  </si>
  <si>
    <t>Mtpv_Angle_12</t>
  </si>
  <si>
    <t>Mtpv_Flux_13</t>
  </si>
  <si>
    <t>Mtpv_Torque_13</t>
  </si>
  <si>
    <t>Mtpv_Angle_13</t>
  </si>
  <si>
    <t>Mtpv_Flux_14</t>
  </si>
  <si>
    <t>Mtpv_Torque_14</t>
  </si>
  <si>
    <t>Mtpv_Angle_14</t>
  </si>
  <si>
    <t>Mtpv_Flux_15</t>
  </si>
  <si>
    <t>Mtpv_Torque_15</t>
  </si>
  <si>
    <t>Mtpv_Angle_15</t>
  </si>
  <si>
    <t>Mtpv_Flux_16</t>
  </si>
  <si>
    <t>Mtpv_Torque_16</t>
  </si>
  <si>
    <t>Mtpv_Angle_16</t>
  </si>
  <si>
    <t>Mtpv_Flux_17</t>
  </si>
  <si>
    <t>Mtpv_Torque_17</t>
  </si>
  <si>
    <t>Mtpv_Angle_17</t>
  </si>
  <si>
    <t>Mtpv_Flux_18</t>
  </si>
  <si>
    <t>Mtpv_Torque_18</t>
  </si>
  <si>
    <t>Mtpv_Angle_18</t>
  </si>
  <si>
    <t>Mtpv_Flux_19</t>
  </si>
  <si>
    <t>Mtpv_Torque_19</t>
  </si>
  <si>
    <t>Mtpv_Angle_19</t>
  </si>
  <si>
    <t>Mtpv_Flux_20</t>
  </si>
  <si>
    <t>Mtpv_Torque_20</t>
  </si>
  <si>
    <t>Mtpv_Angle_20</t>
  </si>
  <si>
    <t>Mtpv_Flux_21</t>
  </si>
  <si>
    <t>Mtpv_Torque_21</t>
  </si>
  <si>
    <t>Mtpv_Angle_21</t>
  </si>
  <si>
    <t>Mtpv_Flux_22</t>
  </si>
  <si>
    <t>Mtpv_Torque_22</t>
  </si>
  <si>
    <t>Mtpv_Angle_22</t>
  </si>
  <si>
    <t>Mtpv_Flux_23</t>
  </si>
  <si>
    <t>Mtpv_Torque_23</t>
  </si>
  <si>
    <t>Mtpv_Angle_23</t>
  </si>
  <si>
    <t>Mtpv_Flux_24</t>
  </si>
  <si>
    <t>Mtpv_Torque_24</t>
  </si>
  <si>
    <t>Mtpv_Angle_24</t>
  </si>
  <si>
    <t>Mtpv_Flux_25</t>
  </si>
  <si>
    <t>Mtpv_Torque_25</t>
  </si>
  <si>
    <t>Mtpv_Angle_25</t>
  </si>
  <si>
    <t>Mtpv_Flux_26</t>
  </si>
  <si>
    <t>Mtpv_Torque_26</t>
  </si>
  <si>
    <t>Mtpv_Angle_26</t>
  </si>
  <si>
    <t>Mtpv_Flux_27</t>
  </si>
  <si>
    <t>Mtpv_Torque_27</t>
  </si>
  <si>
    <t>Mtpv_Angle_27</t>
  </si>
  <si>
    <t>Mtpv_Flux_28</t>
  </si>
  <si>
    <t>Mtpv_Torque_28</t>
  </si>
  <si>
    <t>Mtpv_Angle_28</t>
  </si>
  <si>
    <t>Mtpv_Flux_29</t>
  </si>
  <si>
    <t>Mtpv_Torque_29</t>
  </si>
  <si>
    <t>Mtpv_Angle_29</t>
  </si>
  <si>
    <t>Mtpv_Flux_30</t>
  </si>
  <si>
    <t>Mtpv_Torque_30</t>
  </si>
  <si>
    <t>Mtpv_Angle_30</t>
  </si>
  <si>
    <t>Mtpv_Flux_31</t>
  </si>
  <si>
    <t>Mtpv_Torque_31</t>
  </si>
  <si>
    <t>Mtpv_Angle_31</t>
  </si>
  <si>
    <t>Mtpv_Flux_32</t>
  </si>
  <si>
    <t>Mtpv_Torque_32</t>
  </si>
  <si>
    <t>Mtpv_Angle_32</t>
  </si>
  <si>
    <t>Mtpv_Flux_33</t>
  </si>
  <si>
    <t>Mtpv_Torque_33</t>
  </si>
  <si>
    <t>Mtpv_Angle_33</t>
  </si>
  <si>
    <t>Mtpv_Flux_34</t>
  </si>
  <si>
    <t>Mtpv_Torque_34</t>
  </si>
  <si>
    <t>Mtpv_Angle_34</t>
  </si>
  <si>
    <t>Mtpv_Flux_35</t>
  </si>
  <si>
    <t>Mtpv_Torque_35</t>
  </si>
  <si>
    <t>Mtpv_Angle_35</t>
  </si>
  <si>
    <t>Mtpv_Flux_36</t>
  </si>
  <si>
    <t>Mtpv_Torque_36</t>
  </si>
  <si>
    <t>Mtpv_Angle_36</t>
  </si>
  <si>
    <t>Mtpv_Flux_37</t>
  </si>
  <si>
    <t>Mtpv_Torque_37</t>
  </si>
  <si>
    <t>Mtpv_Angle_37</t>
  </si>
  <si>
    <t>Mtpv_Flux_38</t>
  </si>
  <si>
    <t>Mtpv_Torque_38</t>
  </si>
  <si>
    <t>Mtpv_Angle_38</t>
  </si>
  <si>
    <t>Mtpv_Flux_39</t>
  </si>
  <si>
    <t>Mtpv_Torque_39</t>
  </si>
  <si>
    <t>Mtpv_Angle_39</t>
  </si>
  <si>
    <t>Mtpv_Flux_40</t>
  </si>
  <si>
    <t>Mtpv_Torque_40</t>
  </si>
  <si>
    <t>Mtpv_Angle_40</t>
  </si>
  <si>
    <t>Mtpv_Flux_41</t>
  </si>
  <si>
    <t>Mtpv_Torque_41</t>
  </si>
  <si>
    <t>Mtpv_Angle_41</t>
  </si>
  <si>
    <t>Mtpv_Flux_42</t>
  </si>
  <si>
    <t>Mtpv_Torque_42</t>
  </si>
  <si>
    <t>Mtpv_Angle_42</t>
  </si>
  <si>
    <t>Mtpv_Flux_43</t>
  </si>
  <si>
    <t>Mtpv_Torque_43</t>
  </si>
  <si>
    <t>Mtpv_Angle_43</t>
  </si>
  <si>
    <t>Mtpv_Flux_44</t>
  </si>
  <si>
    <t>Mtpv_Torque_44</t>
  </si>
  <si>
    <t>Mtpv_Angle_44</t>
  </si>
  <si>
    <t>Mtpv_Flux_45</t>
  </si>
  <si>
    <t>Mtpv_Torque_45</t>
  </si>
  <si>
    <t>Mtpv_Angle_45</t>
  </si>
  <si>
    <t>Mtpv_Flux_46</t>
  </si>
  <si>
    <t>Mtpv_Torque_46</t>
  </si>
  <si>
    <t>Mtpv_Angle_46</t>
  </si>
  <si>
    <t>Mtpv_Flux_47</t>
  </si>
  <si>
    <t>Mtpv_Torque_47</t>
  </si>
  <si>
    <t>Mtpv_Angle_47</t>
  </si>
  <si>
    <t>Mtpv_Flux_48</t>
  </si>
  <si>
    <t>Mtpv_Torque_48</t>
  </si>
  <si>
    <t>Mtpv_Angle_48</t>
  </si>
  <si>
    <t>Mtpv_Flux_49</t>
  </si>
  <si>
    <t>Mtpv_Torque_49</t>
  </si>
  <si>
    <t>Mtpv_Angle_49</t>
  </si>
  <si>
    <t>Mtpv_Flux_50</t>
  </si>
  <si>
    <t>Mtpv_Torque_50</t>
  </si>
  <si>
    <t>Mtpv_Angle_50</t>
  </si>
  <si>
    <t>Mtpv_Flux_51</t>
  </si>
  <si>
    <t>Mtpv_Torque_51</t>
  </si>
  <si>
    <t>Mtpv_Angle_51</t>
  </si>
  <si>
    <t>Mtpv_Flux_52</t>
  </si>
  <si>
    <t>Mtpv_Torque_52</t>
  </si>
  <si>
    <t>Mtpv_Angle_52</t>
  </si>
  <si>
    <t>Mtpv_Flux_53</t>
  </si>
  <si>
    <t>Mtpv_Torque_53</t>
  </si>
  <si>
    <t>Mtpv_Angle_53</t>
  </si>
  <si>
    <t>Mtpv_Flux_54</t>
  </si>
  <si>
    <t>Mtpv_Torque_54</t>
  </si>
  <si>
    <t>Mtpv_Angle_54</t>
  </si>
  <si>
    <t>Mtpv_Flux_55</t>
  </si>
  <si>
    <t>Mtpv_Torque_55</t>
  </si>
  <si>
    <t>Mtpv_Angle_55</t>
  </si>
  <si>
    <t>Mtpv_Flux_56</t>
  </si>
  <si>
    <t>Mtpv_Torque_56</t>
  </si>
  <si>
    <t>Mtpv_Angle_56</t>
  </si>
  <si>
    <t>Mtpv_Flux_57</t>
  </si>
  <si>
    <t>Mtpv_Torque_57</t>
  </si>
  <si>
    <t>Mtpv_Angle_57</t>
  </si>
  <si>
    <t>Mtpv_Flux_58</t>
  </si>
  <si>
    <t>Mtpv_Torque_58</t>
  </si>
  <si>
    <t>Mtpv_Angle_58</t>
  </si>
  <si>
    <t>Mtpv_Flux_59</t>
  </si>
  <si>
    <t>Mtpv_Torque_59</t>
  </si>
  <si>
    <t>Mtpv_Angle_59</t>
  </si>
  <si>
    <t>Mtpv_Flux_60</t>
  </si>
  <si>
    <t>Mtpv_Torque_60</t>
  </si>
  <si>
    <t>Mtpv_Angle_60</t>
  </si>
  <si>
    <t>Mtpv_Flux_61</t>
  </si>
  <si>
    <t>Mtpv_Torque_61</t>
  </si>
  <si>
    <t>Mtpv_Angle_61</t>
  </si>
  <si>
    <t>Mtpv_Flux_62</t>
  </si>
  <si>
    <t>Mtpv_Torque_62</t>
  </si>
  <si>
    <t>Mtpv_Angle_62</t>
  </si>
  <si>
    <t>Mtpv_Flux_63</t>
  </si>
  <si>
    <t>Mtpv_Torque_63</t>
  </si>
  <si>
    <t>Mtpv_Angle_63</t>
  </si>
  <si>
    <t>Mtpv_Flux_64</t>
  </si>
  <si>
    <t>Mtpv_Torque_64</t>
  </si>
  <si>
    <t>Mtpv_Angle_64</t>
  </si>
  <si>
    <t>Mtpv_Flux_65</t>
  </si>
  <si>
    <t>Mtpv_Torque_65</t>
  </si>
  <si>
    <t>Mtpv_Angle_65</t>
  </si>
  <si>
    <t>Mtpv_Flux_66</t>
  </si>
  <si>
    <t>Mtpv_Torque_66</t>
  </si>
  <si>
    <t>Mtpv_Angle_66</t>
  </si>
  <si>
    <t>Mtpv_Flux_67</t>
  </si>
  <si>
    <t>Mtpv_Torque_67</t>
  </si>
  <si>
    <t>Mtpv_Angle_67</t>
  </si>
  <si>
    <t>Mtpv_Flux_68</t>
  </si>
  <si>
    <t>Mtpv_Torque_68</t>
  </si>
  <si>
    <t>Mtpv_Angle_68</t>
  </si>
  <si>
    <t>Mtpv_Flux_69</t>
  </si>
  <si>
    <t>Mtpv_Torque_69</t>
  </si>
  <si>
    <t>Mtpv_Angle_69</t>
  </si>
  <si>
    <t>Mtpv_Flux_70</t>
  </si>
  <si>
    <t>Mtpv_Torque_70</t>
  </si>
  <si>
    <t>Mtpv_Angle_70</t>
  </si>
  <si>
    <t>Mtpv_Flux_71</t>
  </si>
  <si>
    <t>Mtpv_Torque_71</t>
  </si>
  <si>
    <t>Mtpv_Angle_71</t>
  </si>
  <si>
    <t>Mtpv_Flux_72</t>
  </si>
  <si>
    <t>Mtpv_Torque_72</t>
  </si>
  <si>
    <t>Mtpv_Angle_72</t>
  </si>
  <si>
    <t>Mtpv_Flux_73</t>
  </si>
  <si>
    <t>Mtpv_Torque_73</t>
  </si>
  <si>
    <t>Mtpv_Angle_73</t>
  </si>
  <si>
    <t>Mtpv_Flux_74</t>
  </si>
  <si>
    <t>Mtpv_Torque_74</t>
  </si>
  <si>
    <t>Mtpv_Angle_74</t>
  </si>
  <si>
    <t>Mtpv_Flux_75</t>
  </si>
  <si>
    <t>Mtpv_Torque_75</t>
  </si>
  <si>
    <t>Mtpv_Angle_75</t>
  </si>
  <si>
    <t>Mtpv_Flux_76</t>
  </si>
  <si>
    <t>Mtpv_Torque_76</t>
  </si>
  <si>
    <t>Mtpv_Angle_76</t>
  </si>
  <si>
    <t>Mtpv_Flux_77</t>
  </si>
  <si>
    <t>Mtpv_Torque_77</t>
  </si>
  <si>
    <t>Mtpv_Angle_77</t>
  </si>
  <si>
    <t>Mtpv_Flux_78</t>
  </si>
  <si>
    <t>Mtpv_Torque_78</t>
  </si>
  <si>
    <t>Mtpv_Angle_78</t>
  </si>
  <si>
    <t>Mtpv_Flux_79</t>
  </si>
  <si>
    <t>Mtpv_Torque_79</t>
  </si>
  <si>
    <t>Mtpv_Angle_79</t>
  </si>
  <si>
    <t>Mtpv_Flux_80</t>
  </si>
  <si>
    <t>Mtpv_Torque_80</t>
  </si>
  <si>
    <t>Mtpv_Angle_80</t>
  </si>
  <si>
    <t>Mtpv_Flux_81</t>
  </si>
  <si>
    <t>Mtpv_Torque_81</t>
  </si>
  <si>
    <t>Mtpv_Angle_81</t>
  </si>
  <si>
    <t>Mtpv_Flux_82</t>
  </si>
  <si>
    <t>Mtpv_Torque_82</t>
  </si>
  <si>
    <t>Mtpv_Angle_82</t>
  </si>
  <si>
    <t>Mtpv_Flux_83</t>
  </si>
  <si>
    <t>Mtpv_Torque_83</t>
  </si>
  <si>
    <t>Mtpv_Angle_83</t>
  </si>
  <si>
    <t>Mtpv_Flux_84</t>
  </si>
  <si>
    <t>Mtpv_Torque_84</t>
  </si>
  <si>
    <t>Mtpv_Angle_84</t>
  </si>
  <si>
    <t>Mtpv_Flux_85</t>
  </si>
  <si>
    <t>Mtpv_Torque_85</t>
  </si>
  <si>
    <t>Mtpv_Angle_85</t>
  </si>
  <si>
    <t>Mtpv_Flux_86</t>
  </si>
  <si>
    <t>Mtpv_Torque_86</t>
  </si>
  <si>
    <t>Mtpv_Angle_86</t>
  </si>
  <si>
    <t>Mtpv_Flux_87</t>
  </si>
  <si>
    <t>Mtpv_Torque_87</t>
  </si>
  <si>
    <t>Mtpv_Angle_87</t>
  </si>
  <si>
    <t>Mtpv_Flux_88</t>
  </si>
  <si>
    <t>Mtpv_Torque_88</t>
  </si>
  <si>
    <t>Mtpv_Angle_88</t>
  </si>
  <si>
    <t>Mtpv_Flux_89</t>
  </si>
  <si>
    <t>Mtpv_Torque_89</t>
  </si>
  <si>
    <t>Mtpv_Angle_89</t>
  </si>
  <si>
    <t>Mtpv_Flux_90</t>
  </si>
  <si>
    <t>Mtpv_Torque_90</t>
  </si>
  <si>
    <t>Mtpv_Angle_90</t>
  </si>
  <si>
    <t>Mtpv_Flux_91</t>
  </si>
  <si>
    <t>Mtpv_Torque_91</t>
  </si>
  <si>
    <t>Mtpv_Angle_91</t>
  </si>
  <si>
    <t>Mtpv_Flux_92</t>
  </si>
  <si>
    <t>Mtpv_Torque_92</t>
  </si>
  <si>
    <t>Mtpv_Angle_92</t>
  </si>
  <si>
    <t>Mtpv_Flux_93</t>
  </si>
  <si>
    <t>Mtpv_Torque_93</t>
  </si>
  <si>
    <t>Mtpv_Angle_93</t>
  </si>
  <si>
    <t>Mtpv_Flux_94</t>
  </si>
  <si>
    <t>Mtpv_Torque_94</t>
  </si>
  <si>
    <t>Mtpv_Angle_94</t>
  </si>
  <si>
    <t>Mtpv_Flux_95</t>
  </si>
  <si>
    <t>Mtpv_Torque_95</t>
  </si>
  <si>
    <t>Mtpv_Angle_95</t>
  </si>
  <si>
    <t>Mtpv_Flux_96</t>
  </si>
  <si>
    <t>Mtpv_Torque_96</t>
  </si>
  <si>
    <t>Mtpv_Angle_96</t>
  </si>
  <si>
    <t>Mtpv_Flux_97</t>
  </si>
  <si>
    <t>Mtpv_Torque_97</t>
  </si>
  <si>
    <t>Mtpv_Angle_97</t>
  </si>
  <si>
    <t>Mtpv_Flux_98</t>
  </si>
  <si>
    <t>Mtpv_Torque_98</t>
  </si>
  <si>
    <t>Mtpv_Angle_98</t>
  </si>
  <si>
    <t>Mtpv_Flux_99</t>
  </si>
  <si>
    <t>Mtpv_Torque_99</t>
  </si>
  <si>
    <t>Mtpv_Angle_99</t>
  </si>
  <si>
    <t>Mtpv_Flux_100</t>
  </si>
  <si>
    <t>Mtpv_Torque_100</t>
  </si>
  <si>
    <t>Mtpv_Angle_100</t>
  </si>
  <si>
    <t>Mtpv_Flux_101</t>
  </si>
  <si>
    <t>Mtpv_Torque_101</t>
  </si>
  <si>
    <t>Mtpv_Angle_101</t>
  </si>
  <si>
    <t>Mtpv_Flux_102</t>
  </si>
  <si>
    <t>Mtpv_Torque_102</t>
  </si>
  <si>
    <t>Mtpv_Angle_102</t>
  </si>
  <si>
    <t>Mtpv_Flux_103</t>
  </si>
  <si>
    <t>Mtpv_Torque_103</t>
  </si>
  <si>
    <t>Mtpv_Angle_103</t>
  </si>
  <si>
    <t>Mtpv_Flux_104</t>
  </si>
  <si>
    <t>Mtpv_Torque_104</t>
  </si>
  <si>
    <t>Mtpv_Angle_104</t>
  </si>
  <si>
    <t>Mtpv_Flux_105</t>
  </si>
  <si>
    <t>Mtpv_Torque_105</t>
  </si>
  <si>
    <t>Mtpv_Angle_105</t>
  </si>
  <si>
    <t>Mtpv_Flux_106</t>
  </si>
  <si>
    <t>Mtpv_Torque_106</t>
  </si>
  <si>
    <t>Mtpv_Angle_106</t>
  </si>
  <si>
    <t>Mtpv_Flux_107</t>
  </si>
  <si>
    <t>Mtpv_Torque_107</t>
  </si>
  <si>
    <t>Mtpv_Angle_107</t>
  </si>
  <si>
    <t>Mtpv_Flux_108</t>
  </si>
  <si>
    <t>Mtpv_Torque_108</t>
  </si>
  <si>
    <t>Mtpv_Angle_108</t>
  </si>
  <si>
    <t>Mtpv_Flux_109</t>
  </si>
  <si>
    <t>Mtpv_Torque_109</t>
  </si>
  <si>
    <t>Mtpv_Angle_109</t>
  </si>
  <si>
    <t>Mtpv_Flux_110</t>
  </si>
  <si>
    <t>Mtpv_Torque_110</t>
  </si>
  <si>
    <t>Mtpv_Angle_110</t>
  </si>
  <si>
    <t>Mtpv_Flux_111</t>
  </si>
  <si>
    <t>Mtpv_Torque_111</t>
  </si>
  <si>
    <t>Mtpv_Angle_111</t>
  </si>
  <si>
    <t>Mtpv_Flux_112</t>
  </si>
  <si>
    <t>Mtpv_Torque_112</t>
  </si>
  <si>
    <t>Mtpv_Angle_112</t>
  </si>
  <si>
    <t>Mtpv_Flux_113</t>
  </si>
  <si>
    <t>Mtpv_Torque_113</t>
  </si>
  <si>
    <t>Mtpv_Angle_113</t>
  </si>
  <si>
    <t>Mtpv_Flux_114</t>
  </si>
  <si>
    <t>Mtpv_Torque_114</t>
  </si>
  <si>
    <t>Mtpv_Angle_114</t>
  </si>
  <si>
    <t>Mtpv_Flux_115</t>
  </si>
  <si>
    <t>Mtpv_Torque_115</t>
  </si>
  <si>
    <t>Mtpv_Angle_115</t>
  </si>
  <si>
    <t>Mtpv_Flux_116</t>
  </si>
  <si>
    <t>Mtpv_Torque_116</t>
  </si>
  <si>
    <t>Mtpv_Angle_116</t>
  </si>
  <si>
    <t>Mtpv_Flux_117</t>
  </si>
  <si>
    <t>Mtpv_Torque_117</t>
  </si>
  <si>
    <t>Mtpv_Angle_117</t>
  </si>
  <si>
    <t>Mtpv_Flux_118</t>
  </si>
  <si>
    <t>Mtpv_Torque_118</t>
  </si>
  <si>
    <t>Mtpv_Angle_118</t>
  </si>
  <si>
    <t>Mtpv_Flux_119</t>
  </si>
  <si>
    <t>Mtpv_Torque_119</t>
  </si>
  <si>
    <t>Mtpv_Angle_119</t>
  </si>
  <si>
    <t>Mtpv_Flux_120</t>
  </si>
  <si>
    <t>Mtpv_Torque_120</t>
  </si>
  <si>
    <t>Mtpv_Angle_120</t>
  </si>
  <si>
    <t>Mtpv_Flux_121</t>
  </si>
  <si>
    <t>Mtpv_Torque_121</t>
  </si>
  <si>
    <t>Mtpv_Angle_121</t>
  </si>
  <si>
    <t>Mtpv_Flux_122</t>
  </si>
  <si>
    <t>Mtpv_Torque_122</t>
  </si>
  <si>
    <t>Mtpv_Angle_122</t>
  </si>
  <si>
    <t>Mtpv_Flux_123</t>
  </si>
  <si>
    <t>Mtpv_Torque_123</t>
  </si>
  <si>
    <t>Mtpv_Angle_123</t>
  </si>
  <si>
    <t>Mtpv_Flux_124</t>
  </si>
  <si>
    <t>Mtpv_Torque_124</t>
  </si>
  <si>
    <t>Mtpv_Angle_124</t>
  </si>
  <si>
    <t>Mtpv_Flux_125</t>
  </si>
  <si>
    <t>Mtpv_Torque_125</t>
  </si>
  <si>
    <t>Mtpv_Angle_125</t>
  </si>
  <si>
    <t>Mtpv_Flux_126</t>
  </si>
  <si>
    <t>Mtpv_Torque_126</t>
  </si>
  <si>
    <t>Mtpv_Angle_126</t>
  </si>
  <si>
    <t>Mtpv_Flux_127</t>
  </si>
  <si>
    <t>Mtpv_Torque_127</t>
  </si>
  <si>
    <t>Mtpv_Angle_127</t>
  </si>
  <si>
    <t>Mtpv_Flux_128</t>
  </si>
  <si>
    <t>Mtpv_Torque_128</t>
  </si>
  <si>
    <t>Mtpv_Angle_128</t>
  </si>
  <si>
    <t>Mtpv_Flux_129</t>
  </si>
  <si>
    <t>Mtpv_Torque_129</t>
  </si>
  <si>
    <t>Mtpv_Angle_129</t>
  </si>
  <si>
    <t>Mtpv_Flux_130</t>
  </si>
  <si>
    <t>Mtpv_Torque_130</t>
  </si>
  <si>
    <t>Mtpv_Angle_130</t>
  </si>
  <si>
    <t>Mtpv_Flux_131</t>
  </si>
  <si>
    <t>Mtpv_Torque_131</t>
  </si>
  <si>
    <t>Mtpv_Angle_131</t>
  </si>
  <si>
    <t>Mtpv_Flux_132</t>
  </si>
  <si>
    <t>Mtpv_Torque_132</t>
  </si>
  <si>
    <t>Mtpv_Angle_132</t>
  </si>
  <si>
    <t>Mtpv_Flux_133</t>
  </si>
  <si>
    <t>Mtpv_Torque_133</t>
  </si>
  <si>
    <t>Mtpv_Angle_133</t>
  </si>
  <si>
    <t>Mtpv_Flux_134</t>
  </si>
  <si>
    <t>Mtpv_Torque_134</t>
  </si>
  <si>
    <t>Mtpv_Angle_134</t>
  </si>
  <si>
    <t>Mtpv_Flux_135</t>
  </si>
  <si>
    <t>Mtpv_Torque_135</t>
  </si>
  <si>
    <t>Mtpv_Angle_135</t>
  </si>
  <si>
    <t>Mtpv_Flux_136</t>
  </si>
  <si>
    <t>Mtpv_Torque_136</t>
  </si>
  <si>
    <t>Mtpv_Angle_136</t>
  </si>
  <si>
    <t>Mtpv_Flux_137</t>
  </si>
  <si>
    <t>Mtpv_Torque_137</t>
  </si>
  <si>
    <t>Mtpv_Angle_137</t>
  </si>
  <si>
    <t>Mtpv_Flux_138</t>
  </si>
  <si>
    <t>Mtpv_Torque_138</t>
  </si>
  <si>
    <t>Mtpv_Angle_138</t>
  </si>
  <si>
    <t>Mtpv_Flux_139</t>
  </si>
  <si>
    <t>Mtpv_Torque_139</t>
  </si>
  <si>
    <t>Mtpv_Angle_139</t>
  </si>
  <si>
    <t>Mtpv_Flux_140</t>
  </si>
  <si>
    <t>Mtpv_Torque_140</t>
  </si>
  <si>
    <t>Mtpv_Angle_140</t>
  </si>
  <si>
    <t>Mtpv_Flux_141</t>
  </si>
  <si>
    <t>Mtpv_Torque_141</t>
  </si>
  <si>
    <t>Mtpv_Angle_141</t>
  </si>
  <si>
    <t>Mtpv_Flux_142</t>
  </si>
  <si>
    <t>Mtpv_Torque_142</t>
  </si>
  <si>
    <t>Mtpv_Angle_142</t>
  </si>
  <si>
    <t>Mtpv_Flux_143</t>
  </si>
  <si>
    <t>Mtpv_Torque_143</t>
  </si>
  <si>
    <t>Mtpv_Angle_143</t>
  </si>
  <si>
    <t>Mtpv_Flux_144</t>
  </si>
  <si>
    <t>Mtpv_Torque_144</t>
  </si>
  <si>
    <t>Mtpv_Angle_144</t>
  </si>
  <si>
    <t>Mtpv_Flux_145</t>
  </si>
  <si>
    <t>Mtpv_Torque_145</t>
  </si>
  <si>
    <t>Mtpv_Angle_145</t>
  </si>
  <si>
    <t>Mtpv_Flux_146</t>
  </si>
  <si>
    <t>Mtpv_Torque_146</t>
  </si>
  <si>
    <t>Mtpv_Angle_146</t>
  </si>
  <si>
    <t>Mtpv_Flux_147</t>
  </si>
  <si>
    <t>Mtpv_Torque_147</t>
  </si>
  <si>
    <t>Mtpv_Angle_147</t>
  </si>
  <si>
    <t>Mtpv_Flux_148</t>
  </si>
  <si>
    <t>Mtpv_Torque_148</t>
  </si>
  <si>
    <t>Mtpv_Angle_148</t>
  </si>
  <si>
    <t>Mtpv_Flux_149</t>
  </si>
  <si>
    <t>Mtpv_Torque_149</t>
  </si>
  <si>
    <t>Mtpv_Angle_149</t>
  </si>
  <si>
    <t>Mtpv_Flux_150</t>
  </si>
  <si>
    <t>Mtpv_Torque_150</t>
  </si>
  <si>
    <t>Mtpv_Angle_150</t>
  </si>
  <si>
    <t>Mtpv_Flux_151</t>
  </si>
  <si>
    <t>Mtpv_Torque_151</t>
  </si>
  <si>
    <t>Mtpv_Angle_151</t>
  </si>
  <si>
    <t>Mtpv_Flux_152</t>
  </si>
  <si>
    <t>Mtpv_Torque_152</t>
  </si>
  <si>
    <t>Mtpv_Angle_152</t>
  </si>
  <si>
    <t>Mtpv_Flux_153</t>
  </si>
  <si>
    <t>Mtpv_Torque_153</t>
  </si>
  <si>
    <t>Mtpv_Angle_153</t>
  </si>
  <si>
    <t>Mtpv_Flux_154</t>
  </si>
  <si>
    <t>Mtpv_Torque_154</t>
  </si>
  <si>
    <t>Mtpv_Angle_154</t>
  </si>
  <si>
    <t>Mtpv_Flux_155</t>
  </si>
  <si>
    <t>Mtpv_Torque_155</t>
  </si>
  <si>
    <t>Mtpv_Angle_155</t>
  </si>
  <si>
    <t>Mtpv_Flux_156</t>
  </si>
  <si>
    <t>Mtpv_Torque_156</t>
  </si>
  <si>
    <t>Mtpv_Angle_156</t>
  </si>
  <si>
    <t>Mtpv_Flux_157</t>
  </si>
  <si>
    <t>Mtpv_Torque_157</t>
  </si>
  <si>
    <t>Mtpv_Angle_157</t>
  </si>
  <si>
    <t>Mtpv_Flux_158</t>
  </si>
  <si>
    <t>Mtpv_Torque_158</t>
  </si>
  <si>
    <t>Mtpv_Angle_158</t>
  </si>
  <si>
    <t>Mtpv_Flux_159</t>
  </si>
  <si>
    <t>Mtpv_Torque_159</t>
  </si>
  <si>
    <t>Mtpv_Angle_159</t>
  </si>
  <si>
    <t>Mtpv_Flux_160</t>
  </si>
  <si>
    <t>Mtpv_Torque_160</t>
  </si>
  <si>
    <t>Mtpv_Angle_160</t>
  </si>
  <si>
    <t>=(32768/BASE_FLUX) * MTPVFlux_0</t>
  </si>
  <si>
    <t>=(32768/BASE_TORQ) * MTPVTorque_0</t>
  </si>
  <si>
    <t>=(32768/BASE_ANGLE) * MTPVAngle_0</t>
  </si>
  <si>
    <t>=(32768/BASE_FLUX) * MTPVFlux_1</t>
  </si>
  <si>
    <t>=(32768/BASE_TORQ) * MTPVTorque_1</t>
  </si>
  <si>
    <t>=(32768/BASE_ANGLE) * MTPVAngle_1</t>
  </si>
  <si>
    <t>=(32768/BASE_FLUX) * MTPVFlux_2</t>
  </si>
  <si>
    <t>=(32768/BASE_TORQ) * MTPVTorque_2</t>
  </si>
  <si>
    <t>=(32768/BASE_ANGLE) * MTPVAngle_2</t>
  </si>
  <si>
    <t>=(32768/BASE_FLUX) * MTPVFlux_3</t>
  </si>
  <si>
    <t>=(32768/BASE_TORQ) * MTPVTorque_3</t>
  </si>
  <si>
    <t>=(32768/BASE_ANGLE) * MTPVAngle_3</t>
  </si>
  <si>
    <t>=(32768/BASE_FLUX) * MTPVFlux_4</t>
  </si>
  <si>
    <t>=(32768/BASE_TORQ) * MTPVTorque_4</t>
  </si>
  <si>
    <t>=(32768/BASE_ANGLE) * MTPVAngle_4</t>
  </si>
  <si>
    <t>=(32768/BASE_FLUX) * MTPVFlux_5</t>
  </si>
  <si>
    <t>=(32768/BASE_TORQ) * MTPVTorque_5</t>
  </si>
  <si>
    <t>=(32768/BASE_ANGLE) * MTPVAngle_5</t>
  </si>
  <si>
    <t>=(32768/BASE_FLUX) * MTPVFlux_6</t>
  </si>
  <si>
    <t>=(32768/BASE_TORQ) * MTPVTorque_6</t>
  </si>
  <si>
    <t>=(32768/BASE_ANGLE) * MTPVAngle_6</t>
  </si>
  <si>
    <t>=(32768/BASE_FLUX) * MTPVFlux_7</t>
  </si>
  <si>
    <t>=(32768/BASE_TORQ) * MTPVTorque_7</t>
  </si>
  <si>
    <t>=(32768/BASE_ANGLE) * MTPVAngle_7</t>
  </si>
  <si>
    <t>=(32768/BASE_FLUX) * MTPVFlux_8</t>
  </si>
  <si>
    <t>=(32768/BASE_TORQ) * MTPVTorque_8</t>
  </si>
  <si>
    <t>=(32768/BASE_ANGLE) * MTPVAngle_8</t>
  </si>
  <si>
    <t>=(32768/BASE_FLUX) * MTPVFlux_9</t>
  </si>
  <si>
    <t>=(32768/BASE_TORQ) * MTPVTorque_9</t>
  </si>
  <si>
    <t>=(32768/BASE_ANGLE) * MTPVAngle_9</t>
  </si>
  <si>
    <t>=(32768/BASE_FLUX) * MTPVFlux_10</t>
  </si>
  <si>
    <t>=(32768/BASE_TORQ) * MTPVTorque_10</t>
  </si>
  <si>
    <t>=(32768/BASE_ANGLE) * MTPVAngle_10</t>
  </si>
  <si>
    <t>=(32768/BASE_FLUX) * MTPVFlux_11</t>
  </si>
  <si>
    <t>=(32768/BASE_TORQ) * MTPVTorque_11</t>
  </si>
  <si>
    <t>=(32768/BASE_ANGLE) * MTPVAngle_11</t>
  </si>
  <si>
    <t>=(32768/BASE_FLUX) * MTPVFlux_12</t>
  </si>
  <si>
    <t>=(32768/BASE_TORQ) * MTPVTorque_12</t>
  </si>
  <si>
    <t>=(32768/BASE_ANGLE) * MTPVAngle_12</t>
  </si>
  <si>
    <t>=(32768/BASE_FLUX) * MTPVFlux_13</t>
  </si>
  <si>
    <t>=(32768/BASE_TORQ) * MTPVTorque_13</t>
  </si>
  <si>
    <t>=(32768/BASE_ANGLE) * MTPVAngle_13</t>
  </si>
  <si>
    <t>=(32768/BASE_FLUX) * MTPVFlux_14</t>
  </si>
  <si>
    <t>=(32768/BASE_TORQ) * MTPVTorque_14</t>
  </si>
  <si>
    <t>=(32768/BASE_ANGLE) * MTPVAngle_14</t>
  </si>
  <si>
    <t>=(32768/BASE_FLUX) * MTPVFlux_15</t>
  </si>
  <si>
    <t>=(32768/BASE_TORQ) * MTPVTorque_15</t>
  </si>
  <si>
    <t>=(32768/BASE_ANGLE) * MTPVAngle_15</t>
  </si>
  <si>
    <t>=(32768/BASE_FLUX) * MTPVFlux_16</t>
  </si>
  <si>
    <t>=(32768/BASE_TORQ) * MTPVTorque_16</t>
  </si>
  <si>
    <t>=(32768/BASE_ANGLE) * MTPVAngle_16</t>
  </si>
  <si>
    <t>=(32768/BASE_FLUX) * MTPVFlux_17</t>
  </si>
  <si>
    <t>=(32768/BASE_TORQ) * MTPVTorque_17</t>
  </si>
  <si>
    <t>=(32768/BASE_ANGLE) * MTPVAngle_17</t>
  </si>
  <si>
    <t>=(32768/BASE_FLUX) * MTPVFlux_18</t>
  </si>
  <si>
    <t>=(32768/BASE_TORQ) * MTPVTorque_18</t>
  </si>
  <si>
    <t>=(32768/BASE_ANGLE) * MTPVAngle_18</t>
  </si>
  <si>
    <t>=(32768/BASE_FLUX) * MTPVFlux_19</t>
  </si>
  <si>
    <t>=(32768/BASE_TORQ) * MTPVTorque_19</t>
  </si>
  <si>
    <t>=(32768/BASE_ANGLE) * MTPVAngle_19</t>
  </si>
  <si>
    <t>=(32768/BASE_FLUX) * MTPVFlux_20</t>
  </si>
  <si>
    <t>=(32768/BASE_TORQ) * MTPVTorque_20</t>
  </si>
  <si>
    <t>=(32768/BASE_ANGLE) * MTPVAngle_20</t>
  </si>
  <si>
    <t>=(32768/BASE_FLUX) * MTPVFlux_21</t>
  </si>
  <si>
    <t>=(32768/BASE_TORQ) * MTPVTorque_21</t>
  </si>
  <si>
    <t>=(32768/BASE_ANGLE) * MTPVAngle_21</t>
  </si>
  <si>
    <t>=(32768/BASE_FLUX) * MTPVFlux_22</t>
  </si>
  <si>
    <t>=(32768/BASE_TORQ) * MTPVTorque_22</t>
  </si>
  <si>
    <t>=(32768/BASE_ANGLE) * MTPVAngle_22</t>
  </si>
  <si>
    <t>=(32768/BASE_FLUX) * MTPVFlux_23</t>
  </si>
  <si>
    <t>=(32768/BASE_TORQ) * MTPVTorque_23</t>
  </si>
  <si>
    <t>=(32768/BASE_ANGLE) * MTPVAngle_23</t>
  </si>
  <si>
    <t>=(32768/BASE_FLUX) * MTPVFlux_24</t>
  </si>
  <si>
    <t>=(32768/BASE_TORQ) * MTPVTorque_24</t>
  </si>
  <si>
    <t>=(32768/BASE_ANGLE) * MTPVAngle_24</t>
  </si>
  <si>
    <t>=(32768/BASE_FLUX) * MTPVFlux_25</t>
  </si>
  <si>
    <t>=(32768/BASE_TORQ) * MTPVTorque_25</t>
  </si>
  <si>
    <t>=(32768/BASE_ANGLE) * MTPVAngle_25</t>
  </si>
  <si>
    <t>=(32768/BASE_FLUX) * MTPVFlux_26</t>
  </si>
  <si>
    <t>=(32768/BASE_TORQ) * MTPVTorque_26</t>
  </si>
  <si>
    <t>=(32768/BASE_ANGLE) * MTPVAngle_26</t>
  </si>
  <si>
    <t>=(32768/BASE_FLUX) * MTPVFlux_27</t>
  </si>
  <si>
    <t>=(32768/BASE_TORQ) * MTPVTorque_27</t>
  </si>
  <si>
    <t>=(32768/BASE_ANGLE) * MTPVAngle_27</t>
  </si>
  <si>
    <t>=(32768/BASE_FLUX) * MTPVFlux_28</t>
  </si>
  <si>
    <t>=(32768/BASE_TORQ) * MTPVTorque_28</t>
  </si>
  <si>
    <t>=(32768/BASE_ANGLE) * MTPVAngle_28</t>
  </si>
  <si>
    <t>=(32768/BASE_FLUX) * MTPVFlux_29</t>
  </si>
  <si>
    <t>=(32768/BASE_TORQ) * MTPVTorque_29</t>
  </si>
  <si>
    <t>=(32768/BASE_ANGLE) * MTPVAngle_29</t>
  </si>
  <si>
    <t>=(32768/BASE_FLUX) * MTPVFlux_30</t>
  </si>
  <si>
    <t>=(32768/BASE_TORQ) * MTPVTorque_30</t>
  </si>
  <si>
    <t>=(32768/BASE_ANGLE) * MTPVAngle_30</t>
  </si>
  <si>
    <t>=(32768/BASE_FLUX) * MTPVFlux_31</t>
  </si>
  <si>
    <t>=(32768/BASE_TORQ) * MTPVTorque_31</t>
  </si>
  <si>
    <t>=(32768/BASE_ANGLE) * MTPVAngle_31</t>
  </si>
  <si>
    <t>=(32768/BASE_FLUX) * MTPVFlux_32</t>
  </si>
  <si>
    <t>=(32768/BASE_TORQ) * MTPVTorque_32</t>
  </si>
  <si>
    <t>=(32768/BASE_ANGLE) * MTPVAngle_32</t>
  </si>
  <si>
    <t>=(32768/BASE_FLUX) * MTPVFlux_33</t>
  </si>
  <si>
    <t>=(32768/BASE_TORQ) * MTPVTorque_33</t>
  </si>
  <si>
    <t>=(32768/BASE_ANGLE) * MTPVAngle_33</t>
  </si>
  <si>
    <t>=(32768/BASE_FLUX) * MTPVFlux_34</t>
  </si>
  <si>
    <t>=(32768/BASE_TORQ) * MTPVTorque_34</t>
  </si>
  <si>
    <t>=(32768/BASE_ANGLE) * MTPVAngle_34</t>
  </si>
  <si>
    <t>=(32768/BASE_FLUX) * MTPVFlux_35</t>
  </si>
  <si>
    <t>=(32768/BASE_TORQ) * MTPVTorque_35</t>
  </si>
  <si>
    <t>=(32768/BASE_ANGLE) * MTPVAngle_35</t>
  </si>
  <si>
    <t>=(32768/BASE_FLUX) * MTPVFlux_36</t>
  </si>
  <si>
    <t>=(32768/BASE_TORQ) * MTPVTorque_36</t>
  </si>
  <si>
    <t>=(32768/BASE_ANGLE) * MTPVAngle_36</t>
  </si>
  <si>
    <t>=(32768/BASE_FLUX) * MTPVFlux_37</t>
  </si>
  <si>
    <t>=(32768/BASE_TORQ) * MTPVTorque_37</t>
  </si>
  <si>
    <t>=(32768/BASE_ANGLE) * MTPVAngle_37</t>
  </si>
  <si>
    <t>=(32768/BASE_FLUX) * MTPVFlux_38</t>
  </si>
  <si>
    <t>=(32768/BASE_TORQ) * MTPVTorque_38</t>
  </si>
  <si>
    <t>=(32768/BASE_ANGLE) * MTPVAngle_38</t>
  </si>
  <si>
    <t>=(32768/BASE_FLUX) * MTPVFlux_39</t>
  </si>
  <si>
    <t>=(32768/BASE_TORQ) * MTPVTorque_39</t>
  </si>
  <si>
    <t>=(32768/BASE_ANGLE) * MTPVAngle_39</t>
  </si>
  <si>
    <t>=(32768/BASE_FLUX) * MTPVFlux_40</t>
  </si>
  <si>
    <t>=(32768/BASE_TORQ) * MTPVTorque_40</t>
  </si>
  <si>
    <t>=(32768/BASE_ANGLE) * MTPVAngle_40</t>
  </si>
  <si>
    <t>=(32768/BASE_FLUX) * MTPVFlux_41</t>
  </si>
  <si>
    <t>=(32768/BASE_TORQ) * MTPVTorque_41</t>
  </si>
  <si>
    <t>=(32768/BASE_ANGLE) * MTPVAngle_41</t>
  </si>
  <si>
    <t>=(32768/BASE_FLUX) * MTPVFlux_42</t>
  </si>
  <si>
    <t>=(32768/BASE_TORQ) * MTPVTorque_42</t>
  </si>
  <si>
    <t>=(32768/BASE_ANGLE) * MTPVAngle_42</t>
  </si>
  <si>
    <t>=(32768/BASE_FLUX) * MTPVFlux_43</t>
  </si>
  <si>
    <t>=(32768/BASE_TORQ) * MTPVTorque_43</t>
  </si>
  <si>
    <t>=(32768/BASE_ANGLE) * MTPVAngle_43</t>
  </si>
  <si>
    <t>=(32768/BASE_FLUX) * MTPVFlux_44</t>
  </si>
  <si>
    <t>=(32768/BASE_TORQ) * MTPVTorque_44</t>
  </si>
  <si>
    <t>=(32768/BASE_ANGLE) * MTPVAngle_44</t>
  </si>
  <si>
    <t>=(32768/BASE_FLUX) * MTPVFlux_45</t>
  </si>
  <si>
    <t>=(32768/BASE_TORQ) * MTPVTorque_45</t>
  </si>
  <si>
    <t>=(32768/BASE_ANGLE) * MTPVAngle_45</t>
  </si>
  <si>
    <t>=(32768/BASE_FLUX) * MTPVFlux_46</t>
  </si>
  <si>
    <t>=(32768/BASE_TORQ) * MTPVTorque_46</t>
  </si>
  <si>
    <t>=(32768/BASE_ANGLE) * MTPVAngle_46</t>
  </si>
  <si>
    <t>=(32768/BASE_FLUX) * MTPVFlux_47</t>
  </si>
  <si>
    <t>=(32768/BASE_TORQ) * MTPVTorque_47</t>
  </si>
  <si>
    <t>=(32768/BASE_ANGLE) * MTPVAngle_47</t>
  </si>
  <si>
    <t>=(32768/BASE_FLUX) * MTPVFlux_48</t>
  </si>
  <si>
    <t>=(32768/BASE_TORQ) * MTPVTorque_48</t>
  </si>
  <si>
    <t>=(32768/BASE_ANGLE) * MTPVAngle_48</t>
  </si>
  <si>
    <t>=(32768/BASE_FLUX) * MTPVFlux_49</t>
  </si>
  <si>
    <t>=(32768/BASE_TORQ) * MTPVTorque_49</t>
  </si>
  <si>
    <t>=(32768/BASE_ANGLE) * MTPVAngle_49</t>
  </si>
  <si>
    <t>=(32768/BASE_FLUX) * MTPVFlux_50</t>
  </si>
  <si>
    <t>=(32768/BASE_TORQ) * MTPVTorque_50</t>
  </si>
  <si>
    <t>=(32768/BASE_ANGLE) * MTPVAngle_50</t>
  </si>
  <si>
    <t>=(32768/BASE_FLUX) * MTPVFlux_51</t>
  </si>
  <si>
    <t>=(32768/BASE_TORQ) * MTPVTorque_51</t>
  </si>
  <si>
    <t>=(32768/BASE_ANGLE) * MTPVAngle_51</t>
  </si>
  <si>
    <t>=(32768/BASE_FLUX) * MTPVFlux_52</t>
  </si>
  <si>
    <t>=(32768/BASE_TORQ) * MTPVTorque_52</t>
  </si>
  <si>
    <t>=(32768/BASE_ANGLE) * MTPVAngle_52</t>
  </si>
  <si>
    <t>=(32768/BASE_FLUX) * MTPVFlux_53</t>
  </si>
  <si>
    <t>=(32768/BASE_TORQ) * MTPVTorque_53</t>
  </si>
  <si>
    <t>=(32768/BASE_ANGLE) * MTPVAngle_53</t>
  </si>
  <si>
    <t>=(32768/BASE_FLUX) * MTPVFlux_54</t>
  </si>
  <si>
    <t>=(32768/BASE_TORQ) * MTPVTorque_54</t>
  </si>
  <si>
    <t>=(32768/BASE_ANGLE) * MTPVAngle_54</t>
  </si>
  <si>
    <t>=(32768/BASE_FLUX) * MTPVFlux_55</t>
  </si>
  <si>
    <t>=(32768/BASE_TORQ) * MTPVTorque_55</t>
  </si>
  <si>
    <t>=(32768/BASE_ANGLE) * MTPVAngle_55</t>
  </si>
  <si>
    <t>=(32768/BASE_FLUX) * MTPVFlux_56</t>
  </si>
  <si>
    <t>=(32768/BASE_TORQ) * MTPVTorque_56</t>
  </si>
  <si>
    <t>=(32768/BASE_ANGLE) * MTPVAngle_56</t>
  </si>
  <si>
    <t>=(32768/BASE_FLUX) * MTPVFlux_57</t>
  </si>
  <si>
    <t>=(32768/BASE_TORQ) * MTPVTorque_57</t>
  </si>
  <si>
    <t>=(32768/BASE_ANGLE) * MTPVAngle_57</t>
  </si>
  <si>
    <t>=(32768/BASE_FLUX) * MTPVFlux_58</t>
  </si>
  <si>
    <t>=(32768/BASE_TORQ) * MTPVTorque_58</t>
  </si>
  <si>
    <t>=(32768/BASE_ANGLE) * MTPVAngle_58</t>
  </si>
  <si>
    <t>=(32768/BASE_FLUX) * MTPVFlux_59</t>
  </si>
  <si>
    <t>=(32768/BASE_TORQ) * MTPVTorque_59</t>
  </si>
  <si>
    <t>=(32768/BASE_ANGLE) * MTPVAngle_59</t>
  </si>
  <si>
    <t>=(32768/BASE_FLUX) * MTPVFlux_60</t>
  </si>
  <si>
    <t>=(32768/BASE_TORQ) * MTPVTorque_60</t>
  </si>
  <si>
    <t>=(32768/BASE_ANGLE) * MTPVAngle_60</t>
  </si>
  <si>
    <t>=(32768/BASE_FLUX) * MTPVFlux_61</t>
  </si>
  <si>
    <t>=(32768/BASE_TORQ) * MTPVTorque_61</t>
  </si>
  <si>
    <t>=(32768/BASE_ANGLE) * MTPVAngle_61</t>
  </si>
  <si>
    <t>=(32768/BASE_FLUX) * MTPVFlux_62</t>
  </si>
  <si>
    <t>=(32768/BASE_TORQ) * MTPVTorque_62</t>
  </si>
  <si>
    <t>=(32768/BASE_ANGLE) * MTPVAngle_62</t>
  </si>
  <si>
    <t>=(32768/BASE_FLUX) * MTPVFlux_63</t>
  </si>
  <si>
    <t>=(32768/BASE_TORQ) * MTPVTorque_63</t>
  </si>
  <si>
    <t>=(32768/BASE_ANGLE) * MTPVAngle_63</t>
  </si>
  <si>
    <t>=(32768/BASE_FLUX) * MTPVFlux_64</t>
  </si>
  <si>
    <t>=(32768/BASE_TORQ) * MTPVTorque_64</t>
  </si>
  <si>
    <t>=(32768/BASE_ANGLE) * MTPVAngle_64</t>
  </si>
  <si>
    <t>=(32768/BASE_FLUX) * MTPVFlux_65</t>
  </si>
  <si>
    <t>=(32768/BASE_TORQ) * MTPVTorque_65</t>
  </si>
  <si>
    <t>=(32768/BASE_ANGLE) * MTPVAngle_65</t>
  </si>
  <si>
    <t>=(32768/BASE_FLUX) * MTPVFlux_66</t>
  </si>
  <si>
    <t>=(32768/BASE_TORQ) * MTPVTorque_66</t>
  </si>
  <si>
    <t>=(32768/BASE_ANGLE) * MTPVAngle_66</t>
  </si>
  <si>
    <t>=(32768/BASE_FLUX) * MTPVFlux_67</t>
  </si>
  <si>
    <t>=(32768/BASE_TORQ) * MTPVTorque_67</t>
  </si>
  <si>
    <t>=(32768/BASE_ANGLE) * MTPVAngle_67</t>
  </si>
  <si>
    <t>=(32768/BASE_FLUX) * MTPVFlux_68</t>
  </si>
  <si>
    <t>=(32768/BASE_TORQ) * MTPVTorque_68</t>
  </si>
  <si>
    <t>=(32768/BASE_ANGLE) * MTPVAngle_68</t>
  </si>
  <si>
    <t>=(32768/BASE_FLUX) * MTPVFlux_69</t>
  </si>
  <si>
    <t>=(32768/BASE_TORQ) * MTPVTorque_69</t>
  </si>
  <si>
    <t>=(32768/BASE_ANGLE) * MTPVAngle_69</t>
  </si>
  <si>
    <t>=(32768/BASE_FLUX) * MTPVFlux_70</t>
  </si>
  <si>
    <t>=(32768/BASE_TORQ) * MTPVTorque_70</t>
  </si>
  <si>
    <t>=(32768/BASE_ANGLE) * MTPVAngle_70</t>
  </si>
  <si>
    <t>=(32768/BASE_FLUX) * MTPVFlux_71</t>
  </si>
  <si>
    <t>=(32768/BASE_TORQ) * MTPVTorque_71</t>
  </si>
  <si>
    <t>=(32768/BASE_ANGLE) * MTPVAngle_71</t>
  </si>
  <si>
    <t>=(32768/BASE_FLUX) * MTPVFlux_72</t>
  </si>
  <si>
    <t>=(32768/BASE_TORQ) * MTPVTorque_72</t>
  </si>
  <si>
    <t>=(32768/BASE_ANGLE) * MTPVAngle_72</t>
  </si>
  <si>
    <t>=(32768/BASE_FLUX) * MTPVFlux_73</t>
  </si>
  <si>
    <t>=(32768/BASE_TORQ) * MTPVTorque_73</t>
  </si>
  <si>
    <t>=(32768/BASE_ANGLE) * MTPVAngle_73</t>
  </si>
  <si>
    <t>=(32768/BASE_FLUX) * MTPVFlux_74</t>
  </si>
  <si>
    <t>=(32768/BASE_TORQ) * MTPVTorque_74</t>
  </si>
  <si>
    <t>=(32768/BASE_ANGLE) * MTPVAngle_74</t>
  </si>
  <si>
    <t>=(32768/BASE_FLUX) * MTPVFlux_75</t>
  </si>
  <si>
    <t>=(32768/BASE_TORQ) * MTPVTorque_75</t>
  </si>
  <si>
    <t>=(32768/BASE_ANGLE) * MTPVAngle_75</t>
  </si>
  <si>
    <t>=(32768/BASE_FLUX) * MTPVFlux_76</t>
  </si>
  <si>
    <t>=(32768/BASE_TORQ) * MTPVTorque_76</t>
  </si>
  <si>
    <t>=(32768/BASE_ANGLE) * MTPVAngle_76</t>
  </si>
  <si>
    <t>=(32768/BASE_FLUX) * MTPVFlux_77</t>
  </si>
  <si>
    <t>=(32768/BASE_TORQ) * MTPVTorque_77</t>
  </si>
  <si>
    <t>=(32768/BASE_ANGLE) * MTPVAngle_77</t>
  </si>
  <si>
    <t>=(32768/BASE_FLUX) * MTPVFlux_78</t>
  </si>
  <si>
    <t>=(32768/BASE_TORQ) * MTPVTorque_78</t>
  </si>
  <si>
    <t>=(32768/BASE_ANGLE) * MTPVAngle_78</t>
  </si>
  <si>
    <t>=(32768/BASE_FLUX) * MTPVFlux_79</t>
  </si>
  <si>
    <t>=(32768/BASE_TORQ) * MTPVTorque_79</t>
  </si>
  <si>
    <t>=(32768/BASE_ANGLE) * MTPVAngle_79</t>
  </si>
  <si>
    <t>=(32768/BASE_FLUX) * MTPVFlux_80</t>
  </si>
  <si>
    <t>=(32768/BASE_TORQ) * MTPVTorque_80</t>
  </si>
  <si>
    <t>=(32768/BASE_ANGLE) * MTPVAngle_80</t>
  </si>
  <si>
    <t>=(32768/BASE_FLUX) * MTPVFlux_81</t>
  </si>
  <si>
    <t>=(32768/BASE_TORQ) * MTPVTorque_81</t>
  </si>
  <si>
    <t>=(32768/BASE_ANGLE) * MTPVAngle_81</t>
  </si>
  <si>
    <t>=(32768/BASE_FLUX) * MTPVFlux_82</t>
  </si>
  <si>
    <t>=(32768/BASE_TORQ) * MTPVTorque_82</t>
  </si>
  <si>
    <t>=(32768/BASE_ANGLE) * MTPVAngle_82</t>
  </si>
  <si>
    <t>=(32768/BASE_FLUX) * MTPVFlux_83</t>
  </si>
  <si>
    <t>=(32768/BASE_TORQ) * MTPVTorque_83</t>
  </si>
  <si>
    <t>=(32768/BASE_ANGLE) * MTPVAngle_83</t>
  </si>
  <si>
    <t>=(32768/BASE_FLUX) * MTPVFlux_84</t>
  </si>
  <si>
    <t>=(32768/BASE_TORQ) * MTPVTorque_84</t>
  </si>
  <si>
    <t>=(32768/BASE_ANGLE) * MTPVAngle_84</t>
  </si>
  <si>
    <t>=(32768/BASE_FLUX) * MTPVFlux_85</t>
  </si>
  <si>
    <t>=(32768/BASE_TORQ) * MTPVTorque_85</t>
  </si>
  <si>
    <t>=(32768/BASE_ANGLE) * MTPVAngle_85</t>
  </si>
  <si>
    <t>=(32768/BASE_FLUX) * MTPVFlux_86</t>
  </si>
  <si>
    <t>=(32768/BASE_TORQ) * MTPVTorque_86</t>
  </si>
  <si>
    <t>=(32768/BASE_ANGLE) * MTPVAngle_86</t>
  </si>
  <si>
    <t>=(32768/BASE_FLUX) * MTPVFlux_87</t>
  </si>
  <si>
    <t>=(32768/BASE_TORQ) * MTPVTorque_87</t>
  </si>
  <si>
    <t>=(32768/BASE_ANGLE) * MTPVAngle_87</t>
  </si>
  <si>
    <t>=(32768/BASE_FLUX) * MTPVFlux_88</t>
  </si>
  <si>
    <t>=(32768/BASE_TORQ) * MTPVTorque_88</t>
  </si>
  <si>
    <t>=(32768/BASE_ANGLE) * MTPVAngle_88</t>
  </si>
  <si>
    <t>=(32768/BASE_FLUX) * MTPVFlux_89</t>
  </si>
  <si>
    <t>=(32768/BASE_TORQ) * MTPVTorque_89</t>
  </si>
  <si>
    <t>=(32768/BASE_ANGLE) * MTPVAngle_89</t>
  </si>
  <si>
    <t>=(32768/BASE_FLUX) * MTPVFlux_90</t>
  </si>
  <si>
    <t>=(32768/BASE_TORQ) * MTPVTorque_90</t>
  </si>
  <si>
    <t>=(32768/BASE_ANGLE) * MTPVAngle_90</t>
  </si>
  <si>
    <t>=(32768/BASE_FLUX) * MTPVFlux_91</t>
  </si>
  <si>
    <t>=(32768/BASE_TORQ) * MTPVTorque_91</t>
  </si>
  <si>
    <t>=(32768/BASE_ANGLE) * MTPVAngle_91</t>
  </si>
  <si>
    <t>=(32768/BASE_FLUX) * MTPVFlux_92</t>
  </si>
  <si>
    <t>=(32768/BASE_TORQ) * MTPVTorque_92</t>
  </si>
  <si>
    <t>=(32768/BASE_ANGLE) * MTPVAngle_92</t>
  </si>
  <si>
    <t>=(32768/BASE_FLUX) * MTPVFlux_93</t>
  </si>
  <si>
    <t>=(32768/BASE_TORQ) * MTPVTorque_93</t>
  </si>
  <si>
    <t>=(32768/BASE_ANGLE) * MTPVAngle_93</t>
  </si>
  <si>
    <t>=(32768/BASE_FLUX) * MTPVFlux_94</t>
  </si>
  <si>
    <t>=(32768/BASE_TORQ) * MTPVTorque_94</t>
  </si>
  <si>
    <t>=(32768/BASE_ANGLE) * MTPVAngle_94</t>
  </si>
  <si>
    <t>=(32768/BASE_FLUX) * MTPVFlux_95</t>
  </si>
  <si>
    <t>=(32768/BASE_TORQ) * MTPVTorque_95</t>
  </si>
  <si>
    <t>=(32768/BASE_ANGLE) * MTPVAngle_95</t>
  </si>
  <si>
    <t>=(32768/BASE_FLUX) * MTPVFlux_96</t>
  </si>
  <si>
    <t>=(32768/BASE_TORQ) * MTPVTorque_96</t>
  </si>
  <si>
    <t>=(32768/BASE_ANGLE) * MTPVAngle_96</t>
  </si>
  <si>
    <t>=(32768/BASE_FLUX) * MTPVFlux_97</t>
  </si>
  <si>
    <t>=(32768/BASE_TORQ) * MTPVTorque_97</t>
  </si>
  <si>
    <t>=(32768/BASE_ANGLE) * MTPVAngle_97</t>
  </si>
  <si>
    <t>=(32768/BASE_FLUX) * MTPVFlux_98</t>
  </si>
  <si>
    <t>=(32768/BASE_TORQ) * MTPVTorque_98</t>
  </si>
  <si>
    <t>=(32768/BASE_ANGLE) * MTPVAngle_98</t>
  </si>
  <si>
    <t>=(32768/BASE_FLUX) * MTPVFlux_99</t>
  </si>
  <si>
    <t>=(32768/BASE_TORQ) * MTPVTorque_99</t>
  </si>
  <si>
    <t>=(32768/BASE_ANGLE) * MTPVAngle_99</t>
  </si>
  <si>
    <t>=(32768/BASE_FLUX) * MTPVFlux_100</t>
  </si>
  <si>
    <t>=(32768/BASE_TORQ) * MTPVTorque_100</t>
  </si>
  <si>
    <t>=(32768/BASE_ANGLE) * MTPVAngle_100</t>
  </si>
  <si>
    <t>=(32768/BASE_FLUX) * MTPVFlux_101</t>
  </si>
  <si>
    <t>=(32768/BASE_TORQ) * MTPVTorque_101</t>
  </si>
  <si>
    <t>=(32768/BASE_ANGLE) * MTPVAngle_101</t>
  </si>
  <si>
    <t>=(32768/BASE_FLUX) * MTPVFlux_102</t>
  </si>
  <si>
    <t>=(32768/BASE_TORQ) * MTPVTorque_102</t>
  </si>
  <si>
    <t>=(32768/BASE_ANGLE) * MTPVAngle_102</t>
  </si>
  <si>
    <t>=(32768/BASE_FLUX) * MTPVFlux_103</t>
  </si>
  <si>
    <t>=(32768/BASE_TORQ) * MTPVTorque_103</t>
  </si>
  <si>
    <t>=(32768/BASE_ANGLE) * MTPVAngle_103</t>
  </si>
  <si>
    <t>=(32768/BASE_FLUX) * MTPVFlux_104</t>
  </si>
  <si>
    <t>=(32768/BASE_TORQ) * MTPVTorque_104</t>
  </si>
  <si>
    <t>=(32768/BASE_ANGLE) * MTPVAngle_104</t>
  </si>
  <si>
    <t>=(32768/BASE_FLUX) * MTPVFlux_105</t>
  </si>
  <si>
    <t>=(32768/BASE_TORQ) * MTPVTorque_105</t>
  </si>
  <si>
    <t>=(32768/BASE_ANGLE) * MTPVAngle_105</t>
  </si>
  <si>
    <t>=(32768/BASE_FLUX) * MTPVFlux_106</t>
  </si>
  <si>
    <t>=(32768/BASE_TORQ) * MTPVTorque_106</t>
  </si>
  <si>
    <t>=(32768/BASE_ANGLE) * MTPVAngle_106</t>
  </si>
  <si>
    <t>=(32768/BASE_FLUX) * MTPVFlux_107</t>
  </si>
  <si>
    <t>=(32768/BASE_TORQ) * MTPVTorque_107</t>
  </si>
  <si>
    <t>=(32768/BASE_ANGLE) * MTPVAngle_107</t>
  </si>
  <si>
    <t>=(32768/BASE_FLUX) * MTPVFlux_108</t>
  </si>
  <si>
    <t>=(32768/BASE_TORQ) * MTPVTorque_108</t>
  </si>
  <si>
    <t>=(32768/BASE_ANGLE) * MTPVAngle_108</t>
  </si>
  <si>
    <t>=(32768/BASE_FLUX) * MTPVFlux_109</t>
  </si>
  <si>
    <t>=(32768/BASE_TORQ) * MTPVTorque_109</t>
  </si>
  <si>
    <t>=(32768/BASE_ANGLE) * MTPVAngle_109</t>
  </si>
  <si>
    <t>=(32768/BASE_FLUX) * MTPVFlux_110</t>
  </si>
  <si>
    <t>=(32768/BASE_TORQ) * MTPVTorque_110</t>
  </si>
  <si>
    <t>=(32768/BASE_ANGLE) * MTPVAngle_110</t>
  </si>
  <si>
    <t>=(32768/BASE_FLUX) * MTPVFlux_111</t>
  </si>
  <si>
    <t>=(32768/BASE_TORQ) * MTPVTorque_111</t>
  </si>
  <si>
    <t>=(32768/BASE_ANGLE) * MTPVAngle_111</t>
  </si>
  <si>
    <t>=(32768/BASE_FLUX) * MTPVFlux_112</t>
  </si>
  <si>
    <t>=(32768/BASE_TORQ) * MTPVTorque_112</t>
  </si>
  <si>
    <t>=(32768/BASE_ANGLE) * MTPVAngle_112</t>
  </si>
  <si>
    <t>=(32768/BASE_FLUX) * MTPVFlux_113</t>
  </si>
  <si>
    <t>=(32768/BASE_TORQ) * MTPVTorque_113</t>
  </si>
  <si>
    <t>=(32768/BASE_ANGLE) * MTPVAngle_113</t>
  </si>
  <si>
    <t>=(32768/BASE_FLUX) * MTPVFlux_114</t>
  </si>
  <si>
    <t>=(32768/BASE_TORQ) * MTPVTorque_114</t>
  </si>
  <si>
    <t>=(32768/BASE_ANGLE) * MTPVAngle_114</t>
  </si>
  <si>
    <t>=(32768/BASE_FLUX) * MTPVFlux_115</t>
  </si>
  <si>
    <t>=(32768/BASE_TORQ) * MTPVTorque_115</t>
  </si>
  <si>
    <t>=(32768/BASE_ANGLE) * MTPVAngle_115</t>
  </si>
  <si>
    <t>=(32768/BASE_FLUX) * MTPVFlux_116</t>
  </si>
  <si>
    <t>=(32768/BASE_TORQ) * MTPVTorque_116</t>
  </si>
  <si>
    <t>=(32768/BASE_ANGLE) * MTPVAngle_116</t>
  </si>
  <si>
    <t>=(32768/BASE_FLUX) * MTPVFlux_117</t>
  </si>
  <si>
    <t>=(32768/BASE_TORQ) * MTPVTorque_117</t>
  </si>
  <si>
    <t>=(32768/BASE_ANGLE) * MTPVAngle_117</t>
  </si>
  <si>
    <t>=(32768/BASE_FLUX) * MTPVFlux_118</t>
  </si>
  <si>
    <t>=(32768/BASE_TORQ) * MTPVTorque_118</t>
  </si>
  <si>
    <t>=(32768/BASE_ANGLE) * MTPVAngle_118</t>
  </si>
  <si>
    <t>=(32768/BASE_FLUX) * MTPVFlux_119</t>
  </si>
  <si>
    <t>=(32768/BASE_TORQ) * MTPVTorque_119</t>
  </si>
  <si>
    <t>=(32768/BASE_ANGLE) * MTPVAngle_119</t>
  </si>
  <si>
    <t>=(32768/BASE_FLUX) * MTPVFlux_120</t>
  </si>
  <si>
    <t>=(32768/BASE_TORQ) * MTPVTorque_120</t>
  </si>
  <si>
    <t>=(32768/BASE_ANGLE) * MTPVAngle_120</t>
  </si>
  <si>
    <t>=(32768/BASE_FLUX) * MTPVFlux_121</t>
  </si>
  <si>
    <t>=(32768/BASE_TORQ) * MTPVTorque_121</t>
  </si>
  <si>
    <t>=(32768/BASE_ANGLE) * MTPVAngle_121</t>
  </si>
  <si>
    <t>=(32768/BASE_FLUX) * MTPVFlux_122</t>
  </si>
  <si>
    <t>=(32768/BASE_TORQ) * MTPVTorque_122</t>
  </si>
  <si>
    <t>=(32768/BASE_ANGLE) * MTPVAngle_122</t>
  </si>
  <si>
    <t>=(32768/BASE_FLUX) * MTPVFlux_123</t>
  </si>
  <si>
    <t>=(32768/BASE_TORQ) * MTPVTorque_123</t>
  </si>
  <si>
    <t>=(32768/BASE_ANGLE) * MTPVAngle_123</t>
  </si>
  <si>
    <t>=(32768/BASE_FLUX) * MTPVFlux_124</t>
  </si>
  <si>
    <t>=(32768/BASE_TORQ) * MTPVTorque_124</t>
  </si>
  <si>
    <t>=(32768/BASE_ANGLE) * MTPVAngle_124</t>
  </si>
  <si>
    <t>=(32768/BASE_FLUX) * MTPVFlux_125</t>
  </si>
  <si>
    <t>=(32768/BASE_TORQ) * MTPVTorque_125</t>
  </si>
  <si>
    <t>=(32768/BASE_ANGLE) * MTPVAngle_125</t>
  </si>
  <si>
    <t>=(32768/BASE_FLUX) * MTPVFlux_126</t>
  </si>
  <si>
    <t>=(32768/BASE_TORQ) * MTPVTorque_126</t>
  </si>
  <si>
    <t>=(32768/BASE_ANGLE) * MTPVAngle_126</t>
  </si>
  <si>
    <t>=(32768/BASE_FLUX) * MTPVFlux_127</t>
  </si>
  <si>
    <t>=(32768/BASE_TORQ) * MTPVTorque_127</t>
  </si>
  <si>
    <t>=(32768/BASE_ANGLE) * MTPVAngle_127</t>
  </si>
  <si>
    <t>=(32768/BASE_FLUX) * MTPVFlux_128</t>
  </si>
  <si>
    <t>=(32768/BASE_TORQ) * MTPVTorque_128</t>
  </si>
  <si>
    <t>=(32768/BASE_ANGLE) * MTPVAngle_128</t>
  </si>
  <si>
    <t>=(32768/BASE_FLUX) * MTPVFlux_129</t>
  </si>
  <si>
    <t>=(32768/BASE_TORQ) * MTPVTorque_129</t>
  </si>
  <si>
    <t>=(32768/BASE_ANGLE) * MTPVAngle_129</t>
  </si>
  <si>
    <t>=(32768/BASE_FLUX) * MTPVFlux_130</t>
  </si>
  <si>
    <t>=(32768/BASE_TORQ) * MTPVTorque_130</t>
  </si>
  <si>
    <t>=(32768/BASE_ANGLE) * MTPVAngle_130</t>
  </si>
  <si>
    <t>=(32768/BASE_FLUX) * MTPVFlux_131</t>
  </si>
  <si>
    <t>=(32768/BASE_TORQ) * MTPVTorque_131</t>
  </si>
  <si>
    <t>=(32768/BASE_ANGLE) * MTPVAngle_131</t>
  </si>
  <si>
    <t>=(32768/BASE_FLUX) * MTPVFlux_132</t>
  </si>
  <si>
    <t>=(32768/BASE_TORQ) * MTPVTorque_132</t>
  </si>
  <si>
    <t>=(32768/BASE_ANGLE) * MTPVAngle_132</t>
  </si>
  <si>
    <t>=(32768/BASE_FLUX) * MTPVFlux_133</t>
  </si>
  <si>
    <t>=(32768/BASE_TORQ) * MTPVTorque_133</t>
  </si>
  <si>
    <t>=(32768/BASE_ANGLE) * MTPVAngle_133</t>
  </si>
  <si>
    <t>=(32768/BASE_FLUX) * MTPVFlux_134</t>
  </si>
  <si>
    <t>=(32768/BASE_TORQ) * MTPVTorque_134</t>
  </si>
  <si>
    <t>=(32768/BASE_ANGLE) * MTPVAngle_134</t>
  </si>
  <si>
    <t>=(32768/BASE_FLUX) * MTPVFlux_135</t>
  </si>
  <si>
    <t>=(32768/BASE_TORQ) * MTPVTorque_135</t>
  </si>
  <si>
    <t>=(32768/BASE_ANGLE) * MTPVAngle_135</t>
  </si>
  <si>
    <t>=(32768/BASE_FLUX) * MTPVFlux_136</t>
  </si>
  <si>
    <t>=(32768/BASE_TORQ) * MTPVTorque_136</t>
  </si>
  <si>
    <t>=(32768/BASE_ANGLE) * MTPVAngle_136</t>
  </si>
  <si>
    <t>=(32768/BASE_FLUX) * MTPVFlux_137</t>
  </si>
  <si>
    <t>=(32768/BASE_TORQ) * MTPVTorque_137</t>
  </si>
  <si>
    <t>=(32768/BASE_ANGLE) * MTPVAngle_137</t>
  </si>
  <si>
    <t>=(32768/BASE_FLUX) * MTPVFlux_138</t>
  </si>
  <si>
    <t>=(32768/BASE_TORQ) * MTPVTorque_138</t>
  </si>
  <si>
    <t>=(32768/BASE_ANGLE) * MTPVAngle_138</t>
  </si>
  <si>
    <t>=(32768/BASE_FLUX) * MTPVFlux_139</t>
  </si>
  <si>
    <t>=(32768/BASE_TORQ) * MTPVTorque_139</t>
  </si>
  <si>
    <t>=(32768/BASE_ANGLE) * MTPVAngle_139</t>
  </si>
  <si>
    <t>=(32768/BASE_FLUX) * MTPVFlux_140</t>
  </si>
  <si>
    <t>=(32768/BASE_TORQ) * MTPVTorque_140</t>
  </si>
  <si>
    <t>=(32768/BASE_ANGLE) * MTPVAngle_140</t>
  </si>
  <si>
    <t>=(32768/BASE_FLUX) * MTPVFlux_141</t>
  </si>
  <si>
    <t>=(32768/BASE_TORQ) * MTPVTorque_141</t>
  </si>
  <si>
    <t>=(32768/BASE_ANGLE) * MTPVAngle_141</t>
  </si>
  <si>
    <t>=(32768/BASE_FLUX) * MTPVFlux_142</t>
  </si>
  <si>
    <t>=(32768/BASE_TORQ) * MTPVTorque_142</t>
  </si>
  <si>
    <t>=(32768/BASE_ANGLE) * MTPVAngle_142</t>
  </si>
  <si>
    <t>=(32768/BASE_FLUX) * MTPVFlux_143</t>
  </si>
  <si>
    <t>=(32768/BASE_TORQ) * MTPVTorque_143</t>
  </si>
  <si>
    <t>=(32768/BASE_ANGLE) * MTPVAngle_143</t>
  </si>
  <si>
    <t>=(32768/BASE_FLUX) * MTPVFlux_144</t>
  </si>
  <si>
    <t>=(32768/BASE_TORQ) * MTPVTorque_144</t>
  </si>
  <si>
    <t>=(32768/BASE_ANGLE) * MTPVAngle_144</t>
  </si>
  <si>
    <t>=(32768/BASE_FLUX) * MTPVFlux_145</t>
  </si>
  <si>
    <t>=(32768/BASE_TORQ) * MTPVTorque_145</t>
  </si>
  <si>
    <t>=(32768/BASE_ANGLE) * MTPVAngle_145</t>
  </si>
  <si>
    <t>=(32768/BASE_FLUX) * MTPVFlux_146</t>
  </si>
  <si>
    <t>=(32768/BASE_TORQ) * MTPVTorque_146</t>
  </si>
  <si>
    <t>=(32768/BASE_ANGLE) * MTPVAngle_146</t>
  </si>
  <si>
    <t>=(32768/BASE_FLUX) * MTPVFlux_147</t>
  </si>
  <si>
    <t>=(32768/BASE_TORQ) * MTPVTorque_147</t>
  </si>
  <si>
    <t>=(32768/BASE_ANGLE) * MTPVAngle_147</t>
  </si>
  <si>
    <t>=(32768/BASE_FLUX) * MTPVFlux_148</t>
  </si>
  <si>
    <t>=(32768/BASE_TORQ) * MTPVTorque_148</t>
  </si>
  <si>
    <t>=(32768/BASE_ANGLE) * MTPVAngle_148</t>
  </si>
  <si>
    <t>=(32768/BASE_FLUX) * MTPVFlux_149</t>
  </si>
  <si>
    <t>=(32768/BASE_TORQ) * MTPVTorque_149</t>
  </si>
  <si>
    <t>=(32768/BASE_ANGLE) * MTPVAngle_149</t>
  </si>
  <si>
    <t>=(32768/BASE_FLUX) * MTPVFlux_150</t>
  </si>
  <si>
    <t>=(32768/BASE_TORQ) * MTPVTorque_150</t>
  </si>
  <si>
    <t>=(32768/BASE_ANGLE) * MTPVAngle_150</t>
  </si>
  <si>
    <t>=(32768/BASE_FLUX) * MTPVFlux_151</t>
  </si>
  <si>
    <t>=(32768/BASE_TORQ) * MTPVTorque_151</t>
  </si>
  <si>
    <t>=(32768/BASE_ANGLE) * MTPVAngle_151</t>
  </si>
  <si>
    <t>=(32768/BASE_FLUX) * MTPVFlux_152</t>
  </si>
  <si>
    <t>=(32768/BASE_TORQ) * MTPVTorque_152</t>
  </si>
  <si>
    <t>=(32768/BASE_ANGLE) * MTPVAngle_152</t>
  </si>
  <si>
    <t>=(32768/BASE_FLUX) * MTPVFlux_153</t>
  </si>
  <si>
    <t>=(32768/BASE_TORQ) * MTPVTorque_153</t>
  </si>
  <si>
    <t>=(32768/BASE_ANGLE) * MTPVAngle_153</t>
  </si>
  <si>
    <t>=(32768/BASE_FLUX) * MTPVFlux_154</t>
  </si>
  <si>
    <t>=(32768/BASE_TORQ) * MTPVTorque_154</t>
  </si>
  <si>
    <t>=(32768/BASE_ANGLE) * MTPVAngle_154</t>
  </si>
  <si>
    <t>=(32768/BASE_FLUX) * MTPVFlux_155</t>
  </si>
  <si>
    <t>=(32768/BASE_TORQ) * MTPVTorque_155</t>
  </si>
  <si>
    <t>=(32768/BASE_ANGLE) * MTPVAngle_155</t>
  </si>
  <si>
    <t>=(32768/BASE_FLUX) * MTPVFlux_156</t>
  </si>
  <si>
    <t>=(32768/BASE_TORQ) * MTPVTorque_156</t>
  </si>
  <si>
    <t>=(32768/BASE_ANGLE) * MTPVAngle_156</t>
  </si>
  <si>
    <t>=(32768/BASE_FLUX) * MTPVFlux_157</t>
  </si>
  <si>
    <t>=(32768/BASE_TORQ) * MTPVTorque_157</t>
  </si>
  <si>
    <t>=(32768/BASE_ANGLE) * MTPVAngle_157</t>
  </si>
  <si>
    <t>=(32768/BASE_FLUX) * MTPVFlux_158</t>
  </si>
  <si>
    <t>=(32768/BASE_TORQ) * MTPVTorque_158</t>
  </si>
  <si>
    <t>=(32768/BASE_ANGLE) * MTPVAngle_158</t>
  </si>
  <si>
    <t>=(32768/BASE_FLUX) * MTPVFlux_159</t>
  </si>
  <si>
    <t>=(32768/BASE_TORQ) * MTPVTorque_159</t>
  </si>
  <si>
    <t>=(32768/BASE_ANGLE) * MTPVAngle_159</t>
  </si>
  <si>
    <t>=(32768/BASE_FLUX) * MTPVFlux_160</t>
  </si>
  <si>
    <t>=(32768/BASE_TORQ) * MTPVTorque_160</t>
  </si>
  <si>
    <t>=(32768/BASE_ANGLE) * MTPVAngle_160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</si>
  <si>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</si>
  <si>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</si>
  <si>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</si>
  <si>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</si>
  <si>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</si>
  <si>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</si>
  <si>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</si>
  <si>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</si>
  <si>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</si>
  <si>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</si>
  <si>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</si>
  <si>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</si>
  <si>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=BASE_CURRENT/ (current[1]-current[0])</t>
  </si>
  <si>
    <t>step_inv_pwm_comp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</si>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</sst>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Border="1"/>
    <xf numFmtId="167" fontId="6" fillId="0" borderId="0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23"/>
  <sheetViews>
    <sheetView zoomScaleNormal="100" workbookViewId="0">
      <selection sqref="A1:F1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11" t="s">
        <v>209</v>
      </c>
      <c r="B1" s="111"/>
      <c r="C1" s="111"/>
      <c r="D1" s="111"/>
      <c r="E1" s="111"/>
      <c r="F1" s="111"/>
      <c r="G1" t="s">
        <v>1096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1097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1097</v>
      </c>
    </row>
    <row r="4" spans="1:7" x14ac:dyDescent="0.25">
      <c r="A4" s="5" t="s">
        <v>195</v>
      </c>
      <c r="B4" s="5" t="s">
        <v>197</v>
      </c>
      <c r="C4" s="7">
        <v>8000</v>
      </c>
      <c r="D4" s="5"/>
      <c r="E4" s="5"/>
      <c r="F4" s="5">
        <v>1E-4</v>
      </c>
      <c r="G4" t="s">
        <v>1097</v>
      </c>
    </row>
    <row r="5" spans="1:7" x14ac:dyDescent="0.25">
      <c r="A5" s="5"/>
      <c r="B5" s="5"/>
      <c r="C5" s="8"/>
      <c r="D5" s="5"/>
      <c r="E5" s="5"/>
      <c r="F5" s="5"/>
      <c r="G5" t="s">
        <v>1097</v>
      </c>
    </row>
    <row r="6" spans="1:7" ht="17.25" x14ac:dyDescent="0.3">
      <c r="A6" s="111" t="s">
        <v>210</v>
      </c>
      <c r="B6" s="111"/>
      <c r="C6" s="111"/>
      <c r="D6" s="111"/>
      <c r="E6" s="111"/>
      <c r="F6" s="111"/>
      <c r="G6" t="s">
        <v>1097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1097</v>
      </c>
    </row>
    <row r="8" spans="1:7" x14ac:dyDescent="0.25">
      <c r="A8" s="5" t="s">
        <v>208</v>
      </c>
      <c r="B8" s="5" t="s">
        <v>198</v>
      </c>
      <c r="C8" s="67">
        <f>5.6/2</f>
        <v>2.8</v>
      </c>
      <c r="D8" s="5"/>
      <c r="E8" s="5"/>
      <c r="F8" s="5"/>
      <c r="G8" t="s">
        <v>1097</v>
      </c>
    </row>
    <row r="9" spans="1:7" x14ac:dyDescent="0.25">
      <c r="A9" s="5" t="s">
        <v>213</v>
      </c>
      <c r="B9" s="5" t="s">
        <v>201</v>
      </c>
      <c r="C9" s="18">
        <v>8.4500000000000006E-2</v>
      </c>
      <c r="D9" s="5"/>
      <c r="E9" s="5"/>
      <c r="F9" s="5"/>
      <c r="G9" t="s">
        <v>1097</v>
      </c>
    </row>
    <row r="10" spans="1:7" x14ac:dyDescent="0.25">
      <c r="A10" s="91" t="s">
        <v>214</v>
      </c>
      <c r="B10" s="5" t="s">
        <v>215</v>
      </c>
      <c r="C10" s="18">
        <v>4</v>
      </c>
      <c r="D10" s="5"/>
      <c r="E10" s="5"/>
      <c r="F10" s="5"/>
      <c r="G10" t="s">
        <v>1097</v>
      </c>
    </row>
    <row r="11" spans="1:7" x14ac:dyDescent="0.25">
      <c r="A11" s="5" t="s">
        <v>233</v>
      </c>
      <c r="B11" s="5" t="s">
        <v>232</v>
      </c>
      <c r="C11" s="67">
        <v>22.96</v>
      </c>
      <c r="D11" s="5"/>
      <c r="E11" s="5"/>
      <c r="F11" s="5"/>
      <c r="G11" t="s">
        <v>1097</v>
      </c>
    </row>
    <row r="12" spans="1:7" x14ac:dyDescent="0.25">
      <c r="A12" s="5" t="s">
        <v>234</v>
      </c>
      <c r="B12" s="5" t="s">
        <v>232</v>
      </c>
      <c r="C12" s="67">
        <v>24.45</v>
      </c>
      <c r="D12" s="5"/>
      <c r="E12" s="5"/>
      <c r="F12" s="5"/>
      <c r="G12" t="s">
        <v>1097</v>
      </c>
    </row>
    <row r="13" spans="1:7" x14ac:dyDescent="0.25">
      <c r="A13" s="5" t="s">
        <v>241</v>
      </c>
      <c r="B13" s="5" t="s">
        <v>232</v>
      </c>
      <c r="C13" s="67">
        <v>25</v>
      </c>
      <c r="D13" s="5"/>
      <c r="E13" s="5"/>
      <c r="F13" s="5"/>
      <c r="G13" t="s">
        <v>1097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310</v>
      </c>
      <c r="F14" s="5">
        <v>1</v>
      </c>
      <c r="G14" t="s">
        <v>1097</v>
      </c>
    </row>
    <row r="15" spans="1:7" x14ac:dyDescent="0.25">
      <c r="A15" s="5"/>
      <c r="B15" s="5"/>
      <c r="C15" s="18"/>
      <c r="D15" s="5"/>
      <c r="E15" s="5"/>
      <c r="F15" s="5"/>
      <c r="G15" t="s">
        <v>1097</v>
      </c>
    </row>
    <row r="16" spans="1:7" ht="17.25" x14ac:dyDescent="0.3">
      <c r="A16" s="111" t="s">
        <v>211</v>
      </c>
      <c r="B16" s="111"/>
      <c r="C16" s="111"/>
      <c r="D16" s="111"/>
      <c r="E16" s="111"/>
      <c r="F16" s="111"/>
      <c r="G16" t="s">
        <v>1097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1097</v>
      </c>
    </row>
    <row r="18" spans="1:7" x14ac:dyDescent="0.25">
      <c r="A18" s="5" t="s">
        <v>216</v>
      </c>
      <c r="B18" s="5" t="s">
        <v>218</v>
      </c>
      <c r="C18" s="18">
        <v>443.40499999999997</v>
      </c>
      <c r="D18" s="5"/>
      <c r="E18" s="5"/>
      <c r="F18" s="5"/>
      <c r="G18" t="s">
        <v>1097</v>
      </c>
    </row>
    <row r="19" spans="1:7" x14ac:dyDescent="0.25">
      <c r="A19" s="5" t="s">
        <v>217</v>
      </c>
      <c r="B19" s="5" t="s">
        <v>199</v>
      </c>
      <c r="C19" s="18">
        <v>7</v>
      </c>
      <c r="D19" s="5"/>
      <c r="E19" s="5"/>
      <c r="F19" s="5"/>
      <c r="G19" t="s">
        <v>1097</v>
      </c>
    </row>
    <row r="20" spans="1:7" s="103" customFormat="1" x14ac:dyDescent="0.25">
      <c r="A20" s="91" t="s">
        <v>3109</v>
      </c>
      <c r="B20" s="91" t="s">
        <v>199</v>
      </c>
      <c r="C20" s="67">
        <v>4.0999999999999996</v>
      </c>
      <c r="D20" s="91"/>
      <c r="E20" s="91"/>
      <c r="F20" s="91"/>
    </row>
    <row r="21" spans="1:7" s="103" customFormat="1" x14ac:dyDescent="0.25">
      <c r="A21" s="91" t="s">
        <v>3110</v>
      </c>
      <c r="B21" s="91" t="s">
        <v>200</v>
      </c>
      <c r="C21" s="67">
        <v>6000</v>
      </c>
      <c r="D21" s="91"/>
      <c r="E21" s="91"/>
      <c r="F21" s="91"/>
    </row>
    <row r="22" spans="1:7" s="103" customFormat="1" x14ac:dyDescent="0.25">
      <c r="A22" s="99" t="s">
        <v>1163</v>
      </c>
      <c r="B22" s="91" t="s">
        <v>218</v>
      </c>
      <c r="C22" s="67">
        <v>140</v>
      </c>
      <c r="D22" s="91"/>
      <c r="E22" s="91"/>
      <c r="F22" s="91"/>
    </row>
    <row r="23" spans="1:7" x14ac:dyDescent="0.25">
      <c r="A23" s="5"/>
      <c r="B23" s="5"/>
      <c r="C23" s="18"/>
      <c r="D23" s="5"/>
      <c r="E23" s="5"/>
      <c r="F23" s="5"/>
      <c r="G23" t="s">
        <v>1097</v>
      </c>
    </row>
    <row r="24" spans="1:7" ht="17.25" x14ac:dyDescent="0.3">
      <c r="A24" s="111" t="s">
        <v>212</v>
      </c>
      <c r="B24" s="111"/>
      <c r="C24" s="111"/>
      <c r="D24" s="111"/>
      <c r="E24" s="111"/>
      <c r="F24" s="111"/>
      <c r="G24" t="s">
        <v>1097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1097</v>
      </c>
    </row>
    <row r="26" spans="1:7" x14ac:dyDescent="0.25">
      <c r="A26" s="112" t="s">
        <v>235</v>
      </c>
      <c r="B26" s="112"/>
      <c r="C26" s="112"/>
      <c r="D26" s="112"/>
      <c r="E26" s="112"/>
      <c r="F26" s="113"/>
      <c r="G26" t="s">
        <v>1097</v>
      </c>
    </row>
    <row r="27" spans="1:7" x14ac:dyDescent="0.25">
      <c r="A27" s="5" t="s">
        <v>220</v>
      </c>
      <c r="B27" s="5" t="s">
        <v>218</v>
      </c>
      <c r="C27" s="18">
        <f>256</f>
        <v>256</v>
      </c>
      <c r="D27" s="5"/>
      <c r="E27" s="5"/>
      <c r="F27" s="5"/>
      <c r="G27" t="s">
        <v>1097</v>
      </c>
    </row>
    <row r="28" spans="1:7" x14ac:dyDescent="0.25">
      <c r="A28" s="5" t="s">
        <v>219</v>
      </c>
      <c r="B28" s="5" t="s">
        <v>218</v>
      </c>
      <c r="C28" s="18">
        <f>DC_BUS_MAX_VOLTAGE</f>
        <v>443.40499999999997</v>
      </c>
      <c r="D28" s="5"/>
      <c r="E28" s="5"/>
      <c r="F28" s="5"/>
      <c r="G28" t="s">
        <v>1097</v>
      </c>
    </row>
    <row r="29" spans="1:7" x14ac:dyDescent="0.25">
      <c r="A29" s="5" t="s">
        <v>221</v>
      </c>
      <c r="B29" s="5" t="s">
        <v>199</v>
      </c>
      <c r="C29" s="18">
        <v>8.2200000000000006</v>
      </c>
      <c r="D29" s="5"/>
      <c r="E29" s="5"/>
      <c r="F29" s="5"/>
      <c r="G29" t="s">
        <v>1097</v>
      </c>
    </row>
    <row r="30" spans="1:7" x14ac:dyDescent="0.25">
      <c r="A30" s="5" t="s">
        <v>222</v>
      </c>
      <c r="B30" s="5" t="s">
        <v>231</v>
      </c>
      <c r="C30" s="18">
        <v>180</v>
      </c>
      <c r="D30" s="5"/>
      <c r="E30" s="5"/>
      <c r="F30" s="5"/>
      <c r="G30" t="s">
        <v>1097</v>
      </c>
    </row>
    <row r="31" spans="1:7" x14ac:dyDescent="0.25">
      <c r="A31" s="5" t="s">
        <v>223</v>
      </c>
      <c r="B31" s="5" t="s">
        <v>230</v>
      </c>
      <c r="C31" s="18">
        <f>PI()</f>
        <v>3.1415926535897931</v>
      </c>
      <c r="D31" s="5"/>
      <c r="E31" s="5"/>
      <c r="F31" s="5"/>
      <c r="G31" t="s">
        <v>1097</v>
      </c>
    </row>
    <row r="32" spans="1:7" x14ac:dyDescent="0.25">
      <c r="A32" s="112" t="s">
        <v>236</v>
      </c>
      <c r="B32" s="112"/>
      <c r="C32" s="112"/>
      <c r="D32" s="112"/>
      <c r="E32" s="112"/>
      <c r="F32" s="113"/>
      <c r="G32" t="s">
        <v>1097</v>
      </c>
    </row>
    <row r="33" spans="1:7" x14ac:dyDescent="0.25">
      <c r="A33" s="5" t="s">
        <v>224</v>
      </c>
      <c r="B33" s="5" t="s">
        <v>201</v>
      </c>
      <c r="C33" s="18">
        <f>(LS_INDUCTANCE/1000) * MAX_PHASE_CURR + ROTOR_LAMBDAM+ 0.02</f>
        <v>0.27950000000000003</v>
      </c>
      <c r="D33" s="5"/>
      <c r="E33" s="5"/>
      <c r="F33" s="5"/>
      <c r="G33" t="s">
        <v>1097</v>
      </c>
    </row>
    <row r="34" spans="1:7" x14ac:dyDescent="0.25">
      <c r="A34" s="5" t="s">
        <v>225</v>
      </c>
      <c r="B34" s="5" t="s">
        <v>215</v>
      </c>
      <c r="C34" s="18">
        <f>(1.5 * POLE_PAIRS * BASE_FLUX * BASE_CURRENT)</f>
        <v>13.784940000000001</v>
      </c>
      <c r="D34" s="5"/>
      <c r="E34" s="5"/>
      <c r="F34" s="5"/>
      <c r="G34" t="s">
        <v>1097</v>
      </c>
    </row>
    <row r="35" spans="1:7" x14ac:dyDescent="0.25">
      <c r="A35" s="5" t="s">
        <v>226</v>
      </c>
      <c r="B35" s="5" t="s">
        <v>237</v>
      </c>
      <c r="C35" s="18">
        <f>1.5 * BASE_VOLTAGE * BASE_CURRENT</f>
        <v>3156.4800000000005</v>
      </c>
      <c r="D35" s="5"/>
      <c r="E35" s="5"/>
      <c r="F35" s="5"/>
      <c r="G35" t="s">
        <v>1097</v>
      </c>
    </row>
    <row r="36" spans="1:7" x14ac:dyDescent="0.25">
      <c r="A36" s="5" t="s">
        <v>227</v>
      </c>
      <c r="B36" s="5" t="s">
        <v>232</v>
      </c>
      <c r="C36" s="18">
        <f>(BASE_FLUX * 1000 / BASE_CURRENT)</f>
        <v>34.002433090024326</v>
      </c>
      <c r="D36" s="5"/>
      <c r="E36" s="5"/>
      <c r="F36" s="5"/>
      <c r="G36" t="s">
        <v>1097</v>
      </c>
    </row>
    <row r="37" spans="1:7" x14ac:dyDescent="0.25">
      <c r="A37" s="5" t="s">
        <v>228</v>
      </c>
      <c r="B37" s="5" t="s">
        <v>198</v>
      </c>
      <c r="C37" s="18">
        <f>BASE_VOLTAGE / BASE_CURRENT</f>
        <v>31.143552311435521</v>
      </c>
      <c r="D37" s="5"/>
      <c r="E37" s="5"/>
      <c r="F37" s="5"/>
      <c r="G37" t="s">
        <v>1097</v>
      </c>
    </row>
    <row r="38" spans="1:7" x14ac:dyDescent="0.25">
      <c r="A38" s="5" t="s">
        <v>239</v>
      </c>
      <c r="B38" s="5" t="s">
        <v>238</v>
      </c>
      <c r="C38" s="18">
        <f>BASE_VOLTAGE / BASE_FLUX</f>
        <v>915.92128801431113</v>
      </c>
      <c r="D38" s="5"/>
      <c r="E38" s="5"/>
      <c r="F38" s="5"/>
      <c r="G38" t="s">
        <v>1097</v>
      </c>
    </row>
    <row r="39" spans="1:7" x14ac:dyDescent="0.25">
      <c r="A39" s="5" t="s">
        <v>240</v>
      </c>
      <c r="B39" s="5" t="s">
        <v>200</v>
      </c>
      <c r="C39" s="18">
        <f>(BASE_OMEGA * 60) / (2 * PI() * POLE_PAIRS)</f>
        <v>2186.6010070585976</v>
      </c>
      <c r="D39" s="5"/>
      <c r="E39" s="5"/>
      <c r="F39" s="5"/>
      <c r="G39" t="s">
        <v>1097</v>
      </c>
    </row>
    <row r="40" spans="1:7" x14ac:dyDescent="0.25">
      <c r="A40" s="5" t="s">
        <v>229</v>
      </c>
      <c r="B40" s="5" t="s">
        <v>205</v>
      </c>
      <c r="C40" s="18">
        <f>(PI() / BASE_OMEGA)</f>
        <v>3.4299810417122941E-3</v>
      </c>
      <c r="D40" s="5"/>
      <c r="E40" s="5"/>
      <c r="F40" s="5"/>
      <c r="G40" t="s">
        <v>1097</v>
      </c>
    </row>
    <row r="41" spans="1:7" x14ac:dyDescent="0.25">
      <c r="A41" s="5"/>
      <c r="B41" s="5"/>
      <c r="C41" s="18"/>
      <c r="D41" s="5"/>
      <c r="E41" s="5"/>
      <c r="F41" s="5"/>
      <c r="G41" t="s">
        <v>1097</v>
      </c>
    </row>
    <row r="42" spans="1:7" ht="17.25" x14ac:dyDescent="0.3">
      <c r="A42" s="111" t="s">
        <v>308</v>
      </c>
      <c r="B42" s="111"/>
      <c r="C42" s="111"/>
      <c r="D42" s="111"/>
      <c r="E42" s="111"/>
      <c r="F42" s="111"/>
      <c r="G42" t="s">
        <v>1098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1098</v>
      </c>
    </row>
    <row r="44" spans="1:7" x14ac:dyDescent="0.25">
      <c r="A44" s="4" t="s">
        <v>42</v>
      </c>
      <c r="B44" s="5" t="s">
        <v>198</v>
      </c>
      <c r="C44" s="18">
        <f>STATOR_RESISTANCE</f>
        <v>2.8</v>
      </c>
      <c r="D44" s="5"/>
      <c r="E44" s="5"/>
      <c r="F44" s="5"/>
      <c r="G44" t="s">
        <v>1098</v>
      </c>
    </row>
    <row r="45" spans="1:7" x14ac:dyDescent="0.25">
      <c r="A45" s="4" t="s">
        <v>43</v>
      </c>
      <c r="B45" s="5" t="s">
        <v>202</v>
      </c>
      <c r="C45" s="18">
        <v>0</v>
      </c>
      <c r="D45" s="5"/>
      <c r="E45" s="5"/>
      <c r="F45" s="5"/>
      <c r="G45" t="s">
        <v>1098</v>
      </c>
    </row>
    <row r="46" spans="1:7" x14ac:dyDescent="0.25">
      <c r="A46" s="4" t="s">
        <v>44</v>
      </c>
      <c r="B46" s="5" t="s">
        <v>199</v>
      </c>
      <c r="C46" s="18">
        <v>0.7</v>
      </c>
      <c r="D46" s="5"/>
      <c r="E46" s="5"/>
      <c r="F46" s="5"/>
      <c r="G46" t="s">
        <v>1098</v>
      </c>
    </row>
    <row r="47" spans="1:7" x14ac:dyDescent="0.25">
      <c r="A47" s="4" t="s">
        <v>45</v>
      </c>
      <c r="B47" s="5" t="s">
        <v>200</v>
      </c>
      <c r="C47" s="18">
        <v>80</v>
      </c>
      <c r="D47" s="5"/>
      <c r="E47" s="5"/>
      <c r="F47" s="5"/>
      <c r="G47" t="s">
        <v>1098</v>
      </c>
    </row>
    <row r="48" spans="1:7" x14ac:dyDescent="0.25">
      <c r="A48" s="4" t="s">
        <v>46</v>
      </c>
      <c r="B48" s="5" t="s">
        <v>201</v>
      </c>
      <c r="C48" s="18">
        <f>ROTOR_LAMBDAM</f>
        <v>8.4500000000000006E-2</v>
      </c>
      <c r="D48" s="5"/>
      <c r="E48" s="5"/>
      <c r="F48" s="5"/>
      <c r="G48" t="s">
        <v>1098</v>
      </c>
    </row>
    <row r="49" spans="1:8" x14ac:dyDescent="0.25">
      <c r="A49" s="4" t="s">
        <v>47</v>
      </c>
      <c r="B49" s="5" t="s">
        <v>204</v>
      </c>
      <c r="C49" s="18">
        <v>60</v>
      </c>
      <c r="D49" s="5"/>
      <c r="E49" s="5"/>
      <c r="F49" s="5"/>
      <c r="G49" t="s">
        <v>1098</v>
      </c>
    </row>
    <row r="50" spans="1:8" x14ac:dyDescent="0.25">
      <c r="A50" s="4" t="s">
        <v>48</v>
      </c>
      <c r="B50" s="5" t="s">
        <v>203</v>
      </c>
      <c r="C50" s="18">
        <f>(0.5 * BASE_VOLTAGE * OBSERVER_TS) / BASE_FLUX</f>
        <v>5.7245080500894448E-2</v>
      </c>
      <c r="D50" s="5"/>
      <c r="E50" s="5"/>
      <c r="F50" s="5"/>
      <c r="G50" t="s">
        <v>1098</v>
      </c>
    </row>
    <row r="51" spans="1:8" x14ac:dyDescent="0.25">
      <c r="A51" s="4" t="s">
        <v>49</v>
      </c>
      <c r="B51" s="5" t="s">
        <v>200</v>
      </c>
      <c r="C51" s="18">
        <v>0.01</v>
      </c>
      <c r="D51" s="5"/>
      <c r="E51" s="5"/>
      <c r="F51" s="5"/>
      <c r="G51" t="s">
        <v>1098</v>
      </c>
    </row>
    <row r="52" spans="1:8" x14ac:dyDescent="0.25">
      <c r="A52" s="4" t="s">
        <v>50</v>
      </c>
      <c r="B52" s="5" t="s">
        <v>69</v>
      </c>
      <c r="C52" s="28">
        <f>POLE_PAIRS</f>
        <v>4</v>
      </c>
      <c r="D52" s="5"/>
      <c r="E52" s="5"/>
      <c r="F52" s="5"/>
      <c r="G52" t="s">
        <v>1098</v>
      </c>
    </row>
    <row r="53" spans="1:8" x14ac:dyDescent="0.25">
      <c r="A53" s="4" t="s">
        <v>51</v>
      </c>
      <c r="B53" s="5" t="s">
        <v>307</v>
      </c>
      <c r="C53" s="29">
        <f>(  (1/OBSERVER_TS)/BASE_OMEGA  )</f>
        <v>8.7343750000000018</v>
      </c>
      <c r="D53" s="5"/>
      <c r="E53" s="5"/>
      <c r="F53" s="5"/>
      <c r="G53" t="s">
        <v>1098</v>
      </c>
      <c r="H53" s="30"/>
    </row>
    <row r="54" spans="1:8" x14ac:dyDescent="0.25">
      <c r="A54" s="4" t="s">
        <v>52</v>
      </c>
      <c r="B54" s="5" t="s">
        <v>205</v>
      </c>
      <c r="C54" s="18">
        <v>0.5</v>
      </c>
      <c r="D54" s="5"/>
      <c r="E54" s="5"/>
      <c r="F54" s="5"/>
      <c r="G54" t="s">
        <v>1098</v>
      </c>
    </row>
    <row r="55" spans="1:8" x14ac:dyDescent="0.25">
      <c r="A55" s="4" t="s">
        <v>53</v>
      </c>
      <c r="B55" s="5"/>
      <c r="C55" s="18">
        <v>118</v>
      </c>
      <c r="D55" s="5"/>
      <c r="E55" s="5"/>
      <c r="F55" s="5"/>
      <c r="G55" t="s">
        <v>1098</v>
      </c>
    </row>
    <row r="56" spans="1:8" x14ac:dyDescent="0.25">
      <c r="A56" s="4" t="s">
        <v>54</v>
      </c>
      <c r="B56" s="5"/>
      <c r="C56" s="18">
        <v>3410</v>
      </c>
      <c r="D56" s="5"/>
      <c r="E56" s="5"/>
      <c r="F56" s="5"/>
      <c r="G56" t="s">
        <v>1098</v>
      </c>
    </row>
    <row r="57" spans="1:8" x14ac:dyDescent="0.25">
      <c r="A57" s="4" t="s">
        <v>55</v>
      </c>
      <c r="B57" s="5"/>
      <c r="C57" s="31">
        <f>(OBSERVER_TS * 0.5)</f>
        <v>6.2500000000000001E-5</v>
      </c>
      <c r="D57" s="5"/>
      <c r="E57" s="5"/>
      <c r="F57" s="5"/>
      <c r="G57" t="s">
        <v>1098</v>
      </c>
    </row>
    <row r="58" spans="1:8" x14ac:dyDescent="0.25">
      <c r="A58" s="4" t="s">
        <v>56</v>
      </c>
      <c r="B58" s="5"/>
      <c r="C58" s="31">
        <f>60 / (BASE_SPEED_RPM * POLE_PAIRS * 2 * PI())</f>
        <v>1.0917968750000001E-3</v>
      </c>
      <c r="D58" s="5"/>
      <c r="E58" s="5"/>
      <c r="F58" s="5"/>
      <c r="G58" t="s">
        <v>1098</v>
      </c>
    </row>
    <row r="59" spans="1:8" x14ac:dyDescent="0.25">
      <c r="A59" s="4" t="s">
        <v>242</v>
      </c>
      <c r="B59" s="5" t="s">
        <v>205</v>
      </c>
      <c r="C59" s="71">
        <f>1/8000</f>
        <v>1.25E-4</v>
      </c>
      <c r="D59" s="5"/>
      <c r="E59" s="5"/>
      <c r="F59" s="5"/>
      <c r="G59" t="s">
        <v>1098</v>
      </c>
    </row>
    <row r="60" spans="1:8" x14ac:dyDescent="0.25">
      <c r="A60" s="4" t="s">
        <v>243</v>
      </c>
      <c r="B60" s="5" t="s">
        <v>232</v>
      </c>
      <c r="C60" s="67">
        <v>21.17</v>
      </c>
      <c r="D60" s="5"/>
      <c r="E60" s="5"/>
      <c r="F60" s="5"/>
      <c r="G60" t="s">
        <v>1098</v>
      </c>
    </row>
    <row r="61" spans="1:8" x14ac:dyDescent="0.25">
      <c r="A61" s="4" t="s">
        <v>244</v>
      </c>
      <c r="B61" s="5" t="s">
        <v>232</v>
      </c>
      <c r="C61" s="67">
        <v>21.17</v>
      </c>
      <c r="D61" s="5"/>
      <c r="E61" s="5"/>
      <c r="F61" s="5"/>
      <c r="G61" t="s">
        <v>1098</v>
      </c>
    </row>
    <row r="62" spans="1:8" x14ac:dyDescent="0.25">
      <c r="A62" s="4" t="s">
        <v>245</v>
      </c>
      <c r="B62" s="5" t="s">
        <v>232</v>
      </c>
      <c r="C62" s="67">
        <v>21.17</v>
      </c>
      <c r="D62" s="5"/>
      <c r="E62" s="5"/>
      <c r="F62" s="5"/>
      <c r="G62" t="s">
        <v>1098</v>
      </c>
    </row>
    <row r="63" spans="1:8" x14ac:dyDescent="0.25">
      <c r="A63" s="4" t="s">
        <v>246</v>
      </c>
      <c r="B63" s="5" t="s">
        <v>232</v>
      </c>
      <c r="C63" s="67">
        <v>21.17</v>
      </c>
      <c r="D63" s="5"/>
      <c r="E63" s="5"/>
      <c r="F63" s="5"/>
      <c r="G63" t="s">
        <v>1098</v>
      </c>
    </row>
    <row r="64" spans="1:8" x14ac:dyDescent="0.25">
      <c r="A64" s="4" t="s">
        <v>247</v>
      </c>
      <c r="B64" s="5" t="s">
        <v>232</v>
      </c>
      <c r="C64" s="67">
        <v>21.17</v>
      </c>
      <c r="D64" s="5"/>
      <c r="E64" s="5"/>
      <c r="F64" s="5"/>
      <c r="G64" t="s">
        <v>1098</v>
      </c>
    </row>
    <row r="65" spans="1:7" x14ac:dyDescent="0.25">
      <c r="A65" s="4" t="s">
        <v>248</v>
      </c>
      <c r="B65" s="5" t="s">
        <v>232</v>
      </c>
      <c r="C65" s="67">
        <v>21.17</v>
      </c>
      <c r="D65" s="5"/>
      <c r="E65" s="5"/>
      <c r="F65" s="5"/>
      <c r="G65" t="s">
        <v>1098</v>
      </c>
    </row>
    <row r="66" spans="1:7" x14ac:dyDescent="0.25">
      <c r="A66" s="4" t="s">
        <v>249</v>
      </c>
      <c r="B66" s="5" t="s">
        <v>232</v>
      </c>
      <c r="C66" s="67">
        <v>21.17</v>
      </c>
      <c r="D66" s="5"/>
      <c r="E66" s="5"/>
      <c r="F66" s="5"/>
      <c r="G66" t="s">
        <v>1098</v>
      </c>
    </row>
    <row r="67" spans="1:7" x14ac:dyDescent="0.25">
      <c r="A67" s="4" t="s">
        <v>250</v>
      </c>
      <c r="B67" s="5" t="s">
        <v>232</v>
      </c>
      <c r="C67" s="67">
        <v>21.17</v>
      </c>
      <c r="D67" s="5"/>
      <c r="E67" s="5"/>
      <c r="F67" s="5"/>
      <c r="G67" t="s">
        <v>1098</v>
      </c>
    </row>
    <row r="68" spans="1:7" x14ac:dyDescent="0.25">
      <c r="A68" s="4" t="s">
        <v>251</v>
      </c>
      <c r="B68" s="5" t="s">
        <v>232</v>
      </c>
      <c r="C68" s="67">
        <v>21.17</v>
      </c>
      <c r="D68" s="5"/>
      <c r="E68" s="5"/>
      <c r="F68" s="5"/>
      <c r="G68" t="s">
        <v>1098</v>
      </c>
    </row>
    <row r="69" spans="1:7" x14ac:dyDescent="0.25">
      <c r="A69" s="4" t="s">
        <v>252</v>
      </c>
      <c r="B69" s="5" t="s">
        <v>232</v>
      </c>
      <c r="C69" s="67">
        <v>21.17</v>
      </c>
      <c r="D69" s="5"/>
      <c r="E69" s="5"/>
      <c r="F69" s="5"/>
      <c r="G69" t="s">
        <v>1098</v>
      </c>
    </row>
    <row r="70" spans="1:7" x14ac:dyDescent="0.25">
      <c r="A70" s="4" t="s">
        <v>253</v>
      </c>
      <c r="B70" s="5" t="s">
        <v>232</v>
      </c>
      <c r="C70" s="67">
        <v>21.17</v>
      </c>
      <c r="D70" s="5"/>
      <c r="E70" s="5"/>
      <c r="F70" s="5"/>
      <c r="G70" t="s">
        <v>1098</v>
      </c>
    </row>
    <row r="71" spans="1:7" x14ac:dyDescent="0.25">
      <c r="A71" s="4" t="s">
        <v>254</v>
      </c>
      <c r="B71" s="5" t="s">
        <v>232</v>
      </c>
      <c r="C71" s="67">
        <v>21.17</v>
      </c>
      <c r="D71" s="5"/>
      <c r="E71" s="5"/>
      <c r="F71" s="5"/>
      <c r="G71" t="s">
        <v>1098</v>
      </c>
    </row>
    <row r="72" spans="1:7" x14ac:dyDescent="0.25">
      <c r="A72" s="4" t="s">
        <v>255</v>
      </c>
      <c r="B72" s="5" t="s">
        <v>232</v>
      </c>
      <c r="C72" s="67">
        <v>21.17</v>
      </c>
      <c r="D72" s="5"/>
      <c r="E72" s="5"/>
      <c r="F72" s="5"/>
      <c r="G72" t="s">
        <v>1098</v>
      </c>
    </row>
    <row r="73" spans="1:7" x14ac:dyDescent="0.25">
      <c r="A73" s="4" t="s">
        <v>256</v>
      </c>
      <c r="B73" s="5" t="s">
        <v>232</v>
      </c>
      <c r="C73" s="67">
        <v>21.17</v>
      </c>
      <c r="D73" s="5"/>
      <c r="E73" s="5"/>
      <c r="F73" s="5"/>
      <c r="G73" t="s">
        <v>1098</v>
      </c>
    </row>
    <row r="74" spans="1:7" x14ac:dyDescent="0.25">
      <c r="A74" s="4" t="s">
        <v>257</v>
      </c>
      <c r="B74" s="5" t="s">
        <v>232</v>
      </c>
      <c r="C74" s="67">
        <v>21.17</v>
      </c>
      <c r="D74" s="5"/>
      <c r="E74" s="5"/>
      <c r="F74" s="5"/>
      <c r="G74" t="s">
        <v>1098</v>
      </c>
    </row>
    <row r="75" spans="1:7" x14ac:dyDescent="0.25">
      <c r="A75" s="4" t="s">
        <v>258</v>
      </c>
      <c r="B75" s="5" t="s">
        <v>232</v>
      </c>
      <c r="C75" s="67">
        <v>21.17</v>
      </c>
      <c r="D75" s="5"/>
      <c r="E75" s="5"/>
      <c r="F75" s="5"/>
      <c r="G75" t="s">
        <v>1098</v>
      </c>
    </row>
    <row r="76" spans="1:7" x14ac:dyDescent="0.25">
      <c r="A76" s="4" t="s">
        <v>259</v>
      </c>
      <c r="B76" s="5" t="s">
        <v>199</v>
      </c>
      <c r="C76" s="18">
        <v>0</v>
      </c>
      <c r="D76" s="5"/>
      <c r="E76" s="5"/>
      <c r="F76" s="5"/>
      <c r="G76" t="s">
        <v>1098</v>
      </c>
    </row>
    <row r="77" spans="1:7" x14ac:dyDescent="0.25">
      <c r="A77" s="4" t="s">
        <v>260</v>
      </c>
      <c r="B77" s="5" t="s">
        <v>199</v>
      </c>
      <c r="C77" s="18">
        <v>-1</v>
      </c>
      <c r="D77" s="5"/>
      <c r="E77" s="5"/>
      <c r="F77" s="5"/>
      <c r="G77" t="s">
        <v>1098</v>
      </c>
    </row>
    <row r="78" spans="1:7" x14ac:dyDescent="0.25">
      <c r="A78" s="4" t="s">
        <v>261</v>
      </c>
      <c r="B78" s="5" t="s">
        <v>199</v>
      </c>
      <c r="C78" s="18">
        <v>-2</v>
      </c>
      <c r="D78" s="5"/>
      <c r="E78" s="5"/>
      <c r="F78" s="5"/>
      <c r="G78" t="s">
        <v>1098</v>
      </c>
    </row>
    <row r="79" spans="1:7" x14ac:dyDescent="0.25">
      <c r="A79" s="4" t="s">
        <v>262</v>
      </c>
      <c r="B79" s="5" t="s">
        <v>199</v>
      </c>
      <c r="C79" s="67">
        <v>-3</v>
      </c>
      <c r="D79" s="5"/>
      <c r="E79" s="5"/>
      <c r="F79" s="5"/>
      <c r="G79" t="s">
        <v>1098</v>
      </c>
    </row>
    <row r="80" spans="1:7" x14ac:dyDescent="0.25">
      <c r="A80" s="4" t="s">
        <v>263</v>
      </c>
      <c r="B80" s="5" t="s">
        <v>199</v>
      </c>
      <c r="C80" s="67">
        <v>-4</v>
      </c>
      <c r="D80" s="5"/>
      <c r="E80" s="5"/>
      <c r="F80" s="5"/>
      <c r="G80" t="s">
        <v>1098</v>
      </c>
    </row>
    <row r="81" spans="1:7" x14ac:dyDescent="0.25">
      <c r="A81" s="4" t="s">
        <v>264</v>
      </c>
      <c r="B81" s="5" t="s">
        <v>199</v>
      </c>
      <c r="C81" s="67">
        <v>-5</v>
      </c>
      <c r="D81" s="5"/>
      <c r="E81" s="5"/>
      <c r="F81" s="5"/>
      <c r="G81" t="s">
        <v>1098</v>
      </c>
    </row>
    <row r="82" spans="1:7" x14ac:dyDescent="0.25">
      <c r="A82" s="4" t="s">
        <v>265</v>
      </c>
      <c r="B82" s="5" t="s">
        <v>199</v>
      </c>
      <c r="C82" s="67">
        <v>-6</v>
      </c>
      <c r="D82" s="5"/>
      <c r="E82" s="5"/>
      <c r="F82" s="5"/>
      <c r="G82" t="s">
        <v>1098</v>
      </c>
    </row>
    <row r="83" spans="1:7" x14ac:dyDescent="0.25">
      <c r="A83" s="4" t="s">
        <v>266</v>
      </c>
      <c r="B83" s="5" t="s">
        <v>199</v>
      </c>
      <c r="C83" s="67">
        <v>-7</v>
      </c>
      <c r="D83" s="5"/>
      <c r="E83" s="5"/>
      <c r="F83" s="5"/>
      <c r="G83" t="s">
        <v>1098</v>
      </c>
    </row>
    <row r="84" spans="1:7" x14ac:dyDescent="0.25">
      <c r="A84" s="4" t="s">
        <v>267</v>
      </c>
      <c r="B84" s="5" t="s">
        <v>199</v>
      </c>
      <c r="C84" s="67">
        <v>-8</v>
      </c>
      <c r="D84" s="5"/>
      <c r="E84" s="5"/>
      <c r="F84" s="5"/>
      <c r="G84" t="s">
        <v>1098</v>
      </c>
    </row>
    <row r="85" spans="1:7" x14ac:dyDescent="0.25">
      <c r="A85" s="4" t="s">
        <v>268</v>
      </c>
      <c r="B85" s="5" t="s">
        <v>199</v>
      </c>
      <c r="C85" s="67">
        <v>-9</v>
      </c>
      <c r="D85" s="5"/>
      <c r="E85" s="5"/>
      <c r="F85" s="5"/>
      <c r="G85" t="s">
        <v>1098</v>
      </c>
    </row>
    <row r="86" spans="1:7" x14ac:dyDescent="0.25">
      <c r="A86" s="4" t="s">
        <v>269</v>
      </c>
      <c r="B86" s="5" t="s">
        <v>199</v>
      </c>
      <c r="C86" s="67">
        <v>-10</v>
      </c>
      <c r="D86" s="5"/>
      <c r="E86" s="5"/>
      <c r="F86" s="5"/>
      <c r="G86" t="s">
        <v>1098</v>
      </c>
    </row>
    <row r="87" spans="1:7" x14ac:dyDescent="0.25">
      <c r="A87" s="4" t="s">
        <v>270</v>
      </c>
      <c r="B87" s="5" t="s">
        <v>199</v>
      </c>
      <c r="C87" s="67">
        <v>-11</v>
      </c>
      <c r="D87" s="5"/>
      <c r="E87" s="5"/>
      <c r="F87" s="5"/>
      <c r="G87" t="s">
        <v>1098</v>
      </c>
    </row>
    <row r="88" spans="1:7" x14ac:dyDescent="0.25">
      <c r="A88" s="4" t="s">
        <v>271</v>
      </c>
      <c r="B88" s="5" t="s">
        <v>199</v>
      </c>
      <c r="C88" s="67">
        <v>-12</v>
      </c>
      <c r="D88" s="5"/>
      <c r="E88" s="5"/>
      <c r="F88" s="5"/>
      <c r="G88" t="s">
        <v>1098</v>
      </c>
    </row>
    <row r="89" spans="1:7" x14ac:dyDescent="0.25">
      <c r="A89" s="4" t="s">
        <v>272</v>
      </c>
      <c r="B89" s="5" t="s">
        <v>199</v>
      </c>
      <c r="C89" s="67">
        <v>-13</v>
      </c>
      <c r="D89" s="5"/>
      <c r="E89" s="5"/>
      <c r="F89" s="5"/>
      <c r="G89" t="s">
        <v>1098</v>
      </c>
    </row>
    <row r="90" spans="1:7" x14ac:dyDescent="0.25">
      <c r="A90" s="4" t="s">
        <v>273</v>
      </c>
      <c r="B90" s="5" t="s">
        <v>199</v>
      </c>
      <c r="C90" s="67">
        <v>-14</v>
      </c>
      <c r="D90" s="5"/>
      <c r="E90" s="5"/>
      <c r="F90" s="5"/>
      <c r="G90" t="s">
        <v>1098</v>
      </c>
    </row>
    <row r="91" spans="1:7" x14ac:dyDescent="0.25">
      <c r="A91" s="4" t="s">
        <v>274</v>
      </c>
      <c r="B91" s="5" t="s">
        <v>199</v>
      </c>
      <c r="C91" s="67">
        <v>-14</v>
      </c>
      <c r="D91" s="5"/>
      <c r="E91" s="5"/>
      <c r="F91" s="5"/>
      <c r="G91" t="s">
        <v>1098</v>
      </c>
    </row>
    <row r="92" spans="1:7" x14ac:dyDescent="0.25">
      <c r="A92" s="4" t="s">
        <v>275</v>
      </c>
      <c r="B92" s="5" t="s">
        <v>232</v>
      </c>
      <c r="C92" s="67">
        <v>27.44</v>
      </c>
      <c r="D92" s="5"/>
      <c r="E92" s="5"/>
      <c r="F92" s="5"/>
      <c r="G92" t="s">
        <v>1098</v>
      </c>
    </row>
    <row r="93" spans="1:7" x14ac:dyDescent="0.25">
      <c r="A93" s="4" t="s">
        <v>276</v>
      </c>
      <c r="B93" s="5" t="s">
        <v>232</v>
      </c>
      <c r="C93" s="67">
        <v>27.77</v>
      </c>
      <c r="D93" s="5"/>
      <c r="E93" s="5"/>
      <c r="F93" s="5"/>
      <c r="G93" t="s">
        <v>1098</v>
      </c>
    </row>
    <row r="94" spans="1:7" x14ac:dyDescent="0.25">
      <c r="A94" s="4" t="s">
        <v>277</v>
      </c>
      <c r="B94" s="5" t="s">
        <v>232</v>
      </c>
      <c r="C94" s="67">
        <v>27.42</v>
      </c>
      <c r="D94" s="5"/>
      <c r="E94" s="5"/>
      <c r="F94" s="5"/>
      <c r="G94" t="s">
        <v>1098</v>
      </c>
    </row>
    <row r="95" spans="1:7" x14ac:dyDescent="0.25">
      <c r="A95" s="4" t="s">
        <v>278</v>
      </c>
      <c r="B95" s="5" t="s">
        <v>232</v>
      </c>
      <c r="C95" s="67">
        <v>26.46</v>
      </c>
      <c r="D95" s="5"/>
      <c r="E95" s="5"/>
      <c r="F95" s="5"/>
      <c r="G95" t="s">
        <v>1098</v>
      </c>
    </row>
    <row r="96" spans="1:7" x14ac:dyDescent="0.25">
      <c r="A96" s="4" t="s">
        <v>279</v>
      </c>
      <c r="B96" s="5" t="s">
        <v>232</v>
      </c>
      <c r="C96" s="67">
        <v>24.26</v>
      </c>
      <c r="D96" s="5"/>
      <c r="E96" s="5"/>
      <c r="F96" s="5"/>
      <c r="G96" t="s">
        <v>1098</v>
      </c>
    </row>
    <row r="97" spans="1:7" x14ac:dyDescent="0.25">
      <c r="A97" s="4" t="s">
        <v>280</v>
      </c>
      <c r="B97" s="5" t="s">
        <v>232</v>
      </c>
      <c r="C97" s="67">
        <v>23.29</v>
      </c>
      <c r="D97" s="5"/>
      <c r="E97" s="5"/>
      <c r="F97" s="5"/>
      <c r="G97" t="s">
        <v>1098</v>
      </c>
    </row>
    <row r="98" spans="1:7" x14ac:dyDescent="0.25">
      <c r="A98" s="4" t="s">
        <v>281</v>
      </c>
      <c r="B98" s="5" t="s">
        <v>232</v>
      </c>
      <c r="C98" s="67">
        <v>22.41</v>
      </c>
      <c r="D98" s="5"/>
      <c r="E98" s="5"/>
      <c r="F98" s="5"/>
      <c r="G98" t="s">
        <v>1098</v>
      </c>
    </row>
    <row r="99" spans="1:7" x14ac:dyDescent="0.25">
      <c r="A99" s="4" t="s">
        <v>282</v>
      </c>
      <c r="B99" s="5" t="s">
        <v>232</v>
      </c>
      <c r="C99" s="67">
        <v>22.41</v>
      </c>
      <c r="D99" s="5"/>
      <c r="E99" s="5"/>
      <c r="F99" s="5"/>
      <c r="G99" t="s">
        <v>1098</v>
      </c>
    </row>
    <row r="100" spans="1:7" x14ac:dyDescent="0.25">
      <c r="A100" s="4" t="s">
        <v>283</v>
      </c>
      <c r="B100" s="5" t="s">
        <v>232</v>
      </c>
      <c r="C100" s="67">
        <v>22.41</v>
      </c>
      <c r="D100" s="5"/>
      <c r="E100" s="5"/>
      <c r="F100" s="5"/>
      <c r="G100" t="s">
        <v>1098</v>
      </c>
    </row>
    <row r="101" spans="1:7" x14ac:dyDescent="0.25">
      <c r="A101" s="4" t="s">
        <v>284</v>
      </c>
      <c r="B101" s="5" t="s">
        <v>232</v>
      </c>
      <c r="C101" s="67">
        <v>22.41</v>
      </c>
      <c r="D101" s="5"/>
      <c r="E101" s="5"/>
      <c r="F101" s="5"/>
      <c r="G101" t="s">
        <v>1098</v>
      </c>
    </row>
    <row r="102" spans="1:7" x14ac:dyDescent="0.25">
      <c r="A102" s="4" t="s">
        <v>285</v>
      </c>
      <c r="B102" s="5" t="s">
        <v>232</v>
      </c>
      <c r="C102" s="67">
        <v>22.41</v>
      </c>
      <c r="D102" s="5"/>
      <c r="E102" s="5"/>
      <c r="F102" s="5"/>
      <c r="G102" t="s">
        <v>1098</v>
      </c>
    </row>
    <row r="103" spans="1:7" x14ac:dyDescent="0.25">
      <c r="A103" s="4" t="s">
        <v>286</v>
      </c>
      <c r="B103" s="5" t="s">
        <v>232</v>
      </c>
      <c r="C103" s="67">
        <v>22.41</v>
      </c>
      <c r="D103" s="5"/>
      <c r="E103" s="5"/>
      <c r="F103" s="5"/>
      <c r="G103" t="s">
        <v>1098</v>
      </c>
    </row>
    <row r="104" spans="1:7" x14ac:dyDescent="0.25">
      <c r="A104" s="4" t="s">
        <v>287</v>
      </c>
      <c r="B104" s="5" t="s">
        <v>232</v>
      </c>
      <c r="C104" s="67">
        <v>22.41</v>
      </c>
      <c r="D104" s="5"/>
      <c r="E104" s="5"/>
      <c r="F104" s="5"/>
      <c r="G104" t="s">
        <v>1098</v>
      </c>
    </row>
    <row r="105" spans="1:7" x14ac:dyDescent="0.25">
      <c r="A105" s="4" t="s">
        <v>288</v>
      </c>
      <c r="B105" s="5" t="s">
        <v>232</v>
      </c>
      <c r="C105" s="67">
        <v>22.41</v>
      </c>
      <c r="D105" s="5"/>
      <c r="E105" s="5"/>
      <c r="F105" s="5"/>
      <c r="G105" t="s">
        <v>1098</v>
      </c>
    </row>
    <row r="106" spans="1:7" x14ac:dyDescent="0.25">
      <c r="A106" s="4" t="s">
        <v>289</v>
      </c>
      <c r="B106" s="5" t="s">
        <v>232</v>
      </c>
      <c r="C106" s="67">
        <v>22.41</v>
      </c>
      <c r="D106" s="5"/>
      <c r="E106" s="5"/>
      <c r="F106" s="5"/>
      <c r="G106" t="s">
        <v>1098</v>
      </c>
    </row>
    <row r="107" spans="1:7" x14ac:dyDescent="0.25">
      <c r="A107" s="4" t="s">
        <v>290</v>
      </c>
      <c r="B107" s="5" t="s">
        <v>232</v>
      </c>
      <c r="C107" s="67">
        <v>22.41</v>
      </c>
      <c r="D107" s="5"/>
      <c r="E107" s="5"/>
      <c r="F107" s="5"/>
      <c r="G107" t="s">
        <v>1098</v>
      </c>
    </row>
    <row r="108" spans="1:7" x14ac:dyDescent="0.25">
      <c r="A108" s="4" t="s">
        <v>291</v>
      </c>
      <c r="B108" s="5" t="s">
        <v>199</v>
      </c>
      <c r="C108" s="67">
        <v>0</v>
      </c>
      <c r="D108" s="5"/>
      <c r="E108" s="5"/>
      <c r="F108" s="5"/>
      <c r="G108" t="s">
        <v>1098</v>
      </c>
    </row>
    <row r="109" spans="1:7" x14ac:dyDescent="0.25">
      <c r="A109" s="4" t="s">
        <v>292</v>
      </c>
      <c r="B109" s="5" t="s">
        <v>199</v>
      </c>
      <c r="C109" s="67">
        <v>1</v>
      </c>
      <c r="D109" s="5"/>
      <c r="E109" s="5"/>
      <c r="F109" s="5"/>
      <c r="G109" t="s">
        <v>1098</v>
      </c>
    </row>
    <row r="110" spans="1:7" x14ac:dyDescent="0.25">
      <c r="A110" s="4" t="s">
        <v>293</v>
      </c>
      <c r="B110" s="5" t="s">
        <v>199</v>
      </c>
      <c r="C110" s="67">
        <v>2</v>
      </c>
      <c r="D110" s="5"/>
      <c r="E110" s="5"/>
      <c r="F110" s="5"/>
      <c r="G110" t="s">
        <v>1098</v>
      </c>
    </row>
    <row r="111" spans="1:7" x14ac:dyDescent="0.25">
      <c r="A111" s="4" t="s">
        <v>294</v>
      </c>
      <c r="B111" s="5" t="s">
        <v>199</v>
      </c>
      <c r="C111" s="67">
        <v>3</v>
      </c>
      <c r="D111" s="5"/>
      <c r="E111" s="5"/>
      <c r="F111" s="5"/>
      <c r="G111" t="s">
        <v>1098</v>
      </c>
    </row>
    <row r="112" spans="1:7" x14ac:dyDescent="0.25">
      <c r="A112" s="4" t="s">
        <v>295</v>
      </c>
      <c r="B112" s="5" t="s">
        <v>199</v>
      </c>
      <c r="C112" s="67">
        <v>4</v>
      </c>
      <c r="D112" s="5"/>
      <c r="E112" s="5"/>
      <c r="F112" s="5"/>
      <c r="G112" t="s">
        <v>1098</v>
      </c>
    </row>
    <row r="113" spans="1:7" x14ac:dyDescent="0.25">
      <c r="A113" s="4" t="s">
        <v>296</v>
      </c>
      <c r="B113" s="5" t="s">
        <v>199</v>
      </c>
      <c r="C113" s="67">
        <v>5</v>
      </c>
      <c r="D113" s="5"/>
      <c r="E113" s="5"/>
      <c r="F113" s="5"/>
      <c r="G113" t="s">
        <v>1098</v>
      </c>
    </row>
    <row r="114" spans="1:7" x14ac:dyDescent="0.25">
      <c r="A114" s="4" t="s">
        <v>297</v>
      </c>
      <c r="B114" s="5" t="s">
        <v>199</v>
      </c>
      <c r="C114" s="67">
        <v>6</v>
      </c>
      <c r="D114" s="5"/>
      <c r="E114" s="5"/>
      <c r="F114" s="5"/>
      <c r="G114" t="s">
        <v>1098</v>
      </c>
    </row>
    <row r="115" spans="1:7" x14ac:dyDescent="0.25">
      <c r="A115" s="4" t="s">
        <v>298</v>
      </c>
      <c r="B115" s="5" t="s">
        <v>199</v>
      </c>
      <c r="C115" s="67">
        <v>7</v>
      </c>
      <c r="D115" s="5"/>
      <c r="E115" s="5"/>
      <c r="F115" s="5"/>
      <c r="G115" t="s">
        <v>1098</v>
      </c>
    </row>
    <row r="116" spans="1:7" x14ac:dyDescent="0.25">
      <c r="A116" s="4" t="s">
        <v>299</v>
      </c>
      <c r="B116" s="5" t="s">
        <v>199</v>
      </c>
      <c r="C116" s="67">
        <v>8</v>
      </c>
      <c r="D116" s="5"/>
      <c r="E116" s="5"/>
      <c r="F116" s="5"/>
      <c r="G116" t="s">
        <v>1098</v>
      </c>
    </row>
    <row r="117" spans="1:7" x14ac:dyDescent="0.25">
      <c r="A117" s="4" t="s">
        <v>300</v>
      </c>
      <c r="B117" s="5" t="s">
        <v>199</v>
      </c>
      <c r="C117" s="67">
        <v>9</v>
      </c>
      <c r="D117" s="5"/>
      <c r="E117" s="5"/>
      <c r="F117" s="5"/>
      <c r="G117" t="s">
        <v>1098</v>
      </c>
    </row>
    <row r="118" spans="1:7" x14ac:dyDescent="0.25">
      <c r="A118" s="4" t="s">
        <v>301</v>
      </c>
      <c r="B118" s="5" t="s">
        <v>199</v>
      </c>
      <c r="C118" s="67">
        <v>10</v>
      </c>
      <c r="D118" s="5"/>
      <c r="E118" s="5"/>
      <c r="F118" s="5"/>
      <c r="G118" t="s">
        <v>1098</v>
      </c>
    </row>
    <row r="119" spans="1:7" x14ac:dyDescent="0.25">
      <c r="A119" s="4" t="s">
        <v>302</v>
      </c>
      <c r="B119" s="5" t="s">
        <v>199</v>
      </c>
      <c r="C119" s="67">
        <v>11</v>
      </c>
      <c r="D119" s="5"/>
      <c r="E119" s="5"/>
      <c r="F119" s="5"/>
      <c r="G119" t="s">
        <v>1098</v>
      </c>
    </row>
    <row r="120" spans="1:7" x14ac:dyDescent="0.25">
      <c r="A120" s="4" t="s">
        <v>303</v>
      </c>
      <c r="B120" s="5" t="s">
        <v>199</v>
      </c>
      <c r="C120" s="67">
        <v>12</v>
      </c>
      <c r="D120" s="5"/>
      <c r="E120" s="5"/>
      <c r="F120" s="5"/>
      <c r="G120" t="s">
        <v>1098</v>
      </c>
    </row>
    <row r="121" spans="1:7" x14ac:dyDescent="0.25">
      <c r="A121" s="4" t="s">
        <v>304</v>
      </c>
      <c r="B121" s="5" t="s">
        <v>199</v>
      </c>
      <c r="C121" s="67">
        <v>13</v>
      </c>
      <c r="D121" s="5"/>
      <c r="E121" s="5"/>
      <c r="F121" s="5"/>
      <c r="G121" t="s">
        <v>1098</v>
      </c>
    </row>
    <row r="122" spans="1:7" x14ac:dyDescent="0.25">
      <c r="A122" s="4" t="s">
        <v>305</v>
      </c>
      <c r="B122" s="5" t="s">
        <v>199</v>
      </c>
      <c r="C122" s="67">
        <v>14</v>
      </c>
      <c r="D122" s="5"/>
      <c r="E122" s="5"/>
      <c r="F122" s="5"/>
      <c r="G122" t="s">
        <v>1098</v>
      </c>
    </row>
    <row r="123" spans="1:7" x14ac:dyDescent="0.25">
      <c r="A123" s="4" t="s">
        <v>306</v>
      </c>
      <c r="B123" s="5" t="s">
        <v>199</v>
      </c>
      <c r="C123" s="67">
        <v>14</v>
      </c>
      <c r="D123" s="5"/>
      <c r="E123" s="5"/>
      <c r="F123" s="5"/>
      <c r="G123" t="s">
        <v>1098</v>
      </c>
    </row>
    <row r="124" spans="1:7" x14ac:dyDescent="0.25">
      <c r="A124" s="4" t="s">
        <v>311</v>
      </c>
      <c r="B124" s="5" t="s">
        <v>232</v>
      </c>
      <c r="C124" s="18">
        <v>0</v>
      </c>
      <c r="D124" s="5"/>
      <c r="E124" s="5"/>
      <c r="F124" s="5"/>
      <c r="G124" t="s">
        <v>1098</v>
      </c>
    </row>
    <row r="125" spans="1:7" x14ac:dyDescent="0.25">
      <c r="A125" s="4" t="s">
        <v>312</v>
      </c>
      <c r="B125" s="5" t="s">
        <v>232</v>
      </c>
      <c r="C125" s="18">
        <v>0</v>
      </c>
      <c r="D125" s="5"/>
      <c r="E125" s="5"/>
      <c r="F125" s="5"/>
      <c r="G125" t="s">
        <v>1098</v>
      </c>
    </row>
    <row r="126" spans="1:7" x14ac:dyDescent="0.25">
      <c r="A126" s="4" t="s">
        <v>313</v>
      </c>
      <c r="B126" s="5" t="s">
        <v>232</v>
      </c>
      <c r="C126" s="18">
        <v>0</v>
      </c>
      <c r="D126" s="5"/>
      <c r="E126" s="5"/>
      <c r="F126" s="5"/>
      <c r="G126" t="s">
        <v>1098</v>
      </c>
    </row>
    <row r="127" spans="1:7" x14ac:dyDescent="0.25">
      <c r="A127" s="4" t="s">
        <v>314</v>
      </c>
      <c r="B127" s="5" t="s">
        <v>232</v>
      </c>
      <c r="C127" s="18">
        <v>0</v>
      </c>
      <c r="D127" s="5"/>
      <c r="E127" s="5"/>
      <c r="F127" s="5"/>
      <c r="G127" t="s">
        <v>1098</v>
      </c>
    </row>
    <row r="128" spans="1:7" x14ac:dyDescent="0.25">
      <c r="A128" s="4" t="s">
        <v>315</v>
      </c>
      <c r="B128" s="5" t="s">
        <v>232</v>
      </c>
      <c r="C128" s="18">
        <v>0</v>
      </c>
      <c r="D128" s="5"/>
      <c r="E128" s="5"/>
      <c r="F128" s="5"/>
      <c r="G128" t="s">
        <v>1098</v>
      </c>
    </row>
    <row r="129" spans="1:7" x14ac:dyDescent="0.25">
      <c r="A129" s="4" t="s">
        <v>316</v>
      </c>
      <c r="B129" s="5" t="s">
        <v>232</v>
      </c>
      <c r="C129" s="18">
        <v>0</v>
      </c>
      <c r="D129" s="5"/>
      <c r="E129" s="5"/>
      <c r="F129" s="5"/>
      <c r="G129" t="s">
        <v>1098</v>
      </c>
    </row>
    <row r="130" spans="1:7" x14ac:dyDescent="0.25">
      <c r="A130" s="4" t="s">
        <v>317</v>
      </c>
      <c r="B130" s="5" t="s">
        <v>232</v>
      </c>
      <c r="C130" s="18">
        <v>0</v>
      </c>
      <c r="D130" s="5"/>
      <c r="E130" s="5"/>
      <c r="F130" s="5"/>
      <c r="G130" t="s">
        <v>1098</v>
      </c>
    </row>
    <row r="131" spans="1:7" x14ac:dyDescent="0.25">
      <c r="A131" s="4" t="s">
        <v>318</v>
      </c>
      <c r="B131" s="5" t="s">
        <v>232</v>
      </c>
      <c r="C131" s="18">
        <v>0</v>
      </c>
      <c r="D131" s="5"/>
      <c r="E131" s="5"/>
      <c r="F131" s="5"/>
      <c r="G131" t="s">
        <v>1098</v>
      </c>
    </row>
    <row r="132" spans="1:7" x14ac:dyDescent="0.25">
      <c r="A132" s="4" t="s">
        <v>319</v>
      </c>
      <c r="B132" s="5" t="s">
        <v>199</v>
      </c>
      <c r="C132" s="18">
        <v>0</v>
      </c>
      <c r="D132" s="5"/>
      <c r="E132" s="5"/>
      <c r="F132" s="5"/>
      <c r="G132" t="s">
        <v>1098</v>
      </c>
    </row>
    <row r="133" spans="1:7" x14ac:dyDescent="0.25">
      <c r="A133" s="4" t="s">
        <v>320</v>
      </c>
      <c r="B133" s="5" t="s">
        <v>199</v>
      </c>
      <c r="C133" s="18">
        <v>0</v>
      </c>
      <c r="D133" s="5"/>
      <c r="E133" s="5"/>
      <c r="F133" s="5"/>
      <c r="G133" t="s">
        <v>1098</v>
      </c>
    </row>
    <row r="134" spans="1:7" x14ac:dyDescent="0.25">
      <c r="A134" s="4" t="s">
        <v>321</v>
      </c>
      <c r="B134" s="5" t="s">
        <v>199</v>
      </c>
      <c r="C134" s="18">
        <v>0</v>
      </c>
      <c r="D134" s="5"/>
      <c r="E134" s="5"/>
      <c r="F134" s="5"/>
      <c r="G134" t="s">
        <v>1098</v>
      </c>
    </row>
    <row r="135" spans="1:7" x14ac:dyDescent="0.25">
      <c r="A135" s="4" t="s">
        <v>322</v>
      </c>
      <c r="B135" s="5" t="s">
        <v>199</v>
      </c>
      <c r="C135" s="18">
        <v>0</v>
      </c>
      <c r="D135" s="5"/>
      <c r="E135" s="5"/>
      <c r="F135" s="5"/>
      <c r="G135" t="s">
        <v>1098</v>
      </c>
    </row>
    <row r="136" spans="1:7" x14ac:dyDescent="0.25">
      <c r="A136" s="4" t="s">
        <v>323</v>
      </c>
      <c r="B136" s="5" t="s">
        <v>199</v>
      </c>
      <c r="C136" s="18">
        <v>0</v>
      </c>
      <c r="D136" s="5"/>
      <c r="E136" s="5"/>
      <c r="F136" s="5"/>
      <c r="G136" t="s">
        <v>1098</v>
      </c>
    </row>
    <row r="137" spans="1:7" x14ac:dyDescent="0.25">
      <c r="A137" s="4" t="s">
        <v>324</v>
      </c>
      <c r="B137" s="5" t="s">
        <v>199</v>
      </c>
      <c r="C137" s="18">
        <v>0</v>
      </c>
      <c r="D137" s="5"/>
      <c r="E137" s="5"/>
      <c r="F137" s="5"/>
      <c r="G137" t="s">
        <v>1098</v>
      </c>
    </row>
    <row r="138" spans="1:7" x14ac:dyDescent="0.25">
      <c r="A138" s="4" t="s">
        <v>325</v>
      </c>
      <c r="B138" s="5" t="s">
        <v>199</v>
      </c>
      <c r="C138" s="18">
        <v>0</v>
      </c>
      <c r="D138" s="5"/>
      <c r="E138" s="5"/>
      <c r="F138" s="5"/>
      <c r="G138" t="s">
        <v>1098</v>
      </c>
    </row>
    <row r="139" spans="1:7" x14ac:dyDescent="0.25">
      <c r="A139" s="4" t="s">
        <v>326</v>
      </c>
      <c r="B139" s="5" t="s">
        <v>199</v>
      </c>
      <c r="C139" s="18">
        <v>0</v>
      </c>
      <c r="D139" s="5"/>
      <c r="E139" s="5"/>
      <c r="F139" s="5"/>
      <c r="G139" t="s">
        <v>1098</v>
      </c>
    </row>
    <row r="140" spans="1:7" x14ac:dyDescent="0.25">
      <c r="A140" s="4"/>
      <c r="B140" s="5"/>
      <c r="C140" s="18"/>
      <c r="D140" s="5"/>
      <c r="E140" s="5"/>
      <c r="F140" s="5"/>
      <c r="G140" t="s">
        <v>1098</v>
      </c>
    </row>
    <row r="141" spans="1:7" ht="17.25" x14ac:dyDescent="0.3">
      <c r="A141" s="111" t="s">
        <v>309</v>
      </c>
      <c r="B141" s="111"/>
      <c r="C141" s="111"/>
      <c r="D141" s="111"/>
      <c r="E141" s="111"/>
      <c r="F141" s="111"/>
      <c r="G141" t="s">
        <v>1099</v>
      </c>
    </row>
    <row r="142" spans="1:7" x14ac:dyDescent="0.25">
      <c r="A142" s="3" t="s">
        <v>0</v>
      </c>
      <c r="B142" s="3" t="s">
        <v>1</v>
      </c>
      <c r="C142" s="3" t="s">
        <v>2</v>
      </c>
      <c r="D142" s="3" t="s">
        <v>4</v>
      </c>
      <c r="E142" s="3" t="s">
        <v>3</v>
      </c>
      <c r="F142" s="3" t="s">
        <v>21</v>
      </c>
      <c r="G142" t="s">
        <v>1099</v>
      </c>
    </row>
    <row r="143" spans="1:7" x14ac:dyDescent="0.25">
      <c r="A143" s="4" t="s">
        <v>424</v>
      </c>
      <c r="B143" s="5"/>
      <c r="C143" s="6">
        <v>0</v>
      </c>
      <c r="D143" s="5"/>
      <c r="E143" s="5"/>
      <c r="F143" s="5"/>
      <c r="G143" t="s">
        <v>1099</v>
      </c>
    </row>
    <row r="144" spans="1:7" x14ac:dyDescent="0.25">
      <c r="A144" s="4" t="s">
        <v>329</v>
      </c>
      <c r="B144" s="5" t="s">
        <v>69</v>
      </c>
      <c r="C144" s="8">
        <v>-0.26</v>
      </c>
      <c r="D144" s="5"/>
      <c r="E144" s="5"/>
      <c r="F144" s="5"/>
      <c r="G144" t="s">
        <v>1099</v>
      </c>
    </row>
    <row r="145" spans="1:7" x14ac:dyDescent="0.25">
      <c r="A145" s="4" t="s">
        <v>330</v>
      </c>
      <c r="B145" s="5"/>
      <c r="C145" s="8">
        <v>0</v>
      </c>
      <c r="D145" s="5"/>
      <c r="E145" s="5"/>
      <c r="F145" s="5"/>
      <c r="G145" t="s">
        <v>1099</v>
      </c>
    </row>
    <row r="146" spans="1:7" x14ac:dyDescent="0.25">
      <c r="A146" s="4" t="s">
        <v>331</v>
      </c>
      <c r="B146" s="5"/>
      <c r="C146" s="8">
        <v>8000</v>
      </c>
      <c r="D146" s="5"/>
      <c r="E146" s="5"/>
      <c r="F146" s="5"/>
      <c r="G146" t="s">
        <v>1099</v>
      </c>
    </row>
    <row r="147" spans="1:7" x14ac:dyDescent="0.25">
      <c r="A147" s="4" t="s">
        <v>332</v>
      </c>
      <c r="B147" s="5" t="s">
        <v>205</v>
      </c>
      <c r="C147" s="8">
        <v>1</v>
      </c>
      <c r="D147" s="5"/>
      <c r="E147" s="5"/>
      <c r="F147" s="5"/>
      <c r="G147" t="s">
        <v>1099</v>
      </c>
    </row>
    <row r="148" spans="1:7" x14ac:dyDescent="0.25">
      <c r="A148" s="4" t="s">
        <v>333</v>
      </c>
      <c r="B148" s="5" t="s">
        <v>215</v>
      </c>
      <c r="C148" s="8">
        <v>1.7</v>
      </c>
      <c r="D148" s="5"/>
      <c r="E148" s="5"/>
      <c r="F148" s="5"/>
      <c r="G148" t="s">
        <v>1099</v>
      </c>
    </row>
    <row r="149" spans="1:7" x14ac:dyDescent="0.25">
      <c r="A149" s="4" t="s">
        <v>334</v>
      </c>
      <c r="B149" s="5" t="s">
        <v>205</v>
      </c>
      <c r="C149" s="8">
        <v>1</v>
      </c>
      <c r="D149" s="5"/>
      <c r="E149" s="5"/>
      <c r="F149" s="5"/>
      <c r="G149" t="s">
        <v>1099</v>
      </c>
    </row>
    <row r="150" spans="1:7" x14ac:dyDescent="0.25">
      <c r="A150" s="4" t="s">
        <v>335</v>
      </c>
      <c r="B150" s="5" t="s">
        <v>328</v>
      </c>
      <c r="C150" s="34">
        <v>8.0000000000000002E-3</v>
      </c>
      <c r="D150" s="5"/>
      <c r="E150" s="5"/>
      <c r="F150" s="5"/>
      <c r="G150" t="s">
        <v>1099</v>
      </c>
    </row>
    <row r="151" spans="1:7" x14ac:dyDescent="0.25">
      <c r="A151" s="4" t="s">
        <v>336</v>
      </c>
      <c r="B151" s="5" t="s">
        <v>327</v>
      </c>
      <c r="C151" s="34">
        <v>6.4999999999999997E-3</v>
      </c>
      <c r="D151" s="5"/>
      <c r="E151" s="5"/>
      <c r="F151" s="5"/>
      <c r="G151" t="s">
        <v>1099</v>
      </c>
    </row>
    <row r="152" spans="1:7" x14ac:dyDescent="0.25">
      <c r="A152" s="4" t="s">
        <v>337</v>
      </c>
      <c r="B152" s="5" t="s">
        <v>200</v>
      </c>
      <c r="C152" s="8">
        <v>900</v>
      </c>
      <c r="D152" s="5"/>
      <c r="E152" s="5"/>
      <c r="F152" s="5"/>
      <c r="G152" t="s">
        <v>1099</v>
      </c>
    </row>
    <row r="153" spans="1:7" x14ac:dyDescent="0.25">
      <c r="A153" s="4" t="s">
        <v>338</v>
      </c>
      <c r="B153" s="5" t="s">
        <v>205</v>
      </c>
      <c r="C153" s="8">
        <v>2</v>
      </c>
      <c r="D153" s="5"/>
      <c r="E153" s="5"/>
      <c r="F153" s="5"/>
      <c r="G153" t="s">
        <v>1099</v>
      </c>
    </row>
    <row r="154" spans="1:7" x14ac:dyDescent="0.25">
      <c r="A154" s="4" t="s">
        <v>339</v>
      </c>
      <c r="B154" s="5" t="s">
        <v>328</v>
      </c>
      <c r="C154" s="8">
        <v>1.2999999999999999E-3</v>
      </c>
      <c r="D154" s="5"/>
      <c r="E154" s="5"/>
      <c r="F154" s="5"/>
      <c r="G154" t="s">
        <v>1099</v>
      </c>
    </row>
    <row r="155" spans="1:7" x14ac:dyDescent="0.25">
      <c r="A155" s="4" t="s">
        <v>340</v>
      </c>
      <c r="B155" s="5" t="s">
        <v>327</v>
      </c>
      <c r="C155" s="8">
        <v>5.8999999999999999E-3</v>
      </c>
      <c r="D155" s="5"/>
      <c r="E155" s="5"/>
      <c r="F155" s="5"/>
      <c r="G155" t="s">
        <v>1099</v>
      </c>
    </row>
    <row r="156" spans="1:7" x14ac:dyDescent="0.25">
      <c r="A156" s="4" t="s">
        <v>341</v>
      </c>
      <c r="B156" s="5" t="s">
        <v>200</v>
      </c>
      <c r="C156" s="8">
        <v>15000</v>
      </c>
      <c r="D156" s="5"/>
      <c r="E156" s="5"/>
      <c r="F156" s="5"/>
      <c r="G156" t="s">
        <v>1099</v>
      </c>
    </row>
    <row r="157" spans="1:7" x14ac:dyDescent="0.25">
      <c r="A157" s="4" t="s">
        <v>342</v>
      </c>
      <c r="B157" s="5" t="s">
        <v>205</v>
      </c>
      <c r="C157" s="8">
        <v>2</v>
      </c>
      <c r="D157" s="5"/>
      <c r="E157" s="5"/>
      <c r="F157" s="5"/>
      <c r="G157" t="s">
        <v>1099</v>
      </c>
    </row>
    <row r="158" spans="1:7" x14ac:dyDescent="0.25">
      <c r="A158" s="4" t="s">
        <v>343</v>
      </c>
      <c r="B158" s="5" t="s">
        <v>328</v>
      </c>
      <c r="C158" s="106">
        <v>5.0000000000000001E-4</v>
      </c>
      <c r="D158" s="5"/>
      <c r="E158" s="5"/>
      <c r="F158" s="5"/>
      <c r="G158" t="s">
        <v>1099</v>
      </c>
    </row>
    <row r="159" spans="1:7" x14ac:dyDescent="0.25">
      <c r="A159" s="4" t="s">
        <v>344</v>
      </c>
      <c r="B159" s="5" t="s">
        <v>327</v>
      </c>
      <c r="C159" s="106">
        <v>1.9E-3</v>
      </c>
      <c r="D159" s="5"/>
      <c r="E159" s="5"/>
      <c r="F159" s="5"/>
      <c r="G159" t="s">
        <v>1099</v>
      </c>
    </row>
    <row r="160" spans="1:7" x14ac:dyDescent="0.25">
      <c r="A160" s="4" t="s">
        <v>345</v>
      </c>
      <c r="B160" s="5" t="s">
        <v>200</v>
      </c>
      <c r="C160" s="8">
        <v>19000</v>
      </c>
      <c r="D160" s="5"/>
      <c r="E160" s="5"/>
      <c r="F160" s="5"/>
      <c r="G160" t="s">
        <v>1099</v>
      </c>
    </row>
    <row r="161" spans="1:7" x14ac:dyDescent="0.25">
      <c r="A161" s="4" t="s">
        <v>346</v>
      </c>
      <c r="B161" s="5" t="s">
        <v>205</v>
      </c>
      <c r="C161" s="8">
        <v>2</v>
      </c>
      <c r="D161" s="5"/>
      <c r="E161" s="5"/>
      <c r="F161" s="5"/>
      <c r="G161" t="s">
        <v>1099</v>
      </c>
    </row>
    <row r="162" spans="1:7" x14ac:dyDescent="0.25">
      <c r="A162" s="4" t="s">
        <v>347</v>
      </c>
      <c r="B162" s="5" t="s">
        <v>328</v>
      </c>
      <c r="C162" s="8">
        <v>0</v>
      </c>
      <c r="D162" s="5"/>
      <c r="E162" s="5"/>
      <c r="F162" s="5"/>
      <c r="G162" t="s">
        <v>1099</v>
      </c>
    </row>
    <row r="163" spans="1:7" x14ac:dyDescent="0.25">
      <c r="A163" s="4" t="s">
        <v>348</v>
      </c>
      <c r="B163" s="5" t="s">
        <v>327</v>
      </c>
      <c r="C163" s="8">
        <v>0</v>
      </c>
      <c r="D163" s="5"/>
      <c r="E163" s="5"/>
      <c r="F163" s="5"/>
      <c r="G163" t="s">
        <v>1099</v>
      </c>
    </row>
    <row r="164" spans="1:7" x14ac:dyDescent="0.25">
      <c r="A164" s="4" t="s">
        <v>349</v>
      </c>
      <c r="B164" s="5" t="s">
        <v>200</v>
      </c>
      <c r="C164" s="8">
        <v>0</v>
      </c>
      <c r="D164" s="5"/>
      <c r="E164" s="5"/>
      <c r="F164" s="5"/>
      <c r="G164" t="s">
        <v>1099</v>
      </c>
    </row>
    <row r="165" spans="1:7" x14ac:dyDescent="0.25">
      <c r="A165" s="4" t="s">
        <v>350</v>
      </c>
      <c r="B165" s="5" t="s">
        <v>205</v>
      </c>
      <c r="C165" s="8">
        <v>2</v>
      </c>
      <c r="D165" s="5"/>
      <c r="E165" s="5"/>
      <c r="F165" s="5"/>
      <c r="G165" t="s">
        <v>1099</v>
      </c>
    </row>
    <row r="166" spans="1:7" x14ac:dyDescent="0.25">
      <c r="A166" s="4" t="s">
        <v>351</v>
      </c>
      <c r="B166" s="5" t="s">
        <v>328</v>
      </c>
      <c r="C166" s="8">
        <v>0</v>
      </c>
      <c r="D166" s="5"/>
      <c r="E166" s="5"/>
      <c r="F166" s="5"/>
      <c r="G166" t="s">
        <v>1099</v>
      </c>
    </row>
    <row r="167" spans="1:7" x14ac:dyDescent="0.25">
      <c r="A167" s="4" t="s">
        <v>352</v>
      </c>
      <c r="B167" s="5" t="s">
        <v>327</v>
      </c>
      <c r="C167" s="8">
        <v>0</v>
      </c>
      <c r="D167" s="5"/>
      <c r="E167" s="5"/>
      <c r="F167" s="5"/>
      <c r="G167" t="s">
        <v>1099</v>
      </c>
    </row>
    <row r="168" spans="1:7" x14ac:dyDescent="0.25">
      <c r="A168" s="4" t="s">
        <v>353</v>
      </c>
      <c r="B168" s="5" t="s">
        <v>200</v>
      </c>
      <c r="C168" s="8">
        <v>0</v>
      </c>
      <c r="D168" s="5"/>
      <c r="E168" s="5"/>
      <c r="F168" s="5"/>
      <c r="G168" t="s">
        <v>1099</v>
      </c>
    </row>
    <row r="169" spans="1:7" x14ac:dyDescent="0.25">
      <c r="A169" s="4" t="s">
        <v>354</v>
      </c>
      <c r="B169" s="5" t="s">
        <v>205</v>
      </c>
      <c r="C169" s="8">
        <v>2</v>
      </c>
      <c r="D169" s="5"/>
      <c r="E169" s="5"/>
      <c r="F169" s="5"/>
      <c r="G169" t="s">
        <v>1099</v>
      </c>
    </row>
    <row r="170" spans="1:7" x14ac:dyDescent="0.25">
      <c r="A170" s="4" t="s">
        <v>355</v>
      </c>
      <c r="B170" s="5" t="s">
        <v>199</v>
      </c>
      <c r="C170" s="8">
        <v>1</v>
      </c>
      <c r="D170" s="5"/>
      <c r="E170" s="5"/>
      <c r="F170" s="5"/>
      <c r="G170" t="s">
        <v>1099</v>
      </c>
    </row>
    <row r="171" spans="1:7" x14ac:dyDescent="0.25">
      <c r="A171" s="4"/>
      <c r="B171" s="5"/>
      <c r="C171" s="18"/>
      <c r="D171" s="5"/>
      <c r="E171" s="5"/>
      <c r="F171" s="5"/>
      <c r="G171" t="s">
        <v>1099</v>
      </c>
    </row>
    <row r="172" spans="1:7" ht="17.25" x14ac:dyDescent="0.3">
      <c r="A172" s="111" t="s">
        <v>384</v>
      </c>
      <c r="B172" s="111"/>
      <c r="C172" s="111"/>
      <c r="D172" s="111"/>
      <c r="E172" s="111"/>
      <c r="F172" s="111"/>
      <c r="G172" t="s">
        <v>1100</v>
      </c>
    </row>
    <row r="173" spans="1:7" x14ac:dyDescent="0.25">
      <c r="A173" s="3" t="s">
        <v>0</v>
      </c>
      <c r="B173" s="3" t="s">
        <v>1</v>
      </c>
      <c r="C173" s="3" t="s">
        <v>2</v>
      </c>
      <c r="D173" s="3" t="s">
        <v>4</v>
      </c>
      <c r="E173" s="3" t="s">
        <v>3</v>
      </c>
      <c r="F173" s="3" t="s">
        <v>21</v>
      </c>
      <c r="G173" t="s">
        <v>1100</v>
      </c>
    </row>
    <row r="174" spans="1:7" x14ac:dyDescent="0.25">
      <c r="A174" s="4" t="s">
        <v>359</v>
      </c>
      <c r="B174" s="5" t="s">
        <v>205</v>
      </c>
      <c r="C174" s="8">
        <v>1</v>
      </c>
      <c r="D174" s="5"/>
      <c r="E174" s="5"/>
      <c r="F174" s="5"/>
      <c r="G174" t="s">
        <v>1100</v>
      </c>
    </row>
    <row r="175" spans="1:7" x14ac:dyDescent="0.25">
      <c r="A175" s="4" t="s">
        <v>362</v>
      </c>
      <c r="B175" s="5" t="s">
        <v>19</v>
      </c>
      <c r="C175" s="92">
        <v>94</v>
      </c>
      <c r="D175" s="5"/>
      <c r="E175" s="5"/>
      <c r="F175" s="5"/>
      <c r="G175" s="88" t="s">
        <v>1100</v>
      </c>
    </row>
    <row r="176" spans="1:7" s="88" customFormat="1" x14ac:dyDescent="0.25">
      <c r="A176" s="90" t="s">
        <v>1153</v>
      </c>
      <c r="B176" s="91" t="s">
        <v>1154</v>
      </c>
      <c r="C176" s="92">
        <v>94</v>
      </c>
      <c r="D176" s="91"/>
      <c r="E176" s="91"/>
      <c r="F176" s="91"/>
      <c r="G176" s="88" t="s">
        <v>1100</v>
      </c>
    </row>
    <row r="177" spans="1:7" x14ac:dyDescent="0.25">
      <c r="A177" s="4" t="s">
        <v>361</v>
      </c>
      <c r="B177" s="5" t="s">
        <v>201</v>
      </c>
      <c r="C177" s="33">
        <f>2/32768*BASE_FLUX</f>
        <v>1.7059326171875002E-5</v>
      </c>
      <c r="D177" s="5"/>
      <c r="E177" s="5"/>
      <c r="F177" s="5"/>
      <c r="G177" s="88" t="s">
        <v>1100</v>
      </c>
    </row>
    <row r="178" spans="1:7" x14ac:dyDescent="0.25">
      <c r="A178" s="4" t="s">
        <v>360</v>
      </c>
      <c r="B178" s="5" t="s">
        <v>201</v>
      </c>
      <c r="C178" s="8">
        <v>95</v>
      </c>
      <c r="D178" s="5"/>
      <c r="E178" s="5"/>
      <c r="F178" s="5"/>
      <c r="G178" s="88" t="s">
        <v>1100</v>
      </c>
    </row>
    <row r="179" spans="1:7" x14ac:dyDescent="0.25">
      <c r="A179" s="4" t="s">
        <v>425</v>
      </c>
      <c r="B179" s="5" t="s">
        <v>205</v>
      </c>
      <c r="C179" s="32">
        <f>OBSERVER_TS</f>
        <v>1.25E-4</v>
      </c>
      <c r="D179" s="5"/>
      <c r="E179" s="5"/>
      <c r="F179" s="5"/>
      <c r="G179" s="88" t="s">
        <v>1100</v>
      </c>
    </row>
    <row r="180" spans="1:7" s="60" customFormat="1" x14ac:dyDescent="0.25">
      <c r="A180" s="62" t="s">
        <v>1115</v>
      </c>
      <c r="B180" s="63" t="s">
        <v>205</v>
      </c>
      <c r="C180" s="64">
        <v>1.5</v>
      </c>
      <c r="D180" s="63"/>
      <c r="E180" s="63"/>
      <c r="F180" s="63"/>
      <c r="G180" s="88" t="s">
        <v>1100</v>
      </c>
    </row>
    <row r="181" spans="1:7" s="88" customFormat="1" x14ac:dyDescent="0.25">
      <c r="A181" s="90" t="s">
        <v>1143</v>
      </c>
      <c r="B181" s="91" t="s">
        <v>200</v>
      </c>
      <c r="C181" s="93">
        <v>35</v>
      </c>
      <c r="D181" s="91"/>
      <c r="E181" s="91"/>
      <c r="F181" s="91"/>
      <c r="G181" s="88" t="s">
        <v>1100</v>
      </c>
    </row>
    <row r="182" spans="1:7" s="88" customFormat="1" x14ac:dyDescent="0.25">
      <c r="A182" s="90" t="s">
        <v>1144</v>
      </c>
      <c r="B182" s="91" t="s">
        <v>19</v>
      </c>
      <c r="C182" s="92">
        <v>112</v>
      </c>
      <c r="D182" s="91"/>
      <c r="E182" s="91"/>
      <c r="F182" s="91"/>
      <c r="G182" s="88" t="s">
        <v>1100</v>
      </c>
    </row>
    <row r="183" spans="1:7" s="88" customFormat="1" x14ac:dyDescent="0.25">
      <c r="A183" s="90" t="s">
        <v>1152</v>
      </c>
      <c r="B183" s="91" t="s">
        <v>200</v>
      </c>
      <c r="C183" s="93">
        <v>15490</v>
      </c>
      <c r="D183" s="91"/>
      <c r="E183" s="91"/>
      <c r="F183" s="91"/>
      <c r="G183" s="88" t="s">
        <v>1100</v>
      </c>
    </row>
    <row r="184" spans="1:7" s="88" customFormat="1" x14ac:dyDescent="0.25">
      <c r="A184" s="90" t="s">
        <v>1157</v>
      </c>
      <c r="B184" s="91" t="s">
        <v>1158</v>
      </c>
      <c r="C184" s="93">
        <v>15488</v>
      </c>
      <c r="D184" s="91"/>
      <c r="E184" s="91"/>
      <c r="F184" s="91"/>
      <c r="G184" s="88" t="s">
        <v>1100</v>
      </c>
    </row>
    <row r="185" spans="1:7" s="88" customFormat="1" x14ac:dyDescent="0.25">
      <c r="A185" s="90" t="s">
        <v>1159</v>
      </c>
      <c r="B185" s="91" t="s">
        <v>200</v>
      </c>
      <c r="C185" s="93">
        <v>375</v>
      </c>
      <c r="D185" s="91"/>
      <c r="E185" s="91"/>
      <c r="F185" s="91"/>
      <c r="G185" s="88" t="s">
        <v>1100</v>
      </c>
    </row>
    <row r="186" spans="1:7" s="88" customFormat="1" x14ac:dyDescent="0.25">
      <c r="A186" s="90" t="s">
        <v>1160</v>
      </c>
      <c r="B186" s="91" t="s">
        <v>19</v>
      </c>
      <c r="C186" s="93">
        <v>10</v>
      </c>
      <c r="D186" s="91"/>
      <c r="E186" s="91"/>
      <c r="F186" s="91"/>
      <c r="G186" s="88" t="s">
        <v>1100</v>
      </c>
    </row>
    <row r="187" spans="1:7" s="88" customFormat="1" x14ac:dyDescent="0.25">
      <c r="A187" s="90" t="s">
        <v>1161</v>
      </c>
      <c r="B187" s="91" t="s">
        <v>19</v>
      </c>
      <c r="C187" s="93">
        <v>10</v>
      </c>
      <c r="D187" s="91"/>
      <c r="E187" s="91"/>
      <c r="F187" s="91"/>
      <c r="G187" s="88" t="s">
        <v>1100</v>
      </c>
    </row>
    <row r="188" spans="1:7" s="103" customFormat="1" x14ac:dyDescent="0.25">
      <c r="A188" s="90" t="s">
        <v>3135</v>
      </c>
      <c r="B188" s="91" t="s">
        <v>3137</v>
      </c>
      <c r="C188" s="53">
        <v>0.57999999999999996</v>
      </c>
      <c r="D188" s="91"/>
      <c r="E188" s="91"/>
      <c r="F188" s="91">
        <v>3</v>
      </c>
    </row>
    <row r="189" spans="1:7" s="103" customFormat="1" x14ac:dyDescent="0.25">
      <c r="A189" s="90" t="s">
        <v>3136</v>
      </c>
      <c r="B189" s="91"/>
      <c r="C189" s="53">
        <v>0.5</v>
      </c>
      <c r="D189" s="91"/>
      <c r="E189" s="91"/>
      <c r="F189" s="91">
        <v>3</v>
      </c>
    </row>
    <row r="190" spans="1:7" s="103" customFormat="1" x14ac:dyDescent="0.25">
      <c r="A190" s="90" t="s">
        <v>3130</v>
      </c>
      <c r="B190" s="91" t="s">
        <v>19</v>
      </c>
      <c r="C190" s="93">
        <v>98</v>
      </c>
      <c r="D190" s="91"/>
      <c r="E190" s="91"/>
      <c r="F190" s="91">
        <v>1</v>
      </c>
    </row>
    <row r="191" spans="1:7" x14ac:dyDescent="0.25">
      <c r="A191" s="4"/>
      <c r="B191" s="5"/>
      <c r="C191" s="6"/>
      <c r="D191" s="5"/>
      <c r="E191" s="5"/>
      <c r="F191" s="5"/>
      <c r="G191" t="s">
        <v>1100</v>
      </c>
    </row>
    <row r="192" spans="1:7" ht="17.25" x14ac:dyDescent="0.3">
      <c r="A192" s="111" t="s">
        <v>385</v>
      </c>
      <c r="B192" s="111"/>
      <c r="C192" s="111"/>
      <c r="D192" s="111"/>
      <c r="E192" s="111"/>
      <c r="F192" s="111"/>
      <c r="G192" t="s">
        <v>1100</v>
      </c>
    </row>
    <row r="193" spans="1:7" x14ac:dyDescent="0.25">
      <c r="A193" s="3" t="s">
        <v>0</v>
      </c>
      <c r="B193" s="3" t="s">
        <v>1</v>
      </c>
      <c r="C193" s="3" t="s">
        <v>2</v>
      </c>
      <c r="D193" s="3" t="s">
        <v>4</v>
      </c>
      <c r="E193" s="3" t="s">
        <v>3</v>
      </c>
      <c r="F193" s="3" t="s">
        <v>21</v>
      </c>
      <c r="G193" t="s">
        <v>1100</v>
      </c>
    </row>
    <row r="194" spans="1:7" x14ac:dyDescent="0.25">
      <c r="A194" s="4" t="s">
        <v>356</v>
      </c>
      <c r="B194" s="5" t="s">
        <v>218</v>
      </c>
      <c r="C194" s="8"/>
      <c r="D194" s="5"/>
      <c r="E194" s="5"/>
      <c r="F194" s="5"/>
      <c r="G194" t="s">
        <v>1100</v>
      </c>
    </row>
    <row r="195" spans="1:7" x14ac:dyDescent="0.25">
      <c r="A195" s="4" t="s">
        <v>357</v>
      </c>
      <c r="B195" s="5" t="s">
        <v>205</v>
      </c>
      <c r="C195" s="8">
        <v>1</v>
      </c>
      <c r="D195" s="5"/>
      <c r="E195" s="5"/>
      <c r="F195" s="5"/>
      <c r="G195" t="s">
        <v>1100</v>
      </c>
    </row>
    <row r="196" spans="1:7" x14ac:dyDescent="0.25">
      <c r="A196" s="4" t="s">
        <v>358</v>
      </c>
      <c r="B196" s="5" t="s">
        <v>69</v>
      </c>
      <c r="C196" s="102">
        <v>1</v>
      </c>
      <c r="D196" s="5"/>
      <c r="E196" s="5"/>
      <c r="F196" s="5"/>
      <c r="G196" t="s">
        <v>1100</v>
      </c>
    </row>
    <row r="197" spans="1:7" x14ac:dyDescent="0.25">
      <c r="A197" s="4" t="s">
        <v>363</v>
      </c>
      <c r="B197" s="5"/>
      <c r="C197" s="8">
        <v>10</v>
      </c>
      <c r="D197" s="5"/>
      <c r="E197" s="5"/>
      <c r="F197" s="5"/>
      <c r="G197" t="s">
        <v>1100</v>
      </c>
    </row>
    <row r="198" spans="1:7" x14ac:dyDescent="0.25">
      <c r="A198" s="4" t="s">
        <v>364</v>
      </c>
      <c r="B198" s="5"/>
      <c r="C198" s="8">
        <v>2000</v>
      </c>
      <c r="D198" s="5"/>
      <c r="E198" s="5"/>
      <c r="F198" s="5"/>
      <c r="G198" t="s">
        <v>1100</v>
      </c>
    </row>
    <row r="199" spans="1:7" x14ac:dyDescent="0.25">
      <c r="A199" s="4" t="s">
        <v>365</v>
      </c>
      <c r="B199" s="5"/>
      <c r="C199" s="8">
        <v>150</v>
      </c>
      <c r="D199" s="5"/>
      <c r="E199" s="5"/>
      <c r="F199" s="5"/>
      <c r="G199" t="s">
        <v>1100</v>
      </c>
    </row>
    <row r="200" spans="1:7" x14ac:dyDescent="0.25">
      <c r="A200" s="4" t="s">
        <v>366</v>
      </c>
      <c r="B200" s="5"/>
      <c r="C200" s="8">
        <v>15000</v>
      </c>
      <c r="D200" s="5"/>
      <c r="E200" s="5"/>
      <c r="F200" s="5"/>
      <c r="G200" t="s">
        <v>1100</v>
      </c>
    </row>
    <row r="201" spans="1:7" x14ac:dyDescent="0.25">
      <c r="A201" s="4" t="s">
        <v>367</v>
      </c>
      <c r="B201" s="5"/>
      <c r="C201" s="8">
        <v>1905</v>
      </c>
      <c r="D201" s="5"/>
      <c r="E201" s="5"/>
      <c r="F201" s="5"/>
      <c r="G201" t="s">
        <v>1100</v>
      </c>
    </row>
    <row r="202" spans="1:7" x14ac:dyDescent="0.25">
      <c r="A202" s="4" t="s">
        <v>368</v>
      </c>
      <c r="B202" s="5"/>
      <c r="C202" s="8">
        <v>2</v>
      </c>
      <c r="D202" s="5"/>
      <c r="E202" s="5"/>
      <c r="F202" s="5"/>
      <c r="G202" t="s">
        <v>1100</v>
      </c>
    </row>
    <row r="203" spans="1:7" x14ac:dyDescent="0.25">
      <c r="A203" s="4" t="s">
        <v>369</v>
      </c>
      <c r="B203" s="5"/>
      <c r="C203" s="8">
        <v>150</v>
      </c>
      <c r="D203" s="5"/>
      <c r="E203" s="5"/>
      <c r="F203" s="5"/>
      <c r="G203" t="s">
        <v>1100</v>
      </c>
    </row>
    <row r="204" spans="1:7" x14ac:dyDescent="0.25">
      <c r="A204" s="4" t="s">
        <v>370</v>
      </c>
      <c r="B204" s="5"/>
      <c r="C204" s="8">
        <v>12000</v>
      </c>
      <c r="D204" s="5"/>
      <c r="E204" s="5"/>
      <c r="F204" s="5"/>
      <c r="G204" t="s">
        <v>1100</v>
      </c>
    </row>
    <row r="205" spans="1:7" x14ac:dyDescent="0.25">
      <c r="A205" s="4" t="s">
        <v>371</v>
      </c>
      <c r="B205" s="5"/>
      <c r="C205" s="8">
        <v>8000</v>
      </c>
      <c r="D205" s="5"/>
      <c r="E205" s="5"/>
      <c r="F205" s="5"/>
      <c r="G205" t="s">
        <v>1100</v>
      </c>
    </row>
    <row r="206" spans="1:7" x14ac:dyDescent="0.25">
      <c r="A206" s="4" t="s">
        <v>372</v>
      </c>
      <c r="B206" s="5"/>
      <c r="C206" s="8">
        <v>900000</v>
      </c>
      <c r="D206" s="5"/>
      <c r="E206" s="5"/>
      <c r="F206" s="5"/>
      <c r="G206" t="s">
        <v>1100</v>
      </c>
    </row>
    <row r="207" spans="1:7" x14ac:dyDescent="0.25">
      <c r="A207" s="4" t="s">
        <v>373</v>
      </c>
      <c r="B207" s="5"/>
      <c r="C207" s="8">
        <v>14000</v>
      </c>
      <c r="D207" s="5"/>
      <c r="E207" s="5"/>
      <c r="F207" s="5"/>
      <c r="G207" t="s">
        <v>1100</v>
      </c>
    </row>
    <row r="208" spans="1:7" x14ac:dyDescent="0.25">
      <c r="A208" s="4" t="s">
        <v>374</v>
      </c>
      <c r="B208" s="5"/>
      <c r="C208" s="8">
        <v>3</v>
      </c>
      <c r="D208" s="5"/>
      <c r="E208" s="5"/>
      <c r="F208" s="5"/>
      <c r="G208" t="s">
        <v>1100</v>
      </c>
    </row>
    <row r="209" spans="1:7" x14ac:dyDescent="0.25">
      <c r="A209" s="4" t="s">
        <v>375</v>
      </c>
      <c r="B209" s="5"/>
      <c r="C209" s="53">
        <v>150</v>
      </c>
      <c r="D209" s="5"/>
      <c r="E209" s="5"/>
      <c r="F209" s="5"/>
      <c r="G209" t="s">
        <v>1100</v>
      </c>
    </row>
    <row r="210" spans="1:7" x14ac:dyDescent="0.25">
      <c r="A210" s="4" t="s">
        <v>376</v>
      </c>
      <c r="B210" s="5"/>
      <c r="C210" s="53">
        <v>12000</v>
      </c>
      <c r="D210" s="5"/>
      <c r="E210" s="5"/>
      <c r="F210" s="5"/>
      <c r="G210" t="s">
        <v>1100</v>
      </c>
    </row>
    <row r="211" spans="1:7" x14ac:dyDescent="0.25">
      <c r="A211" s="4" t="s">
        <v>377</v>
      </c>
      <c r="B211" s="5"/>
      <c r="C211" s="53">
        <v>8000</v>
      </c>
      <c r="D211" s="5"/>
      <c r="E211" s="5"/>
      <c r="F211" s="5"/>
      <c r="G211" t="s">
        <v>1100</v>
      </c>
    </row>
    <row r="212" spans="1:7" x14ac:dyDescent="0.25">
      <c r="A212" s="4" t="s">
        <v>378</v>
      </c>
      <c r="B212" s="5"/>
      <c r="C212" s="53">
        <v>900000</v>
      </c>
      <c r="D212" s="5"/>
      <c r="E212" s="5"/>
      <c r="F212" s="5"/>
      <c r="G212" t="s">
        <v>1100</v>
      </c>
    </row>
    <row r="213" spans="1:7" x14ac:dyDescent="0.25">
      <c r="A213" s="4" t="s">
        <v>379</v>
      </c>
      <c r="B213" s="5"/>
      <c r="C213" s="53">
        <v>20000</v>
      </c>
      <c r="D213" s="5"/>
      <c r="E213" s="5"/>
      <c r="F213" s="5"/>
      <c r="G213" t="s">
        <v>1100</v>
      </c>
    </row>
    <row r="214" spans="1:7" x14ac:dyDescent="0.25">
      <c r="A214" s="4" t="s">
        <v>380</v>
      </c>
      <c r="B214" s="5"/>
      <c r="C214" s="8">
        <v>3</v>
      </c>
      <c r="D214" s="5"/>
      <c r="E214" s="5"/>
      <c r="F214" s="5"/>
      <c r="G214" t="s">
        <v>1100</v>
      </c>
    </row>
    <row r="215" spans="1:7" s="103" customFormat="1" x14ac:dyDescent="0.25">
      <c r="A215" s="90" t="s">
        <v>3134</v>
      </c>
      <c r="B215" s="91" t="s">
        <v>19</v>
      </c>
      <c r="C215" s="93">
        <v>115</v>
      </c>
      <c r="D215" s="91"/>
      <c r="E215" s="91"/>
      <c r="F215" s="91">
        <v>1</v>
      </c>
      <c r="G215" s="103" t="s">
        <v>1100</v>
      </c>
    </row>
    <row r="216" spans="1:7" x14ac:dyDescent="0.25">
      <c r="A216" s="4"/>
      <c r="B216" s="5"/>
      <c r="C216" s="6"/>
      <c r="D216" s="5"/>
      <c r="E216" s="5"/>
      <c r="F216" s="5"/>
    </row>
    <row r="217" spans="1:7" ht="17.25" x14ac:dyDescent="0.3">
      <c r="A217" s="111" t="s">
        <v>386</v>
      </c>
      <c r="B217" s="111"/>
      <c r="C217" s="111"/>
      <c r="D217" s="111"/>
      <c r="E217" s="111"/>
      <c r="F217" s="111"/>
      <c r="G217" t="s">
        <v>1101</v>
      </c>
    </row>
    <row r="218" spans="1:7" x14ac:dyDescent="0.25">
      <c r="A218" s="3" t="s">
        <v>0</v>
      </c>
      <c r="B218" s="3" t="s">
        <v>1</v>
      </c>
      <c r="C218" s="3" t="s">
        <v>2</v>
      </c>
      <c r="D218" s="3" t="s">
        <v>4</v>
      </c>
      <c r="E218" s="3" t="s">
        <v>3</v>
      </c>
      <c r="F218" s="3" t="s">
        <v>21</v>
      </c>
      <c r="G218" t="s">
        <v>1101</v>
      </c>
    </row>
    <row r="219" spans="1:7" x14ac:dyDescent="0.25">
      <c r="A219" s="4" t="s">
        <v>426</v>
      </c>
      <c r="B219" s="5" t="s">
        <v>205</v>
      </c>
      <c r="C219" s="36">
        <f>OBSERVER_TS</f>
        <v>1.25E-4</v>
      </c>
      <c r="D219" s="5"/>
      <c r="E219" s="5"/>
      <c r="F219" s="5"/>
      <c r="G219" t="s">
        <v>1101</v>
      </c>
    </row>
    <row r="220" spans="1:7" x14ac:dyDescent="0.25">
      <c r="A220" s="4" t="s">
        <v>382</v>
      </c>
      <c r="B220" s="5" t="s">
        <v>200</v>
      </c>
      <c r="C220" s="8">
        <v>6000</v>
      </c>
      <c r="D220" s="5"/>
      <c r="E220" s="5"/>
      <c r="F220" s="5"/>
      <c r="G220" t="s">
        <v>1101</v>
      </c>
    </row>
    <row r="221" spans="1:7" x14ac:dyDescent="0.25">
      <c r="A221" s="4" t="s">
        <v>383</v>
      </c>
      <c r="B221" s="5" t="s">
        <v>205</v>
      </c>
      <c r="C221" s="8">
        <v>1</v>
      </c>
      <c r="D221" s="5"/>
      <c r="E221" s="5"/>
      <c r="F221" s="5"/>
      <c r="G221" t="s">
        <v>1101</v>
      </c>
    </row>
    <row r="222" spans="1:7" x14ac:dyDescent="0.25">
      <c r="A222" s="4"/>
      <c r="B222" s="5"/>
      <c r="C222" s="8"/>
      <c r="D222" s="5"/>
      <c r="E222" s="5"/>
      <c r="F222" s="5"/>
      <c r="G222" t="s">
        <v>1101</v>
      </c>
    </row>
    <row r="223" spans="1:7" x14ac:dyDescent="0.25">
      <c r="A223" s="4" t="s">
        <v>455</v>
      </c>
      <c r="B223" s="5" t="s">
        <v>199</v>
      </c>
      <c r="C223" s="8">
        <v>-4</v>
      </c>
      <c r="D223" s="5"/>
      <c r="E223" s="5"/>
      <c r="F223" s="5"/>
      <c r="G223" t="s">
        <v>1101</v>
      </c>
    </row>
    <row r="224" spans="1:7" x14ac:dyDescent="0.25">
      <c r="A224" s="4" t="s">
        <v>456</v>
      </c>
      <c r="B224" s="5" t="s">
        <v>199</v>
      </c>
      <c r="C224" s="8">
        <v>-3.875</v>
      </c>
      <c r="D224" s="5"/>
      <c r="E224" s="5"/>
      <c r="F224" s="5"/>
      <c r="G224" t="s">
        <v>1101</v>
      </c>
    </row>
    <row r="225" spans="1:7" x14ac:dyDescent="0.25">
      <c r="A225" s="4" t="s">
        <v>457</v>
      </c>
      <c r="B225" s="5" t="s">
        <v>199</v>
      </c>
      <c r="C225" s="8">
        <v>-3.75</v>
      </c>
      <c r="D225" s="5"/>
      <c r="E225" s="5"/>
      <c r="F225" s="5"/>
      <c r="G225" t="s">
        <v>1101</v>
      </c>
    </row>
    <row r="226" spans="1:7" x14ac:dyDescent="0.25">
      <c r="A226" s="4" t="s">
        <v>458</v>
      </c>
      <c r="B226" s="5" t="s">
        <v>199</v>
      </c>
      <c r="C226" s="8">
        <v>-3.625</v>
      </c>
      <c r="D226" s="5"/>
      <c r="E226" s="5"/>
      <c r="F226" s="5"/>
      <c r="G226" t="s">
        <v>1101</v>
      </c>
    </row>
    <row r="227" spans="1:7" x14ac:dyDescent="0.25">
      <c r="A227" s="4" t="s">
        <v>459</v>
      </c>
      <c r="B227" s="5" t="s">
        <v>199</v>
      </c>
      <c r="C227" s="8">
        <v>-3.5</v>
      </c>
      <c r="D227" s="5"/>
      <c r="E227" s="5"/>
      <c r="F227" s="5"/>
      <c r="G227" t="s">
        <v>1101</v>
      </c>
    </row>
    <row r="228" spans="1:7" x14ac:dyDescent="0.25">
      <c r="A228" s="4" t="s">
        <v>460</v>
      </c>
      <c r="B228" s="5" t="s">
        <v>199</v>
      </c>
      <c r="C228" s="8">
        <v>-3.375</v>
      </c>
      <c r="D228" s="5"/>
      <c r="E228" s="5"/>
      <c r="F228" s="5"/>
      <c r="G228" t="s">
        <v>1101</v>
      </c>
    </row>
    <row r="229" spans="1:7" x14ac:dyDescent="0.25">
      <c r="A229" s="4" t="s">
        <v>461</v>
      </c>
      <c r="B229" s="5" t="s">
        <v>199</v>
      </c>
      <c r="C229" s="8">
        <v>-3.25</v>
      </c>
      <c r="D229" s="5"/>
      <c r="E229" s="5"/>
      <c r="F229" s="5"/>
      <c r="G229" t="s">
        <v>1101</v>
      </c>
    </row>
    <row r="230" spans="1:7" x14ac:dyDescent="0.25">
      <c r="A230" s="4" t="s">
        <v>462</v>
      </c>
      <c r="B230" s="5" t="s">
        <v>199</v>
      </c>
      <c r="C230" s="8">
        <v>-3.125</v>
      </c>
      <c r="D230" s="5"/>
      <c r="E230" s="5"/>
      <c r="F230" s="5"/>
      <c r="G230" t="s">
        <v>1101</v>
      </c>
    </row>
    <row r="231" spans="1:7" x14ac:dyDescent="0.25">
      <c r="A231" s="4" t="s">
        <v>463</v>
      </c>
      <c r="B231" s="5" t="s">
        <v>199</v>
      </c>
      <c r="C231" s="8">
        <v>-3</v>
      </c>
      <c r="D231" s="5"/>
      <c r="E231" s="5"/>
      <c r="F231" s="5"/>
      <c r="G231" t="s">
        <v>1101</v>
      </c>
    </row>
    <row r="232" spans="1:7" x14ac:dyDescent="0.25">
      <c r="A232" s="4" t="s">
        <v>464</v>
      </c>
      <c r="B232" s="5" t="s">
        <v>199</v>
      </c>
      <c r="C232" s="8">
        <v>-2.875</v>
      </c>
      <c r="D232" s="5"/>
      <c r="E232" s="5"/>
      <c r="F232" s="5"/>
      <c r="G232" t="s">
        <v>1101</v>
      </c>
    </row>
    <row r="233" spans="1:7" x14ac:dyDescent="0.25">
      <c r="A233" s="4" t="s">
        <v>465</v>
      </c>
      <c r="B233" s="5" t="s">
        <v>199</v>
      </c>
      <c r="C233" s="8">
        <v>-2.75</v>
      </c>
      <c r="D233" s="5"/>
      <c r="E233" s="5"/>
      <c r="F233" s="5"/>
      <c r="G233" t="s">
        <v>1101</v>
      </c>
    </row>
    <row r="234" spans="1:7" x14ac:dyDescent="0.25">
      <c r="A234" s="4" t="s">
        <v>466</v>
      </c>
      <c r="B234" s="5" t="s">
        <v>199</v>
      </c>
      <c r="C234" s="8">
        <v>-2.625</v>
      </c>
      <c r="D234" s="5"/>
      <c r="E234" s="5"/>
      <c r="F234" s="5"/>
      <c r="G234" t="s">
        <v>1101</v>
      </c>
    </row>
    <row r="235" spans="1:7" x14ac:dyDescent="0.25">
      <c r="A235" s="4" t="s">
        <v>467</v>
      </c>
      <c r="B235" s="5" t="s">
        <v>199</v>
      </c>
      <c r="C235" s="8">
        <v>-2.5</v>
      </c>
      <c r="D235" s="5"/>
      <c r="E235" s="5"/>
      <c r="F235" s="5"/>
      <c r="G235" t="s">
        <v>1101</v>
      </c>
    </row>
    <row r="236" spans="1:7" x14ac:dyDescent="0.25">
      <c r="A236" s="4" t="s">
        <v>468</v>
      </c>
      <c r="B236" s="5" t="s">
        <v>199</v>
      </c>
      <c r="C236" s="8">
        <v>-2.375</v>
      </c>
      <c r="D236" s="5"/>
      <c r="E236" s="5"/>
      <c r="F236" s="5"/>
      <c r="G236" t="s">
        <v>1101</v>
      </c>
    </row>
    <row r="237" spans="1:7" x14ac:dyDescent="0.25">
      <c r="A237" s="4" t="s">
        <v>469</v>
      </c>
      <c r="B237" s="5" t="s">
        <v>199</v>
      </c>
      <c r="C237" s="8">
        <v>-2.25</v>
      </c>
      <c r="D237" s="5"/>
      <c r="E237" s="5"/>
      <c r="F237" s="5"/>
      <c r="G237" t="s">
        <v>1101</v>
      </c>
    </row>
    <row r="238" spans="1:7" x14ac:dyDescent="0.25">
      <c r="A238" s="4" t="s">
        <v>470</v>
      </c>
      <c r="B238" s="5" t="s">
        <v>199</v>
      </c>
      <c r="C238" s="8">
        <v>-2.125</v>
      </c>
      <c r="D238" s="5"/>
      <c r="E238" s="5"/>
      <c r="F238" s="5"/>
      <c r="G238" t="s">
        <v>1101</v>
      </c>
    </row>
    <row r="239" spans="1:7" x14ac:dyDescent="0.25">
      <c r="A239" s="4" t="s">
        <v>471</v>
      </c>
      <c r="B239" s="5" t="s">
        <v>199</v>
      </c>
      <c r="C239" s="8">
        <v>-2</v>
      </c>
      <c r="D239" s="5"/>
      <c r="E239" s="5"/>
      <c r="F239" s="5"/>
      <c r="G239" t="s">
        <v>1101</v>
      </c>
    </row>
    <row r="240" spans="1:7" x14ac:dyDescent="0.25">
      <c r="A240" s="4" t="s">
        <v>472</v>
      </c>
      <c r="B240" s="5" t="s">
        <v>199</v>
      </c>
      <c r="C240" s="8">
        <v>-1.875</v>
      </c>
      <c r="D240" s="5"/>
      <c r="E240" s="5"/>
      <c r="F240" s="5"/>
      <c r="G240" t="s">
        <v>1101</v>
      </c>
    </row>
    <row r="241" spans="1:7" x14ac:dyDescent="0.25">
      <c r="A241" s="4" t="s">
        <v>473</v>
      </c>
      <c r="B241" s="5" t="s">
        <v>199</v>
      </c>
      <c r="C241" s="8">
        <v>-1.75</v>
      </c>
      <c r="D241" s="5"/>
      <c r="E241" s="5"/>
      <c r="F241" s="5"/>
      <c r="G241" t="s">
        <v>1101</v>
      </c>
    </row>
    <row r="242" spans="1:7" x14ac:dyDescent="0.25">
      <c r="A242" s="4" t="s">
        <v>474</v>
      </c>
      <c r="B242" s="5" t="s">
        <v>199</v>
      </c>
      <c r="C242" s="8">
        <v>-1.625</v>
      </c>
      <c r="D242" s="5"/>
      <c r="E242" s="5"/>
      <c r="F242" s="5"/>
      <c r="G242" t="s">
        <v>1101</v>
      </c>
    </row>
    <row r="243" spans="1:7" x14ac:dyDescent="0.25">
      <c r="A243" s="4" t="s">
        <v>475</v>
      </c>
      <c r="B243" s="5" t="s">
        <v>199</v>
      </c>
      <c r="C243" s="8">
        <v>-1.5</v>
      </c>
      <c r="D243" s="5"/>
      <c r="E243" s="5"/>
      <c r="F243" s="5"/>
      <c r="G243" t="s">
        <v>1101</v>
      </c>
    </row>
    <row r="244" spans="1:7" x14ac:dyDescent="0.25">
      <c r="A244" s="4" t="s">
        <v>476</v>
      </c>
      <c r="B244" s="5" t="s">
        <v>199</v>
      </c>
      <c r="C244" s="8">
        <v>-1.375</v>
      </c>
      <c r="D244" s="5"/>
      <c r="E244" s="5"/>
      <c r="F244" s="5"/>
      <c r="G244" t="s">
        <v>1101</v>
      </c>
    </row>
    <row r="245" spans="1:7" x14ac:dyDescent="0.25">
      <c r="A245" s="4" t="s">
        <v>477</v>
      </c>
      <c r="B245" s="5" t="s">
        <v>199</v>
      </c>
      <c r="C245" s="8">
        <v>-1.25</v>
      </c>
      <c r="D245" s="5"/>
      <c r="E245" s="5"/>
      <c r="F245" s="5"/>
      <c r="G245" t="s">
        <v>1101</v>
      </c>
    </row>
    <row r="246" spans="1:7" x14ac:dyDescent="0.25">
      <c r="A246" s="4" t="s">
        <v>478</v>
      </c>
      <c r="B246" s="5" t="s">
        <v>199</v>
      </c>
      <c r="C246" s="8">
        <v>-1.125</v>
      </c>
      <c r="D246" s="5"/>
      <c r="E246" s="5"/>
      <c r="F246" s="5"/>
      <c r="G246" t="s">
        <v>1101</v>
      </c>
    </row>
    <row r="247" spans="1:7" x14ac:dyDescent="0.25">
      <c r="A247" s="4" t="s">
        <v>479</v>
      </c>
      <c r="B247" s="5" t="s">
        <v>199</v>
      </c>
      <c r="C247" s="8">
        <v>-1</v>
      </c>
      <c r="D247" s="5"/>
      <c r="E247" s="5"/>
      <c r="F247" s="5"/>
      <c r="G247" t="s">
        <v>1101</v>
      </c>
    </row>
    <row r="248" spans="1:7" x14ac:dyDescent="0.25">
      <c r="A248" s="4" t="s">
        <v>480</v>
      </c>
      <c r="B248" s="5" t="s">
        <v>199</v>
      </c>
      <c r="C248" s="8">
        <v>-0.875</v>
      </c>
      <c r="D248" s="5"/>
      <c r="E248" s="5"/>
      <c r="F248" s="5"/>
      <c r="G248" t="s">
        <v>1101</v>
      </c>
    </row>
    <row r="249" spans="1:7" x14ac:dyDescent="0.25">
      <c r="A249" s="4" t="s">
        <v>481</v>
      </c>
      <c r="B249" s="5" t="s">
        <v>199</v>
      </c>
      <c r="C249" s="8">
        <v>-0.75</v>
      </c>
      <c r="D249" s="5"/>
      <c r="E249" s="5"/>
      <c r="F249" s="5"/>
      <c r="G249" t="s">
        <v>1101</v>
      </c>
    </row>
    <row r="250" spans="1:7" x14ac:dyDescent="0.25">
      <c r="A250" s="4" t="s">
        <v>482</v>
      </c>
      <c r="B250" s="5" t="s">
        <v>199</v>
      </c>
      <c r="C250" s="8">
        <v>-0.625</v>
      </c>
      <c r="D250" s="5"/>
      <c r="E250" s="5"/>
      <c r="F250" s="5"/>
      <c r="G250" t="s">
        <v>1101</v>
      </c>
    </row>
    <row r="251" spans="1:7" x14ac:dyDescent="0.25">
      <c r="A251" s="4" t="s">
        <v>483</v>
      </c>
      <c r="B251" s="5" t="s">
        <v>199</v>
      </c>
      <c r="C251" s="8">
        <v>-0.5</v>
      </c>
      <c r="D251" s="5"/>
      <c r="E251" s="5"/>
      <c r="F251" s="5"/>
      <c r="G251" t="s">
        <v>1101</v>
      </c>
    </row>
    <row r="252" spans="1:7" x14ac:dyDescent="0.25">
      <c r="A252" s="4" t="s">
        <v>484</v>
      </c>
      <c r="B252" s="5" t="s">
        <v>199</v>
      </c>
      <c r="C252" s="8">
        <v>-0.375</v>
      </c>
      <c r="D252" s="5"/>
      <c r="E252" s="5"/>
      <c r="F252" s="5"/>
      <c r="G252" t="s">
        <v>1101</v>
      </c>
    </row>
    <row r="253" spans="1:7" x14ac:dyDescent="0.25">
      <c r="A253" s="4" t="s">
        <v>485</v>
      </c>
      <c r="B253" s="5" t="s">
        <v>199</v>
      </c>
      <c r="C253" s="8">
        <v>-0.25</v>
      </c>
      <c r="D253" s="5"/>
      <c r="E253" s="5"/>
      <c r="F253" s="5"/>
      <c r="G253" t="s">
        <v>1101</v>
      </c>
    </row>
    <row r="254" spans="1:7" x14ac:dyDescent="0.25">
      <c r="A254" s="4" t="s">
        <v>486</v>
      </c>
      <c r="B254" s="5" t="s">
        <v>199</v>
      </c>
      <c r="C254" s="8">
        <v>-0.125</v>
      </c>
      <c r="D254" s="5"/>
      <c r="E254" s="5"/>
      <c r="F254" s="5"/>
      <c r="G254" t="s">
        <v>1101</v>
      </c>
    </row>
    <row r="255" spans="1:7" x14ac:dyDescent="0.25">
      <c r="A255" s="4" t="s">
        <v>487</v>
      </c>
      <c r="B255" s="5" t="s">
        <v>199</v>
      </c>
      <c r="C255" s="8">
        <v>0</v>
      </c>
      <c r="D255" s="5"/>
      <c r="E255" s="5"/>
      <c r="F255" s="5"/>
      <c r="G255" t="s">
        <v>1101</v>
      </c>
    </row>
    <row r="256" spans="1:7" x14ac:dyDescent="0.25">
      <c r="A256" s="4" t="s">
        <v>488</v>
      </c>
      <c r="B256" s="5" t="s">
        <v>199</v>
      </c>
      <c r="C256" s="8">
        <v>0.125</v>
      </c>
      <c r="D256" s="5"/>
      <c r="E256" s="5"/>
      <c r="F256" s="5"/>
      <c r="G256" t="s">
        <v>1101</v>
      </c>
    </row>
    <row r="257" spans="1:7" x14ac:dyDescent="0.25">
      <c r="A257" s="4" t="s">
        <v>489</v>
      </c>
      <c r="B257" s="5" t="s">
        <v>199</v>
      </c>
      <c r="C257" s="8">
        <v>0.25</v>
      </c>
      <c r="D257" s="5"/>
      <c r="E257" s="5"/>
      <c r="F257" s="5"/>
      <c r="G257" t="s">
        <v>1101</v>
      </c>
    </row>
    <row r="258" spans="1:7" x14ac:dyDescent="0.25">
      <c r="A258" s="4" t="s">
        <v>490</v>
      </c>
      <c r="B258" s="5" t="s">
        <v>199</v>
      </c>
      <c r="C258" s="8">
        <v>0.375</v>
      </c>
      <c r="D258" s="5"/>
      <c r="E258" s="5"/>
      <c r="F258" s="5"/>
      <c r="G258" t="s">
        <v>1101</v>
      </c>
    </row>
    <row r="259" spans="1:7" x14ac:dyDescent="0.25">
      <c r="A259" s="4" t="s">
        <v>491</v>
      </c>
      <c r="B259" s="5" t="s">
        <v>199</v>
      </c>
      <c r="C259" s="8">
        <v>0.5</v>
      </c>
      <c r="D259" s="5"/>
      <c r="E259" s="5"/>
      <c r="F259" s="5"/>
      <c r="G259" t="s">
        <v>1101</v>
      </c>
    </row>
    <row r="260" spans="1:7" x14ac:dyDescent="0.25">
      <c r="A260" s="4" t="s">
        <v>492</v>
      </c>
      <c r="B260" s="5" t="s">
        <v>199</v>
      </c>
      <c r="C260" s="8">
        <v>0.625</v>
      </c>
      <c r="D260" s="5"/>
      <c r="E260" s="5"/>
      <c r="F260" s="5"/>
      <c r="G260" t="s">
        <v>1101</v>
      </c>
    </row>
    <row r="261" spans="1:7" x14ac:dyDescent="0.25">
      <c r="A261" s="4" t="s">
        <v>493</v>
      </c>
      <c r="B261" s="5" t="s">
        <v>199</v>
      </c>
      <c r="C261" s="8">
        <v>0.75</v>
      </c>
      <c r="D261" s="5"/>
      <c r="E261" s="5"/>
      <c r="F261" s="5"/>
      <c r="G261" t="s">
        <v>1101</v>
      </c>
    </row>
    <row r="262" spans="1:7" x14ac:dyDescent="0.25">
      <c r="A262" s="4" t="s">
        <v>494</v>
      </c>
      <c r="B262" s="5" t="s">
        <v>199</v>
      </c>
      <c r="C262" s="8">
        <v>0.875</v>
      </c>
      <c r="D262" s="5"/>
      <c r="E262" s="5"/>
      <c r="F262" s="5"/>
      <c r="G262" t="s">
        <v>1101</v>
      </c>
    </row>
    <row r="263" spans="1:7" x14ac:dyDescent="0.25">
      <c r="A263" s="4" t="s">
        <v>495</v>
      </c>
      <c r="B263" s="5" t="s">
        <v>199</v>
      </c>
      <c r="C263" s="8">
        <v>1</v>
      </c>
      <c r="D263" s="5"/>
      <c r="E263" s="5"/>
      <c r="F263" s="5"/>
      <c r="G263" t="s">
        <v>1101</v>
      </c>
    </row>
    <row r="264" spans="1:7" x14ac:dyDescent="0.25">
      <c r="A264" s="4" t="s">
        <v>496</v>
      </c>
      <c r="B264" s="5" t="s">
        <v>199</v>
      </c>
      <c r="C264" s="8">
        <v>1.125</v>
      </c>
      <c r="D264" s="5"/>
      <c r="E264" s="5"/>
      <c r="F264" s="5"/>
      <c r="G264" t="s">
        <v>1101</v>
      </c>
    </row>
    <row r="265" spans="1:7" x14ac:dyDescent="0.25">
      <c r="A265" s="4" t="s">
        <v>497</v>
      </c>
      <c r="B265" s="5" t="s">
        <v>199</v>
      </c>
      <c r="C265" s="8">
        <v>1.25</v>
      </c>
      <c r="D265" s="5"/>
      <c r="E265" s="5"/>
      <c r="F265" s="5"/>
      <c r="G265" t="s">
        <v>1101</v>
      </c>
    </row>
    <row r="266" spans="1:7" x14ac:dyDescent="0.25">
      <c r="A266" s="4" t="s">
        <v>498</v>
      </c>
      <c r="B266" s="5" t="s">
        <v>199</v>
      </c>
      <c r="C266" s="8">
        <v>1.375</v>
      </c>
      <c r="D266" s="5"/>
      <c r="E266" s="5"/>
      <c r="F266" s="5"/>
      <c r="G266" t="s">
        <v>1101</v>
      </c>
    </row>
    <row r="267" spans="1:7" x14ac:dyDescent="0.25">
      <c r="A267" s="4" t="s">
        <v>499</v>
      </c>
      <c r="B267" s="5" t="s">
        <v>199</v>
      </c>
      <c r="C267" s="8">
        <v>1.5</v>
      </c>
      <c r="D267" s="5"/>
      <c r="E267" s="5"/>
      <c r="F267" s="5"/>
      <c r="G267" t="s">
        <v>1101</v>
      </c>
    </row>
    <row r="268" spans="1:7" x14ac:dyDescent="0.25">
      <c r="A268" s="4" t="s">
        <v>500</v>
      </c>
      <c r="B268" s="5" t="s">
        <v>199</v>
      </c>
      <c r="C268" s="8">
        <v>1.625</v>
      </c>
      <c r="D268" s="5"/>
      <c r="E268" s="5"/>
      <c r="F268" s="5"/>
      <c r="G268" t="s">
        <v>1101</v>
      </c>
    </row>
    <row r="269" spans="1:7" x14ac:dyDescent="0.25">
      <c r="A269" s="4" t="s">
        <v>501</v>
      </c>
      <c r="B269" s="5" t="s">
        <v>199</v>
      </c>
      <c r="C269" s="8">
        <v>1.75</v>
      </c>
      <c r="D269" s="5"/>
      <c r="E269" s="5"/>
      <c r="F269" s="5"/>
      <c r="G269" t="s">
        <v>1101</v>
      </c>
    </row>
    <row r="270" spans="1:7" x14ac:dyDescent="0.25">
      <c r="A270" s="4" t="s">
        <v>502</v>
      </c>
      <c r="B270" s="5" t="s">
        <v>199</v>
      </c>
      <c r="C270" s="8">
        <v>1.875</v>
      </c>
      <c r="D270" s="5"/>
      <c r="E270" s="5"/>
      <c r="F270" s="5"/>
      <c r="G270" t="s">
        <v>1101</v>
      </c>
    </row>
    <row r="271" spans="1:7" x14ac:dyDescent="0.25">
      <c r="A271" s="4" t="s">
        <v>503</v>
      </c>
      <c r="B271" s="5" t="s">
        <v>199</v>
      </c>
      <c r="C271" s="8">
        <v>2</v>
      </c>
      <c r="D271" s="5"/>
      <c r="E271" s="5"/>
      <c r="F271" s="5"/>
      <c r="G271" t="s">
        <v>1101</v>
      </c>
    </row>
    <row r="272" spans="1:7" x14ac:dyDescent="0.25">
      <c r="A272" s="4" t="s">
        <v>504</v>
      </c>
      <c r="B272" s="5" t="s">
        <v>199</v>
      </c>
      <c r="C272" s="8">
        <v>2.125</v>
      </c>
      <c r="D272" s="5"/>
      <c r="E272" s="5"/>
      <c r="F272" s="5"/>
      <c r="G272" t="s">
        <v>1101</v>
      </c>
    </row>
    <row r="273" spans="1:7" x14ac:dyDescent="0.25">
      <c r="A273" s="4" t="s">
        <v>505</v>
      </c>
      <c r="B273" s="5" t="s">
        <v>199</v>
      </c>
      <c r="C273" s="8">
        <v>2.25</v>
      </c>
      <c r="D273" s="5"/>
      <c r="E273" s="5"/>
      <c r="F273" s="5"/>
      <c r="G273" t="s">
        <v>1101</v>
      </c>
    </row>
    <row r="274" spans="1:7" x14ac:dyDescent="0.25">
      <c r="A274" s="4" t="s">
        <v>506</v>
      </c>
      <c r="B274" s="5" t="s">
        <v>199</v>
      </c>
      <c r="C274" s="8">
        <v>2.375</v>
      </c>
      <c r="D274" s="5"/>
      <c r="E274" s="5"/>
      <c r="F274" s="5"/>
      <c r="G274" t="s">
        <v>1101</v>
      </c>
    </row>
    <row r="275" spans="1:7" x14ac:dyDescent="0.25">
      <c r="A275" s="4" t="s">
        <v>507</v>
      </c>
      <c r="B275" s="5" t="s">
        <v>199</v>
      </c>
      <c r="C275" s="8">
        <v>2.5</v>
      </c>
      <c r="D275" s="5"/>
      <c r="E275" s="5"/>
      <c r="F275" s="5"/>
      <c r="G275" t="s">
        <v>1101</v>
      </c>
    </row>
    <row r="276" spans="1:7" x14ac:dyDescent="0.25">
      <c r="A276" s="4" t="s">
        <v>508</v>
      </c>
      <c r="B276" s="5" t="s">
        <v>199</v>
      </c>
      <c r="C276" s="8">
        <v>2.625</v>
      </c>
      <c r="D276" s="5"/>
      <c r="E276" s="5"/>
      <c r="F276" s="5"/>
      <c r="G276" t="s">
        <v>1101</v>
      </c>
    </row>
    <row r="277" spans="1:7" x14ac:dyDescent="0.25">
      <c r="A277" s="4" t="s">
        <v>509</v>
      </c>
      <c r="B277" s="5" t="s">
        <v>199</v>
      </c>
      <c r="C277" s="8">
        <v>2.75</v>
      </c>
      <c r="D277" s="5"/>
      <c r="E277" s="5"/>
      <c r="F277" s="5"/>
      <c r="G277" t="s">
        <v>1101</v>
      </c>
    </row>
    <row r="278" spans="1:7" x14ac:dyDescent="0.25">
      <c r="A278" s="4" t="s">
        <v>510</v>
      </c>
      <c r="B278" s="5" t="s">
        <v>199</v>
      </c>
      <c r="C278" s="8">
        <v>2.875</v>
      </c>
      <c r="D278" s="5"/>
      <c r="E278" s="5"/>
      <c r="F278" s="5"/>
      <c r="G278" t="s">
        <v>1101</v>
      </c>
    </row>
    <row r="279" spans="1:7" x14ac:dyDescent="0.25">
      <c r="A279" s="4" t="s">
        <v>511</v>
      </c>
      <c r="B279" s="5" t="s">
        <v>199</v>
      </c>
      <c r="C279" s="8">
        <v>3</v>
      </c>
      <c r="D279" s="5"/>
      <c r="E279" s="5"/>
      <c r="F279" s="5"/>
      <c r="G279" t="s">
        <v>1101</v>
      </c>
    </row>
    <row r="280" spans="1:7" x14ac:dyDescent="0.25">
      <c r="A280" s="4" t="s">
        <v>512</v>
      </c>
      <c r="B280" s="5" t="s">
        <v>199</v>
      </c>
      <c r="C280" s="8">
        <v>3.125</v>
      </c>
      <c r="D280" s="5"/>
      <c r="E280" s="5"/>
      <c r="F280" s="5"/>
      <c r="G280" t="s">
        <v>1101</v>
      </c>
    </row>
    <row r="281" spans="1:7" x14ac:dyDescent="0.25">
      <c r="A281" s="4" t="s">
        <v>513</v>
      </c>
      <c r="B281" s="5" t="s">
        <v>199</v>
      </c>
      <c r="C281" s="8">
        <v>3.25</v>
      </c>
      <c r="D281" s="5"/>
      <c r="E281" s="5"/>
      <c r="F281" s="5"/>
      <c r="G281" t="s">
        <v>1101</v>
      </c>
    </row>
    <row r="282" spans="1:7" x14ac:dyDescent="0.25">
      <c r="A282" s="4" t="s">
        <v>514</v>
      </c>
      <c r="B282" s="5" t="s">
        <v>199</v>
      </c>
      <c r="C282" s="8">
        <v>3.375</v>
      </c>
      <c r="D282" s="5"/>
      <c r="E282" s="5"/>
      <c r="F282" s="5"/>
      <c r="G282" t="s">
        <v>1101</v>
      </c>
    </row>
    <row r="283" spans="1:7" x14ac:dyDescent="0.25">
      <c r="A283" s="4" t="s">
        <v>515</v>
      </c>
      <c r="B283" s="5" t="s">
        <v>199</v>
      </c>
      <c r="C283" s="8">
        <v>3.5</v>
      </c>
      <c r="D283" s="5"/>
      <c r="E283" s="5"/>
      <c r="F283" s="5"/>
      <c r="G283" t="s">
        <v>1101</v>
      </c>
    </row>
    <row r="284" spans="1:7" x14ac:dyDescent="0.25">
      <c r="A284" s="4" t="s">
        <v>516</v>
      </c>
      <c r="B284" s="5" t="s">
        <v>199</v>
      </c>
      <c r="C284" s="8">
        <v>3.625</v>
      </c>
      <c r="D284" s="5"/>
      <c r="E284" s="5"/>
      <c r="F284" s="5"/>
      <c r="G284" t="s">
        <v>1101</v>
      </c>
    </row>
    <row r="285" spans="1:7" x14ac:dyDescent="0.25">
      <c r="A285" s="4" t="s">
        <v>517</v>
      </c>
      <c r="B285" s="5" t="s">
        <v>199</v>
      </c>
      <c r="C285" s="8">
        <v>3.75</v>
      </c>
      <c r="D285" s="5"/>
      <c r="E285" s="5"/>
      <c r="F285" s="5"/>
      <c r="G285" t="s">
        <v>1101</v>
      </c>
    </row>
    <row r="286" spans="1:7" x14ac:dyDescent="0.25">
      <c r="A286" s="4" t="s">
        <v>518</v>
      </c>
      <c r="B286" s="5" t="s">
        <v>199</v>
      </c>
      <c r="C286" s="8">
        <v>3.875</v>
      </c>
      <c r="D286" s="5"/>
      <c r="E286" s="5"/>
      <c r="F286" s="5"/>
      <c r="G286" t="s">
        <v>1101</v>
      </c>
    </row>
    <row r="287" spans="1:7" x14ac:dyDescent="0.25">
      <c r="A287" s="4" t="s">
        <v>519</v>
      </c>
      <c r="B287" s="5" t="s">
        <v>199</v>
      </c>
      <c r="C287" s="8">
        <v>4</v>
      </c>
      <c r="D287" s="5"/>
      <c r="E287" s="5"/>
      <c r="F287" s="5"/>
      <c r="G287" t="s">
        <v>1101</v>
      </c>
    </row>
    <row r="288" spans="1:7" x14ac:dyDescent="0.25">
      <c r="A288" s="4" t="s">
        <v>520</v>
      </c>
      <c r="B288" s="5" t="s">
        <v>199</v>
      </c>
      <c r="C288" s="53">
        <v>4</v>
      </c>
      <c r="D288" s="5"/>
      <c r="E288" s="5"/>
      <c r="F288" s="5"/>
      <c r="G288" t="s">
        <v>1101</v>
      </c>
    </row>
    <row r="289" spans="1:13" x14ac:dyDescent="0.25">
      <c r="A289" s="4"/>
      <c r="B289" s="5"/>
      <c r="C289" s="8"/>
      <c r="D289" s="5"/>
      <c r="E289" s="5"/>
      <c r="F289" s="5"/>
      <c r="G289" t="s">
        <v>1101</v>
      </c>
      <c r="H289" s="108"/>
      <c r="I289" s="108"/>
      <c r="J289" s="108"/>
      <c r="K289" s="108"/>
      <c r="L289" s="108"/>
      <c r="M289" s="108"/>
    </row>
    <row r="290" spans="1:13" x14ac:dyDescent="0.25">
      <c r="A290" s="4" t="s">
        <v>521</v>
      </c>
      <c r="B290" s="5" t="s">
        <v>19</v>
      </c>
      <c r="C290" s="57">
        <v>-2.321949618E-2</v>
      </c>
      <c r="D290" s="5"/>
      <c r="E290" s="5"/>
      <c r="F290" s="5"/>
      <c r="G290" t="s">
        <v>1101</v>
      </c>
      <c r="H290" s="109"/>
      <c r="I290" s="109"/>
      <c r="J290" s="108"/>
      <c r="K290" s="108"/>
      <c r="L290" s="108"/>
      <c r="M290" s="110"/>
    </row>
    <row r="291" spans="1:13" x14ac:dyDescent="0.25">
      <c r="A291" s="4" t="s">
        <v>522</v>
      </c>
      <c r="B291" s="5" t="s">
        <v>19</v>
      </c>
      <c r="C291" s="57">
        <v>-2.32327112901724E-2</v>
      </c>
      <c r="D291" s="5"/>
      <c r="E291" s="5"/>
      <c r="F291" s="5"/>
      <c r="G291" t="s">
        <v>1101</v>
      </c>
      <c r="H291" s="109"/>
      <c r="I291" s="109"/>
      <c r="J291" s="108"/>
      <c r="K291" s="108"/>
      <c r="L291" s="108"/>
      <c r="M291" s="110"/>
    </row>
    <row r="292" spans="1:13" x14ac:dyDescent="0.25">
      <c r="A292" s="4" t="s">
        <v>523</v>
      </c>
      <c r="B292" s="5" t="s">
        <v>19</v>
      </c>
      <c r="C292" s="57">
        <v>-2.3183623855547002E-2</v>
      </c>
      <c r="D292" s="5"/>
      <c r="E292" s="5"/>
      <c r="F292" s="5"/>
      <c r="G292" t="s">
        <v>1101</v>
      </c>
      <c r="H292" s="109"/>
      <c r="I292" s="109"/>
      <c r="J292" s="108"/>
      <c r="K292" s="108"/>
      <c r="L292" s="108"/>
      <c r="M292" s="110"/>
    </row>
    <row r="293" spans="1:13" x14ac:dyDescent="0.25">
      <c r="A293" s="4" t="s">
        <v>524</v>
      </c>
      <c r="B293" s="5" t="s">
        <v>19</v>
      </c>
      <c r="C293" s="57">
        <v>-2.31014283579975E-2</v>
      </c>
      <c r="D293" s="5"/>
      <c r="E293" s="5"/>
      <c r="F293" s="5"/>
      <c r="G293" t="s">
        <v>1101</v>
      </c>
      <c r="H293" s="109"/>
      <c r="I293" s="109"/>
      <c r="J293" s="108"/>
      <c r="K293" s="108"/>
      <c r="L293" s="108"/>
      <c r="M293" s="110"/>
    </row>
    <row r="294" spans="1:13" x14ac:dyDescent="0.25">
      <c r="A294" s="4" t="s">
        <v>525</v>
      </c>
      <c r="B294" s="5" t="s">
        <v>19</v>
      </c>
      <c r="C294" s="57">
        <v>-2.3006900826000001E-2</v>
      </c>
      <c r="D294" s="5"/>
      <c r="E294" s="5"/>
      <c r="F294" s="5"/>
      <c r="G294" t="s">
        <v>1101</v>
      </c>
      <c r="H294" s="109"/>
      <c r="I294" s="109"/>
      <c r="J294" s="108"/>
      <c r="K294" s="108"/>
      <c r="L294" s="108"/>
      <c r="M294" s="110"/>
    </row>
    <row r="295" spans="1:13" x14ac:dyDescent="0.25">
      <c r="A295" s="4" t="s">
        <v>526</v>
      </c>
      <c r="B295" s="5" t="s">
        <v>19</v>
      </c>
      <c r="C295" s="57">
        <v>-2.2913200505236798E-2</v>
      </c>
      <c r="D295" s="5"/>
      <c r="E295" s="5"/>
      <c r="F295" s="5"/>
      <c r="G295" t="s">
        <v>1101</v>
      </c>
      <c r="H295" s="109"/>
      <c r="I295" s="109"/>
      <c r="J295" s="108"/>
      <c r="K295" s="108"/>
      <c r="L295" s="108"/>
      <c r="M295" s="110"/>
    </row>
    <row r="296" spans="1:13" x14ac:dyDescent="0.25">
      <c r="A296" s="4" t="s">
        <v>527</v>
      </c>
      <c r="B296" s="5" t="s">
        <v>19</v>
      </c>
      <c r="C296" s="57">
        <v>-2.2826671529203198E-2</v>
      </c>
      <c r="D296" s="5"/>
      <c r="E296" s="5"/>
      <c r="F296" s="5"/>
      <c r="G296" t="s">
        <v>1101</v>
      </c>
      <c r="H296" s="109"/>
      <c r="I296" s="109"/>
      <c r="J296" s="108"/>
      <c r="K296" s="108"/>
      <c r="L296" s="108"/>
      <c r="M296" s="110"/>
    </row>
    <row r="297" spans="1:13" x14ac:dyDescent="0.25">
      <c r="A297" s="4" t="s">
        <v>528</v>
      </c>
      <c r="B297" s="5" t="s">
        <v>19</v>
      </c>
      <c r="C297" s="57">
        <v>-2.2747644589811999E-2</v>
      </c>
      <c r="D297" s="5"/>
      <c r="E297" s="5"/>
      <c r="F297" s="5"/>
      <c r="G297" t="s">
        <v>1101</v>
      </c>
      <c r="H297" s="109"/>
      <c r="I297" s="109"/>
      <c r="J297" s="108"/>
      <c r="K297" s="108"/>
      <c r="L297" s="108"/>
      <c r="M297" s="110"/>
    </row>
    <row r="298" spans="1:13" x14ac:dyDescent="0.25">
      <c r="A298" s="4" t="s">
        <v>529</v>
      </c>
      <c r="B298" s="5" t="s">
        <v>19</v>
      </c>
      <c r="C298" s="57">
        <v>-2.2671238608000001E-2</v>
      </c>
      <c r="D298" s="5"/>
      <c r="E298" s="5"/>
      <c r="F298" s="5"/>
      <c r="G298" t="s">
        <v>1101</v>
      </c>
      <c r="H298" s="109"/>
      <c r="I298" s="109"/>
      <c r="J298" s="108"/>
      <c r="K298" s="108"/>
      <c r="L298" s="108"/>
      <c r="M298" s="110"/>
    </row>
    <row r="299" spans="1:13" x14ac:dyDescent="0.25">
      <c r="A299" s="4" t="s">
        <v>530</v>
      </c>
      <c r="B299" s="5" t="s">
        <v>19</v>
      </c>
      <c r="C299" s="57">
        <v>-2.25881624043325E-2</v>
      </c>
      <c r="D299" s="5"/>
      <c r="E299" s="5"/>
      <c r="F299" s="5"/>
      <c r="G299" t="s">
        <v>1101</v>
      </c>
      <c r="H299" s="109"/>
      <c r="I299" s="109"/>
      <c r="J299" s="108"/>
      <c r="K299" s="108"/>
      <c r="L299" s="108"/>
      <c r="M299" s="110"/>
    </row>
    <row r="300" spans="1:13" x14ac:dyDescent="0.25">
      <c r="A300" s="4" t="s">
        <v>531</v>
      </c>
      <c r="B300" s="5" t="s">
        <v>19</v>
      </c>
      <c r="C300" s="57">
        <v>-2.2485516369609399E-2</v>
      </c>
      <c r="D300" s="5"/>
      <c r="E300" s="5"/>
      <c r="F300" s="5"/>
      <c r="G300" t="s">
        <v>1101</v>
      </c>
      <c r="H300" s="109"/>
      <c r="I300" s="109"/>
      <c r="J300" s="108"/>
      <c r="K300" s="108"/>
      <c r="L300" s="108"/>
      <c r="M300" s="110"/>
    </row>
    <row r="301" spans="1:13" x14ac:dyDescent="0.25">
      <c r="A301" s="4" t="s">
        <v>532</v>
      </c>
      <c r="B301" s="5" t="s">
        <v>19</v>
      </c>
      <c r="C301" s="57">
        <v>-2.23475941354703E-2</v>
      </c>
      <c r="D301" s="5"/>
      <c r="E301" s="5"/>
      <c r="F301" s="5"/>
      <c r="G301" t="s">
        <v>1101</v>
      </c>
      <c r="H301" s="109"/>
      <c r="I301" s="109"/>
      <c r="J301" s="108"/>
      <c r="K301" s="108"/>
      <c r="L301" s="108"/>
      <c r="M301" s="110"/>
    </row>
    <row r="302" spans="1:13" x14ac:dyDescent="0.25">
      <c r="A302" s="4" t="s">
        <v>533</v>
      </c>
      <c r="B302" s="5" t="s">
        <v>19</v>
      </c>
      <c r="C302" s="57">
        <v>-2.2156684244999999E-2</v>
      </c>
      <c r="D302" s="5"/>
      <c r="E302" s="5"/>
      <c r="F302" s="5"/>
      <c r="G302" t="s">
        <v>1101</v>
      </c>
      <c r="H302" s="109"/>
      <c r="I302" s="109"/>
      <c r="J302" s="108"/>
      <c r="K302" s="108"/>
      <c r="L302" s="108"/>
      <c r="M302" s="110"/>
    </row>
    <row r="303" spans="1:13" x14ac:dyDescent="0.25">
      <c r="A303" s="4" t="s">
        <v>534</v>
      </c>
      <c r="B303" s="5" t="s">
        <v>19</v>
      </c>
      <c r="C303" s="57">
        <v>-2.18938718233345E-2</v>
      </c>
      <c r="D303" s="5"/>
      <c r="E303" s="5"/>
      <c r="F303" s="5"/>
      <c r="G303" t="s">
        <v>1101</v>
      </c>
      <c r="H303" s="109"/>
      <c r="I303" s="109"/>
      <c r="J303" s="108"/>
      <c r="K303" s="108"/>
      <c r="L303" s="108"/>
      <c r="M303" s="110"/>
    </row>
    <row r="304" spans="1:13" x14ac:dyDescent="0.25">
      <c r="A304" s="4" t="s">
        <v>535</v>
      </c>
      <c r="B304" s="5" t="s">
        <v>19</v>
      </c>
      <c r="C304" s="57">
        <v>-2.1539840248265701E-2</v>
      </c>
      <c r="D304" s="5"/>
      <c r="E304" s="5"/>
      <c r="F304" s="5"/>
      <c r="G304" t="s">
        <v>1101</v>
      </c>
      <c r="H304" s="109"/>
      <c r="I304" s="109"/>
      <c r="J304" s="108"/>
      <c r="K304" s="108"/>
      <c r="L304" s="108"/>
      <c r="M304" s="110"/>
    </row>
    <row r="305" spans="1:13" x14ac:dyDescent="0.25">
      <c r="A305" s="4" t="s">
        <v>536</v>
      </c>
      <c r="B305" s="5" t="s">
        <v>19</v>
      </c>
      <c r="C305" s="57">
        <v>-2.1075672820847199E-2</v>
      </c>
      <c r="D305" s="5"/>
      <c r="E305" s="5"/>
      <c r="F305" s="5"/>
      <c r="G305" t="s">
        <v>1101</v>
      </c>
      <c r="H305" s="109"/>
      <c r="I305" s="109"/>
      <c r="J305" s="108"/>
      <c r="K305" s="108"/>
      <c r="L305" s="108"/>
      <c r="M305" s="110"/>
    </row>
    <row r="306" spans="1:13" x14ac:dyDescent="0.25">
      <c r="A306" s="4" t="s">
        <v>537</v>
      </c>
      <c r="B306" s="5" t="s">
        <v>19</v>
      </c>
      <c r="C306" s="57">
        <v>-2.0483654436E-2</v>
      </c>
      <c r="D306" s="5"/>
      <c r="E306" s="5"/>
      <c r="F306" s="5"/>
      <c r="G306" t="s">
        <v>1101</v>
      </c>
      <c r="H306" s="109"/>
      <c r="I306" s="109"/>
      <c r="J306" s="108"/>
      <c r="K306" s="108"/>
      <c r="L306" s="108"/>
      <c r="M306" s="110"/>
    </row>
    <row r="307" spans="1:13" x14ac:dyDescent="0.25">
      <c r="A307" s="4" t="s">
        <v>538</v>
      </c>
      <c r="B307" s="5" t="s">
        <v>19</v>
      </c>
      <c r="C307" s="57">
        <v>-1.9748073253117698E-2</v>
      </c>
      <c r="D307" s="5"/>
      <c r="E307" s="5"/>
      <c r="F307" s="5"/>
      <c r="G307" t="s">
        <v>1101</v>
      </c>
      <c r="H307" s="109"/>
      <c r="I307" s="109"/>
      <c r="J307" s="108"/>
      <c r="K307" s="108"/>
      <c r="L307" s="108"/>
      <c r="M307" s="110"/>
    </row>
    <row r="308" spans="1:13" x14ac:dyDescent="0.25">
      <c r="A308" s="4" t="s">
        <v>539</v>
      </c>
      <c r="B308" s="5" t="s">
        <v>19</v>
      </c>
      <c r="C308" s="57">
        <v>-1.8856022366671801E-2</v>
      </c>
      <c r="D308" s="5"/>
      <c r="E308" s="5"/>
      <c r="F308" s="5"/>
      <c r="G308" t="s">
        <v>1101</v>
      </c>
      <c r="H308" s="109"/>
      <c r="I308" s="109"/>
      <c r="J308" s="108"/>
      <c r="K308" s="108"/>
      <c r="L308" s="108"/>
      <c r="M308" s="110"/>
    </row>
    <row r="309" spans="1:13" x14ac:dyDescent="0.25">
      <c r="A309" s="4" t="s">
        <v>540</v>
      </c>
      <c r="B309" s="5" t="s">
        <v>19</v>
      </c>
      <c r="C309" s="57">
        <v>-1.8217640631515701E-2</v>
      </c>
      <c r="D309" s="5"/>
      <c r="E309" s="5"/>
      <c r="F309" s="5"/>
      <c r="G309" t="s">
        <v>1101</v>
      </c>
      <c r="H309" s="109"/>
      <c r="I309" s="109"/>
      <c r="J309" s="108"/>
      <c r="K309" s="108"/>
      <c r="L309" s="108"/>
      <c r="M309" s="110"/>
    </row>
    <row r="310" spans="1:13" x14ac:dyDescent="0.25">
      <c r="A310" s="4" t="s">
        <v>541</v>
      </c>
      <c r="B310" s="5" t="s">
        <v>19</v>
      </c>
      <c r="C310" s="57">
        <v>-1.7506099026000001E-2</v>
      </c>
      <c r="D310" s="5"/>
      <c r="E310" s="5"/>
      <c r="F310" s="5"/>
      <c r="G310" t="s">
        <v>1101</v>
      </c>
      <c r="H310" s="109"/>
      <c r="I310" s="109"/>
      <c r="J310" s="108"/>
      <c r="K310" s="108"/>
      <c r="L310" s="108"/>
      <c r="M310" s="110"/>
    </row>
    <row r="311" spans="1:13" x14ac:dyDescent="0.25">
      <c r="A311" s="4" t="s">
        <v>542</v>
      </c>
      <c r="B311" s="5" t="s">
        <v>19</v>
      </c>
      <c r="C311" s="57">
        <v>-1.6928519553984299E-2</v>
      </c>
      <c r="D311" s="5"/>
      <c r="E311" s="5"/>
      <c r="F311" s="5"/>
      <c r="G311" t="s">
        <v>1101</v>
      </c>
      <c r="H311" s="109"/>
      <c r="I311" s="109"/>
      <c r="J311" s="108"/>
      <c r="K311" s="108"/>
      <c r="L311" s="108"/>
      <c r="M311" s="110"/>
    </row>
    <row r="312" spans="1:13" x14ac:dyDescent="0.25">
      <c r="A312" s="4" t="s">
        <v>543</v>
      </c>
      <c r="B312" s="5" t="s">
        <v>19</v>
      </c>
      <c r="C312" s="57">
        <v>-1.6387430412375E-2</v>
      </c>
      <c r="D312" s="5"/>
      <c r="E312" s="5"/>
      <c r="F312" s="5"/>
      <c r="G312" t="s">
        <v>1101</v>
      </c>
      <c r="H312" s="109"/>
      <c r="I312" s="109"/>
      <c r="J312" s="108"/>
      <c r="K312" s="108"/>
      <c r="L312" s="108"/>
      <c r="M312" s="110"/>
    </row>
    <row r="313" spans="1:13" x14ac:dyDescent="0.25">
      <c r="A313" s="4" t="s">
        <v>544</v>
      </c>
      <c r="B313" s="5" t="s">
        <v>19</v>
      </c>
      <c r="C313" s="57">
        <v>-1.57853597980782E-2</v>
      </c>
      <c r="D313" s="5"/>
      <c r="E313" s="5"/>
      <c r="F313" s="5"/>
      <c r="G313" t="s">
        <v>1101</v>
      </c>
      <c r="H313" s="109"/>
      <c r="I313" s="109"/>
      <c r="J313" s="108"/>
      <c r="K313" s="108"/>
      <c r="L313" s="108"/>
      <c r="M313" s="110"/>
    </row>
    <row r="314" spans="1:13" x14ac:dyDescent="0.25">
      <c r="A314" s="4" t="s">
        <v>545</v>
      </c>
      <c r="B314" s="5" t="s">
        <v>19</v>
      </c>
      <c r="C314" s="57">
        <v>-1.5024835908E-2</v>
      </c>
      <c r="D314" s="5"/>
      <c r="E314" s="5"/>
      <c r="F314" s="5"/>
      <c r="G314" t="s">
        <v>1101</v>
      </c>
      <c r="H314" s="109"/>
      <c r="I314" s="109"/>
      <c r="J314" s="108"/>
      <c r="K314" s="108"/>
      <c r="L314" s="108"/>
      <c r="M314" s="110"/>
    </row>
    <row r="315" spans="1:13" x14ac:dyDescent="0.25">
      <c r="A315" s="4" t="s">
        <v>546</v>
      </c>
      <c r="B315" s="5" t="s">
        <v>19</v>
      </c>
      <c r="C315" s="57">
        <v>-1.40360554949062E-2</v>
      </c>
      <c r="D315" s="5"/>
      <c r="E315" s="5"/>
      <c r="F315" s="5"/>
      <c r="G315" t="s">
        <v>1101</v>
      </c>
      <c r="H315" s="109"/>
      <c r="I315" s="109"/>
      <c r="J315" s="108"/>
      <c r="K315" s="108"/>
      <c r="L315" s="108"/>
      <c r="M315" s="110"/>
    </row>
    <row r="316" spans="1:13" x14ac:dyDescent="0.25">
      <c r="A316" s="4" t="s">
        <v>547</v>
      </c>
      <c r="B316" s="5" t="s">
        <v>19</v>
      </c>
      <c r="C316" s="57">
        <v>-1.3716000000000001E-2</v>
      </c>
      <c r="D316" s="5"/>
      <c r="E316" s="5"/>
      <c r="F316" s="5"/>
      <c r="G316" t="s">
        <v>1101</v>
      </c>
      <c r="H316" s="109"/>
      <c r="I316" s="109"/>
      <c r="J316" s="108"/>
      <c r="K316" s="108"/>
      <c r="L316" s="108"/>
      <c r="M316" s="110"/>
    </row>
    <row r="317" spans="1:13" x14ac:dyDescent="0.25">
      <c r="A317" s="4" t="s">
        <v>548</v>
      </c>
      <c r="B317" s="5" t="s">
        <v>19</v>
      </c>
      <c r="C317" s="57">
        <v>-1.35E-2</v>
      </c>
      <c r="D317" s="5"/>
      <c r="E317" s="5"/>
      <c r="F317" s="5"/>
      <c r="G317" t="s">
        <v>1101</v>
      </c>
      <c r="H317" s="109"/>
      <c r="I317" s="109"/>
      <c r="J317" s="108"/>
      <c r="K317" s="108"/>
      <c r="L317" s="108"/>
      <c r="M317" s="110"/>
    </row>
    <row r="318" spans="1:13" x14ac:dyDescent="0.25">
      <c r="A318" s="4" t="s">
        <v>549</v>
      </c>
      <c r="B318" s="5" t="s">
        <v>19</v>
      </c>
      <c r="C318" s="57">
        <v>-1.3284000000000001E-2</v>
      </c>
      <c r="D318" s="5"/>
      <c r="E318" s="5"/>
      <c r="F318" s="5"/>
      <c r="G318" t="s">
        <v>1101</v>
      </c>
      <c r="H318" s="109"/>
      <c r="I318" s="109"/>
      <c r="J318" s="108"/>
      <c r="K318" s="108"/>
      <c r="L318" s="108"/>
      <c r="M318" s="110"/>
    </row>
    <row r="319" spans="1:13" x14ac:dyDescent="0.25">
      <c r="A319" s="4" t="s">
        <v>550</v>
      </c>
      <c r="B319" s="5" t="s">
        <v>19</v>
      </c>
      <c r="C319" s="57">
        <v>-1.2959999999999999E-2</v>
      </c>
      <c r="D319" s="5"/>
      <c r="E319" s="5"/>
      <c r="F319" s="5"/>
      <c r="G319" t="s">
        <v>1101</v>
      </c>
      <c r="H319" s="109"/>
      <c r="I319" s="109"/>
      <c r="J319" s="108"/>
      <c r="K319" s="108"/>
      <c r="L319" s="108"/>
      <c r="M319" s="110"/>
    </row>
    <row r="320" spans="1:13" x14ac:dyDescent="0.25">
      <c r="A320" s="4" t="s">
        <v>551</v>
      </c>
      <c r="B320" s="5" t="s">
        <v>19</v>
      </c>
      <c r="C320" s="57">
        <v>-1.188E-2</v>
      </c>
      <c r="D320" s="5"/>
      <c r="E320" s="5"/>
      <c r="F320" s="5"/>
      <c r="G320" t="s">
        <v>1101</v>
      </c>
      <c r="H320" s="109"/>
      <c r="I320" s="109"/>
      <c r="J320" s="108"/>
      <c r="K320" s="108"/>
      <c r="L320" s="108"/>
      <c r="M320" s="110"/>
    </row>
    <row r="321" spans="1:13" x14ac:dyDescent="0.25">
      <c r="A321" s="4" t="s">
        <v>552</v>
      </c>
      <c r="B321" s="5" t="s">
        <v>19</v>
      </c>
      <c r="C321" s="57">
        <v>-1.0800000000000001E-2</v>
      </c>
      <c r="D321" s="5"/>
      <c r="E321" s="5"/>
      <c r="F321" s="5"/>
      <c r="G321" t="s">
        <v>1101</v>
      </c>
      <c r="H321" s="109"/>
      <c r="I321" s="109"/>
      <c r="J321" s="108"/>
      <c r="K321" s="108"/>
      <c r="L321" s="108"/>
      <c r="M321" s="110"/>
    </row>
    <row r="322" spans="1:13" x14ac:dyDescent="0.25">
      <c r="A322" s="4" t="s">
        <v>553</v>
      </c>
      <c r="B322" s="5" t="s">
        <v>19</v>
      </c>
      <c r="C322" s="57">
        <v>0</v>
      </c>
      <c r="D322" s="5"/>
      <c r="E322" s="5"/>
      <c r="F322" s="5"/>
      <c r="G322" t="s">
        <v>1101</v>
      </c>
      <c r="H322" s="109"/>
      <c r="I322" s="109"/>
      <c r="J322" s="108"/>
      <c r="K322" s="108"/>
      <c r="L322" s="108"/>
      <c r="M322" s="110"/>
    </row>
    <row r="323" spans="1:13" x14ac:dyDescent="0.25">
      <c r="A323" s="4" t="s">
        <v>554</v>
      </c>
      <c r="B323" s="5" t="s">
        <v>19</v>
      </c>
      <c r="C323" s="57">
        <v>1.0800000000000001E-2</v>
      </c>
      <c r="D323" s="5"/>
      <c r="E323" s="5"/>
      <c r="F323" s="5"/>
      <c r="G323" t="s">
        <v>1101</v>
      </c>
      <c r="H323" s="109"/>
      <c r="I323" s="109"/>
      <c r="J323" s="108"/>
      <c r="K323" s="108"/>
      <c r="L323" s="108"/>
      <c r="M323" s="110"/>
    </row>
    <row r="324" spans="1:13" x14ac:dyDescent="0.25">
      <c r="A324" s="4" t="s">
        <v>555</v>
      </c>
      <c r="B324" s="5" t="s">
        <v>19</v>
      </c>
      <c r="C324" s="57">
        <v>1.188E-2</v>
      </c>
      <c r="D324" s="5"/>
      <c r="E324" s="5"/>
      <c r="F324" s="5"/>
      <c r="G324" t="s">
        <v>1101</v>
      </c>
      <c r="H324" s="109"/>
      <c r="I324" s="109"/>
      <c r="J324" s="108"/>
      <c r="K324" s="108"/>
      <c r="L324" s="108"/>
      <c r="M324" s="110"/>
    </row>
    <row r="325" spans="1:13" x14ac:dyDescent="0.25">
      <c r="A325" s="4" t="s">
        <v>556</v>
      </c>
      <c r="B325" s="5" t="s">
        <v>19</v>
      </c>
      <c r="C325" s="57">
        <v>1.2959999999999999E-2</v>
      </c>
      <c r="D325" s="5"/>
      <c r="E325" s="5"/>
      <c r="F325" s="5"/>
      <c r="G325" t="s">
        <v>1101</v>
      </c>
      <c r="H325" s="109"/>
      <c r="I325" s="109"/>
      <c r="J325" s="108"/>
      <c r="K325" s="108"/>
      <c r="L325" s="108"/>
      <c r="M325" s="110"/>
    </row>
    <row r="326" spans="1:13" x14ac:dyDescent="0.25">
      <c r="A326" s="4" t="s">
        <v>557</v>
      </c>
      <c r="B326" s="5" t="s">
        <v>19</v>
      </c>
      <c r="C326" s="57">
        <v>1.3391999999999999E-2</v>
      </c>
      <c r="D326" s="5"/>
      <c r="E326" s="5"/>
      <c r="F326" s="5"/>
      <c r="G326" t="s">
        <v>1101</v>
      </c>
      <c r="H326" s="109"/>
      <c r="I326" s="109"/>
      <c r="J326" s="108"/>
      <c r="K326" s="108"/>
      <c r="L326" s="108"/>
      <c r="M326" s="110"/>
    </row>
    <row r="327" spans="1:13" x14ac:dyDescent="0.25">
      <c r="A327" s="4" t="s">
        <v>558</v>
      </c>
      <c r="B327" s="5" t="s">
        <v>19</v>
      </c>
      <c r="C327" s="57">
        <v>1.3608E-2</v>
      </c>
      <c r="D327" s="5"/>
      <c r="E327" s="5"/>
      <c r="F327" s="5"/>
      <c r="G327" t="s">
        <v>1101</v>
      </c>
      <c r="H327" s="109"/>
      <c r="I327" s="109"/>
      <c r="J327" s="108"/>
      <c r="K327" s="108"/>
      <c r="L327" s="108"/>
      <c r="M327" s="110"/>
    </row>
    <row r="328" spans="1:13" x14ac:dyDescent="0.25">
      <c r="A328" s="4" t="s">
        <v>559</v>
      </c>
      <c r="B328" s="5" t="s">
        <v>19</v>
      </c>
      <c r="C328" s="57">
        <v>1.5098323318945299E-2</v>
      </c>
      <c r="D328" s="5"/>
      <c r="E328" s="5"/>
      <c r="F328" s="5"/>
      <c r="G328" t="s">
        <v>1101</v>
      </c>
      <c r="H328" s="109"/>
      <c r="I328" s="109"/>
      <c r="J328" s="108"/>
      <c r="K328" s="108"/>
      <c r="L328" s="108"/>
      <c r="M328" s="110"/>
    </row>
    <row r="329" spans="1:13" x14ac:dyDescent="0.25">
      <c r="A329" s="4" t="s">
        <v>560</v>
      </c>
      <c r="B329" s="5" t="s">
        <v>19</v>
      </c>
      <c r="C329" s="57">
        <v>1.62392548183867E-2</v>
      </c>
      <c r="D329" s="5"/>
      <c r="E329" s="5"/>
      <c r="F329" s="5"/>
      <c r="G329" t="s">
        <v>1101</v>
      </c>
      <c r="H329" s="109"/>
      <c r="I329" s="109"/>
      <c r="J329" s="108"/>
      <c r="K329" s="108"/>
      <c r="L329" s="108"/>
      <c r="M329" s="110"/>
    </row>
    <row r="330" spans="1:13" x14ac:dyDescent="0.25">
      <c r="A330" s="4" t="s">
        <v>561</v>
      </c>
      <c r="B330" s="5" t="s">
        <v>19</v>
      </c>
      <c r="C330" s="57">
        <v>1.68092172E-2</v>
      </c>
      <c r="D330" s="5"/>
      <c r="E330" s="5"/>
      <c r="F330" s="5"/>
      <c r="G330" t="s">
        <v>1101</v>
      </c>
      <c r="H330" s="109"/>
      <c r="I330" s="109"/>
      <c r="J330" s="108"/>
      <c r="K330" s="108"/>
      <c r="L330" s="108"/>
      <c r="M330" s="110"/>
    </row>
    <row r="331" spans="1:13" x14ac:dyDescent="0.25">
      <c r="A331" s="4" t="s">
        <v>562</v>
      </c>
      <c r="B331" s="5" t="s">
        <v>19</v>
      </c>
      <c r="C331" s="57">
        <v>1.7460871818750001E-2</v>
      </c>
      <c r="D331" s="5"/>
      <c r="E331" s="5"/>
      <c r="F331" s="5"/>
      <c r="G331" t="s">
        <v>1101</v>
      </c>
      <c r="H331" s="109"/>
      <c r="I331" s="109"/>
      <c r="J331" s="108"/>
      <c r="K331" s="108"/>
      <c r="L331" s="108"/>
      <c r="M331" s="110"/>
    </row>
    <row r="332" spans="1:13" x14ac:dyDescent="0.25">
      <c r="A332" s="4" t="s">
        <v>563</v>
      </c>
      <c r="B332" s="5" t="s">
        <v>19</v>
      </c>
      <c r="C332" s="57">
        <v>1.8251266275000001E-2</v>
      </c>
      <c r="D332" s="5"/>
      <c r="E332" s="5"/>
      <c r="F332" s="5"/>
      <c r="G332" t="s">
        <v>1101</v>
      </c>
      <c r="H332" s="109"/>
      <c r="I332" s="109"/>
      <c r="J332" s="108"/>
      <c r="K332" s="108"/>
      <c r="L332" s="108"/>
      <c r="M332" s="110"/>
    </row>
    <row r="333" spans="1:13" x14ac:dyDescent="0.25">
      <c r="A333" s="4" t="s">
        <v>564</v>
      </c>
      <c r="B333" s="5" t="s">
        <v>19</v>
      </c>
      <c r="C333" s="57">
        <v>1.9128864318750001E-2</v>
      </c>
      <c r="D333" s="5"/>
      <c r="E333" s="5"/>
      <c r="F333" s="5"/>
      <c r="G333" t="s">
        <v>1101</v>
      </c>
      <c r="H333" s="109"/>
      <c r="I333" s="109"/>
      <c r="J333" s="108"/>
      <c r="K333" s="108"/>
      <c r="L333" s="108"/>
      <c r="M333" s="110"/>
    </row>
    <row r="334" spans="1:13" x14ac:dyDescent="0.25">
      <c r="A334" s="4" t="s">
        <v>565</v>
      </c>
      <c r="B334" s="5" t="s">
        <v>19</v>
      </c>
      <c r="C334" s="57">
        <v>2.0042129700000001E-2</v>
      </c>
      <c r="D334" s="5"/>
      <c r="E334" s="5"/>
      <c r="F334" s="5"/>
      <c r="G334" t="s">
        <v>1101</v>
      </c>
      <c r="H334" s="109"/>
      <c r="I334" s="109"/>
      <c r="J334" s="108"/>
      <c r="K334" s="108"/>
      <c r="L334" s="108"/>
      <c r="M334" s="110"/>
    </row>
    <row r="335" spans="1:13" x14ac:dyDescent="0.25">
      <c r="A335" s="4" t="s">
        <v>566</v>
      </c>
      <c r="B335" s="5" t="s">
        <v>19</v>
      </c>
      <c r="C335" s="57">
        <v>2.093952616875E-2</v>
      </c>
      <c r="D335" s="5"/>
      <c r="E335" s="5"/>
      <c r="F335" s="5"/>
      <c r="G335" t="s">
        <v>1101</v>
      </c>
      <c r="H335" s="109"/>
      <c r="I335" s="109"/>
      <c r="J335" s="108"/>
      <c r="K335" s="108"/>
      <c r="L335" s="108"/>
      <c r="M335" s="110"/>
    </row>
    <row r="336" spans="1:13" x14ac:dyDescent="0.25">
      <c r="A336" s="4" t="s">
        <v>567</v>
      </c>
      <c r="B336" s="5" t="s">
        <v>19</v>
      </c>
      <c r="C336" s="57">
        <v>2.09784249210936E-2</v>
      </c>
      <c r="D336" s="5"/>
      <c r="E336" s="5"/>
      <c r="F336" s="5"/>
      <c r="G336" t="s">
        <v>1101</v>
      </c>
      <c r="H336" s="109"/>
      <c r="I336" s="109"/>
      <c r="J336" s="108"/>
      <c r="K336" s="108"/>
      <c r="L336" s="108"/>
      <c r="M336" s="110"/>
    </row>
    <row r="337" spans="1:13" x14ac:dyDescent="0.25">
      <c r="A337" s="4" t="s">
        <v>568</v>
      </c>
      <c r="B337" s="5" t="s">
        <v>19</v>
      </c>
      <c r="C337" s="57">
        <v>2.1966316954321299E-2</v>
      </c>
      <c r="D337" s="5"/>
      <c r="E337" s="5"/>
      <c r="F337" s="5"/>
      <c r="G337" t="s">
        <v>1101</v>
      </c>
      <c r="H337" s="109"/>
      <c r="I337" s="109"/>
      <c r="J337" s="108"/>
      <c r="K337" s="108"/>
      <c r="L337" s="108"/>
      <c r="M337" s="110"/>
    </row>
    <row r="338" spans="1:13" x14ac:dyDescent="0.25">
      <c r="A338" s="4" t="s">
        <v>569</v>
      </c>
      <c r="B338" s="5" t="s">
        <v>19</v>
      </c>
      <c r="C338" s="57">
        <v>2.2560098399999999E-2</v>
      </c>
      <c r="D338" s="5"/>
      <c r="E338" s="5"/>
      <c r="F338" s="5"/>
      <c r="G338" t="s">
        <v>1101</v>
      </c>
      <c r="H338" s="109"/>
      <c r="I338" s="109"/>
      <c r="J338" s="108"/>
      <c r="K338" s="108"/>
      <c r="L338" s="108"/>
      <c r="M338" s="110"/>
    </row>
    <row r="339" spans="1:13" x14ac:dyDescent="0.25">
      <c r="A339" s="4" t="s">
        <v>570</v>
      </c>
      <c r="B339" s="5" t="s">
        <v>19</v>
      </c>
      <c r="C339" s="57">
        <v>2.2895518285327002E-2</v>
      </c>
      <c r="D339" s="5"/>
      <c r="E339" s="5"/>
      <c r="F339" s="5"/>
      <c r="G339" t="s">
        <v>1101</v>
      </c>
      <c r="H339" s="109"/>
      <c r="I339" s="109"/>
      <c r="J339" s="108"/>
      <c r="K339" s="108"/>
      <c r="L339" s="108"/>
      <c r="M339" s="110"/>
    </row>
    <row r="340" spans="1:13" x14ac:dyDescent="0.25">
      <c r="A340" s="4" t="s">
        <v>571</v>
      </c>
      <c r="B340" s="5" t="s">
        <v>19</v>
      </c>
      <c r="C340" s="57">
        <v>2.3076842013281199E-2</v>
      </c>
      <c r="D340" s="5"/>
      <c r="E340" s="5"/>
      <c r="F340" s="5"/>
      <c r="G340" t="s">
        <v>1101</v>
      </c>
      <c r="H340" s="109"/>
      <c r="I340" s="109"/>
      <c r="J340" s="108"/>
      <c r="K340" s="108"/>
      <c r="L340" s="108"/>
      <c r="M340" s="110"/>
    </row>
    <row r="341" spans="1:13" x14ac:dyDescent="0.25">
      <c r="A341" s="4" t="s">
        <v>572</v>
      </c>
      <c r="B341" s="5" t="s">
        <v>19</v>
      </c>
      <c r="C341" s="57">
        <v>2.31805799729735E-2</v>
      </c>
      <c r="D341" s="5"/>
      <c r="E341" s="5"/>
      <c r="F341" s="5"/>
      <c r="G341" t="s">
        <v>1101</v>
      </c>
      <c r="H341" s="109"/>
      <c r="I341" s="109"/>
      <c r="J341" s="108"/>
      <c r="K341" s="108"/>
      <c r="L341" s="108"/>
      <c r="M341" s="110"/>
    </row>
    <row r="342" spans="1:13" x14ac:dyDescent="0.25">
      <c r="A342" s="4" t="s">
        <v>573</v>
      </c>
      <c r="B342" s="5" t="s">
        <v>19</v>
      </c>
      <c r="C342" s="57">
        <v>2.3259216149999901E-2</v>
      </c>
      <c r="D342" s="5"/>
      <c r="E342" s="5"/>
      <c r="F342" s="5"/>
      <c r="G342" t="s">
        <v>1101</v>
      </c>
      <c r="H342" s="109"/>
      <c r="I342" s="109"/>
      <c r="J342" s="108"/>
      <c r="K342" s="108"/>
      <c r="L342" s="108"/>
      <c r="M342" s="110"/>
    </row>
    <row r="343" spans="1:13" x14ac:dyDescent="0.25">
      <c r="A343" s="4" t="s">
        <v>574</v>
      </c>
      <c r="B343" s="5" t="s">
        <v>19</v>
      </c>
      <c r="C343" s="57">
        <v>2.3344936736791999E-2</v>
      </c>
      <c r="D343" s="5"/>
      <c r="E343" s="5"/>
      <c r="F343" s="5"/>
      <c r="G343" t="s">
        <v>1101</v>
      </c>
      <c r="H343" s="109"/>
      <c r="I343" s="109"/>
      <c r="J343" s="108"/>
      <c r="K343" s="108"/>
      <c r="L343" s="108"/>
      <c r="M343" s="110"/>
    </row>
    <row r="344" spans="1:13" x14ac:dyDescent="0.25">
      <c r="A344" s="4" t="s">
        <v>575</v>
      </c>
      <c r="B344" s="5" t="s">
        <v>19</v>
      </c>
      <c r="C344" s="57">
        <v>2.34533587429686E-2</v>
      </c>
      <c r="D344" s="5"/>
      <c r="E344" s="5"/>
      <c r="F344" s="5"/>
      <c r="G344" t="s">
        <v>1101</v>
      </c>
      <c r="H344" s="109"/>
      <c r="I344" s="109"/>
      <c r="J344" s="108"/>
      <c r="K344" s="108"/>
      <c r="L344" s="108"/>
      <c r="M344" s="110"/>
    </row>
    <row r="345" spans="1:13" x14ac:dyDescent="0.25">
      <c r="A345" s="4" t="s">
        <v>576</v>
      </c>
      <c r="B345" s="5" t="s">
        <v>19</v>
      </c>
      <c r="C345" s="57">
        <v>2.3587258605688499E-2</v>
      </c>
      <c r="D345" s="5"/>
      <c r="E345" s="5"/>
      <c r="F345" s="5"/>
      <c r="G345" t="s">
        <v>1101</v>
      </c>
      <c r="H345" s="109"/>
      <c r="I345" s="109"/>
      <c r="J345" s="108"/>
      <c r="K345" s="108"/>
      <c r="L345" s="108"/>
      <c r="M345" s="110"/>
    </row>
    <row r="346" spans="1:13" x14ac:dyDescent="0.25">
      <c r="A346" s="4" t="s">
        <v>577</v>
      </c>
      <c r="B346" s="5" t="s">
        <v>19</v>
      </c>
      <c r="C346" s="57">
        <v>2.3740300799999801E-2</v>
      </c>
      <c r="D346" s="5"/>
      <c r="E346" s="5"/>
      <c r="F346" s="5"/>
      <c r="G346" t="s">
        <v>1101</v>
      </c>
      <c r="H346" s="109"/>
      <c r="I346" s="109"/>
      <c r="J346" s="108"/>
      <c r="K346" s="108"/>
      <c r="L346" s="108"/>
      <c r="M346" s="110"/>
    </row>
    <row r="347" spans="1:13" x14ac:dyDescent="0.25">
      <c r="A347" s="4" t="s">
        <v>578</v>
      </c>
      <c r="B347" s="5" t="s">
        <v>19</v>
      </c>
      <c r="C347" s="57">
        <v>2.3900766449194501E-2</v>
      </c>
      <c r="D347" s="5"/>
      <c r="E347" s="5"/>
      <c r="F347" s="5"/>
      <c r="G347" t="s">
        <v>1101</v>
      </c>
      <c r="H347" s="109"/>
      <c r="I347" s="109"/>
      <c r="J347" s="108"/>
      <c r="K347" s="108"/>
      <c r="L347" s="108"/>
      <c r="M347" s="110"/>
    </row>
    <row r="348" spans="1:13" x14ac:dyDescent="0.25">
      <c r="A348" s="4" t="s">
        <v>579</v>
      </c>
      <c r="B348" s="5" t="s">
        <v>19</v>
      </c>
      <c r="C348" s="57">
        <v>2.40552819351561E-2</v>
      </c>
      <c r="D348" s="5"/>
      <c r="E348" s="5"/>
      <c r="F348" s="5"/>
      <c r="G348" t="s">
        <v>1101</v>
      </c>
      <c r="H348" s="109"/>
      <c r="I348" s="109"/>
      <c r="J348" s="108"/>
      <c r="K348" s="108"/>
      <c r="L348" s="108"/>
      <c r="M348" s="110"/>
    </row>
    <row r="349" spans="1:13" x14ac:dyDescent="0.25">
      <c r="A349" s="4" t="s">
        <v>580</v>
      </c>
      <c r="B349" s="5" t="s">
        <v>19</v>
      </c>
      <c r="C349" s="57">
        <v>2.4192547508715901E-2</v>
      </c>
      <c r="D349" s="5"/>
      <c r="E349" s="5"/>
      <c r="F349" s="5"/>
      <c r="G349" t="s">
        <v>1101</v>
      </c>
      <c r="H349" s="109"/>
      <c r="I349" s="109"/>
      <c r="J349" s="108"/>
      <c r="K349" s="108"/>
      <c r="L349" s="108"/>
      <c r="M349" s="110"/>
    </row>
    <row r="350" spans="1:13" x14ac:dyDescent="0.25">
      <c r="A350" s="4" t="s">
        <v>581</v>
      </c>
      <c r="B350" s="5" t="s">
        <v>19</v>
      </c>
      <c r="C350" s="57">
        <v>2.4307065899999401E-2</v>
      </c>
      <c r="D350" s="5"/>
      <c r="E350" s="5"/>
      <c r="F350" s="5"/>
      <c r="G350" t="s">
        <v>1101</v>
      </c>
      <c r="H350" s="109"/>
      <c r="I350" s="109"/>
      <c r="J350" s="108"/>
      <c r="K350" s="108"/>
      <c r="L350" s="108"/>
      <c r="M350" s="110"/>
    </row>
    <row r="351" spans="1:13" x14ac:dyDescent="0.25">
      <c r="A351" s="4" t="s">
        <v>582</v>
      </c>
      <c r="B351" s="5" t="s">
        <v>19</v>
      </c>
      <c r="C351" s="57">
        <v>2.4402870928783401E-2</v>
      </c>
      <c r="D351" s="5"/>
      <c r="E351" s="5"/>
      <c r="F351" s="5"/>
      <c r="G351" t="s">
        <v>1101</v>
      </c>
      <c r="H351" s="109"/>
      <c r="I351" s="109"/>
      <c r="J351" s="108"/>
      <c r="K351" s="108"/>
      <c r="L351" s="108"/>
      <c r="M351" s="110"/>
    </row>
    <row r="352" spans="1:13" x14ac:dyDescent="0.25">
      <c r="A352" s="4" t="s">
        <v>583</v>
      </c>
      <c r="B352" s="5" t="s">
        <v>19</v>
      </c>
      <c r="C352" s="57">
        <v>2.4497256114843501E-2</v>
      </c>
      <c r="D352" s="5"/>
      <c r="E352" s="5"/>
      <c r="F352" s="5"/>
      <c r="G352" t="s">
        <v>1101</v>
      </c>
      <c r="H352" s="109"/>
      <c r="I352" s="109"/>
      <c r="J352" s="108"/>
      <c r="K352" s="108"/>
      <c r="L352" s="108"/>
      <c r="M352" s="110"/>
    </row>
    <row r="353" spans="1:13" x14ac:dyDescent="0.25">
      <c r="A353" s="4" t="s">
        <v>584</v>
      </c>
      <c r="B353" s="5" t="s">
        <v>19</v>
      </c>
      <c r="C353" s="57">
        <v>2.4624503288305299E-2</v>
      </c>
      <c r="D353" s="5"/>
      <c r="E353" s="5"/>
      <c r="F353" s="5"/>
      <c r="G353" t="s">
        <v>1101</v>
      </c>
      <c r="H353" s="109"/>
      <c r="I353" s="109"/>
      <c r="J353" s="108"/>
      <c r="K353" s="108"/>
      <c r="L353" s="108"/>
      <c r="M353" s="110"/>
    </row>
    <row r="354" spans="1:13" x14ac:dyDescent="0.25">
      <c r="A354" s="4" t="s">
        <v>585</v>
      </c>
      <c r="B354" s="5" t="s">
        <v>19</v>
      </c>
      <c r="C354" s="57">
        <v>2.4839611199999799E-2</v>
      </c>
      <c r="D354" s="5"/>
      <c r="E354" s="5"/>
      <c r="F354" s="5"/>
      <c r="G354" t="s">
        <v>1101</v>
      </c>
      <c r="H354" s="109"/>
      <c r="I354" s="109"/>
      <c r="J354" s="108"/>
      <c r="K354" s="108"/>
      <c r="L354" s="108"/>
      <c r="M354" s="110"/>
    </row>
    <row r="355" spans="1:13" x14ac:dyDescent="0.25">
      <c r="A355" s="4" t="s">
        <v>586</v>
      </c>
      <c r="B355" s="5" t="s">
        <v>19</v>
      </c>
      <c r="C355" s="57">
        <v>2.4839611199999799E-2</v>
      </c>
      <c r="D355" s="5"/>
      <c r="E355" s="5"/>
      <c r="F355" s="5"/>
      <c r="G355" t="s">
        <v>1101</v>
      </c>
      <c r="H355" s="109"/>
      <c r="I355" s="109"/>
      <c r="J355" s="108"/>
      <c r="K355" s="108"/>
      <c r="L355" s="108"/>
      <c r="M355" s="110"/>
    </row>
    <row r="356" spans="1:13" x14ac:dyDescent="0.25">
      <c r="A356" s="4"/>
      <c r="B356" s="5"/>
      <c r="C356" s="6"/>
      <c r="D356" s="5"/>
      <c r="E356" s="5"/>
      <c r="F356" s="5"/>
      <c r="G356" t="s">
        <v>1101</v>
      </c>
      <c r="H356" s="108"/>
      <c r="I356" s="108"/>
      <c r="J356" s="108"/>
      <c r="K356" s="108"/>
      <c r="L356" s="108"/>
      <c r="M356" s="108"/>
    </row>
    <row r="357" spans="1:13" ht="17.25" x14ac:dyDescent="0.3">
      <c r="A357" s="111" t="s">
        <v>387</v>
      </c>
      <c r="B357" s="111"/>
      <c r="C357" s="111"/>
      <c r="D357" s="111"/>
      <c r="E357" s="111"/>
      <c r="F357" s="111"/>
      <c r="G357" t="s">
        <v>1102</v>
      </c>
      <c r="H357" s="108"/>
      <c r="I357" s="108"/>
      <c r="J357" s="108"/>
      <c r="K357" s="108"/>
      <c r="L357" s="108"/>
      <c r="M357" s="108"/>
    </row>
    <row r="358" spans="1:13" x14ac:dyDescent="0.25">
      <c r="A358" s="3" t="s">
        <v>0</v>
      </c>
      <c r="B358" s="3" t="s">
        <v>1</v>
      </c>
      <c r="C358" s="3" t="s">
        <v>2</v>
      </c>
      <c r="D358" s="3" t="s">
        <v>4</v>
      </c>
      <c r="E358" s="3" t="s">
        <v>3</v>
      </c>
      <c r="F358" s="3" t="s">
        <v>21</v>
      </c>
      <c r="G358" t="s">
        <v>1102</v>
      </c>
      <c r="H358" s="108"/>
      <c r="I358" s="108"/>
      <c r="J358" s="108"/>
      <c r="K358" s="108"/>
      <c r="L358" s="108"/>
      <c r="M358" s="108"/>
    </row>
    <row r="359" spans="1:13" x14ac:dyDescent="0.25">
      <c r="A359" s="4" t="s">
        <v>436</v>
      </c>
      <c r="B359" s="5" t="s">
        <v>205</v>
      </c>
      <c r="C359" s="36">
        <f>OBSERVER_TS</f>
        <v>1.25E-4</v>
      </c>
      <c r="D359" s="5"/>
      <c r="E359" s="5"/>
      <c r="F359" s="5"/>
      <c r="G359" t="s">
        <v>1102</v>
      </c>
      <c r="H359" s="108"/>
      <c r="I359" s="108"/>
      <c r="J359" s="108"/>
      <c r="K359" s="108"/>
      <c r="L359" s="108"/>
      <c r="M359" s="108"/>
    </row>
    <row r="360" spans="1:13" x14ac:dyDescent="0.25">
      <c r="A360" s="4" t="s">
        <v>388</v>
      </c>
      <c r="B360" s="5" t="s">
        <v>205</v>
      </c>
      <c r="C360" s="8">
        <v>1</v>
      </c>
      <c r="D360" s="5"/>
      <c r="E360" s="5"/>
      <c r="F360" s="5"/>
      <c r="G360" t="s">
        <v>1102</v>
      </c>
      <c r="H360" s="108"/>
      <c r="I360" s="108"/>
      <c r="J360" s="108"/>
      <c r="K360" s="108"/>
      <c r="L360" s="108"/>
      <c r="M360" s="108"/>
    </row>
    <row r="361" spans="1:13" x14ac:dyDescent="0.25">
      <c r="A361" s="4" t="s">
        <v>389</v>
      </c>
      <c r="B361" s="5" t="s">
        <v>199</v>
      </c>
      <c r="C361" s="8">
        <v>0.75</v>
      </c>
      <c r="D361" s="5"/>
      <c r="E361" s="5"/>
      <c r="F361" s="5"/>
      <c r="G361" t="s">
        <v>1102</v>
      </c>
      <c r="H361" s="108"/>
      <c r="I361" s="108"/>
      <c r="J361" s="108"/>
      <c r="K361" s="108"/>
      <c r="L361" s="108"/>
      <c r="M361" s="108"/>
    </row>
    <row r="362" spans="1:13" x14ac:dyDescent="0.25">
      <c r="A362" s="4" t="s">
        <v>390</v>
      </c>
      <c r="B362" s="5" t="s">
        <v>19</v>
      </c>
      <c r="C362" s="8">
        <v>112</v>
      </c>
      <c r="D362" s="5"/>
      <c r="E362" s="5"/>
      <c r="F362" s="5"/>
      <c r="G362" t="s">
        <v>1102</v>
      </c>
      <c r="H362" s="108"/>
      <c r="I362" s="108"/>
      <c r="J362" s="108"/>
      <c r="K362" s="108"/>
      <c r="L362" s="108"/>
      <c r="M362" s="108"/>
    </row>
    <row r="363" spans="1:13" x14ac:dyDescent="0.25">
      <c r="A363" s="4" t="s">
        <v>391</v>
      </c>
      <c r="B363" s="5" t="s">
        <v>201</v>
      </c>
      <c r="C363" s="37">
        <f>2*BASE_FLUX/32768</f>
        <v>1.7059326171875002E-5</v>
      </c>
      <c r="D363" s="5"/>
      <c r="E363" s="5"/>
      <c r="F363" s="5"/>
      <c r="G363" t="s">
        <v>1102</v>
      </c>
      <c r="H363" s="108"/>
      <c r="I363" s="108"/>
      <c r="J363" s="108"/>
      <c r="K363" s="108"/>
      <c r="L363" s="108"/>
      <c r="M363" s="108"/>
    </row>
    <row r="364" spans="1:13" x14ac:dyDescent="0.25">
      <c r="A364" s="4"/>
      <c r="B364" s="5"/>
      <c r="C364" s="6"/>
      <c r="D364" s="5"/>
      <c r="E364" s="5"/>
      <c r="F364" s="5"/>
      <c r="G364" t="s">
        <v>1102</v>
      </c>
    </row>
    <row r="365" spans="1:13" ht="17.25" x14ac:dyDescent="0.3">
      <c r="A365" s="111" t="s">
        <v>392</v>
      </c>
      <c r="B365" s="111"/>
      <c r="C365" s="111"/>
      <c r="D365" s="111"/>
      <c r="E365" s="111"/>
      <c r="F365" s="111"/>
      <c r="G365" t="s">
        <v>1102</v>
      </c>
    </row>
    <row r="366" spans="1:13" x14ac:dyDescent="0.25">
      <c r="A366" s="3" t="s">
        <v>0</v>
      </c>
      <c r="B366" s="3" t="s">
        <v>1</v>
      </c>
      <c r="C366" s="3" t="s">
        <v>2</v>
      </c>
      <c r="D366" s="3" t="s">
        <v>4</v>
      </c>
      <c r="E366" s="3" t="s">
        <v>3</v>
      </c>
      <c r="F366" s="3" t="s">
        <v>21</v>
      </c>
      <c r="G366" t="s">
        <v>1102</v>
      </c>
    </row>
    <row r="367" spans="1:13" x14ac:dyDescent="0.25">
      <c r="A367" s="4" t="s">
        <v>393</v>
      </c>
      <c r="B367" s="5" t="s">
        <v>200</v>
      </c>
      <c r="C367" s="53">
        <f>20*11.4</f>
        <v>228</v>
      </c>
      <c r="D367" s="5"/>
      <c r="E367" s="5"/>
      <c r="F367" s="5"/>
      <c r="G367" t="s">
        <v>1102</v>
      </c>
    </row>
    <row r="368" spans="1:13" x14ac:dyDescent="0.25">
      <c r="A368" s="4" t="s">
        <v>394</v>
      </c>
      <c r="B368" s="5" t="s">
        <v>200</v>
      </c>
      <c r="C368" s="8">
        <f>60*11.4</f>
        <v>684</v>
      </c>
      <c r="D368" s="5"/>
      <c r="E368" s="5"/>
      <c r="F368" s="5"/>
      <c r="G368" t="s">
        <v>1102</v>
      </c>
    </row>
    <row r="369" spans="1:7" x14ac:dyDescent="0.25">
      <c r="A369" s="4" t="s">
        <v>395</v>
      </c>
      <c r="B369" s="5" t="s">
        <v>69</v>
      </c>
      <c r="C369" s="6">
        <v>5</v>
      </c>
      <c r="D369" s="5">
        <v>0</v>
      </c>
      <c r="E369" s="91">
        <v>65535</v>
      </c>
      <c r="F369" s="5"/>
      <c r="G369" t="s">
        <v>1102</v>
      </c>
    </row>
    <row r="370" spans="1:7" x14ac:dyDescent="0.25">
      <c r="A370" s="4" t="s">
        <v>396</v>
      </c>
      <c r="B370" s="5" t="s">
        <v>205</v>
      </c>
      <c r="C370" s="8">
        <v>1.8</v>
      </c>
      <c r="D370" s="5">
        <v>0</v>
      </c>
      <c r="E370" s="5">
        <v>1638</v>
      </c>
      <c r="F370" s="5"/>
      <c r="G370" t="s">
        <v>1102</v>
      </c>
    </row>
    <row r="371" spans="1:7" s="60" customFormat="1" x14ac:dyDescent="0.25">
      <c r="A371" s="62" t="s">
        <v>3116</v>
      </c>
      <c r="B371" s="63" t="s">
        <v>205</v>
      </c>
      <c r="C371" s="64">
        <v>4</v>
      </c>
      <c r="D371" s="63"/>
      <c r="E371" s="63"/>
      <c r="F371" s="63"/>
    </row>
    <row r="372" spans="1:7" s="60" customFormat="1" x14ac:dyDescent="0.25">
      <c r="A372" s="62" t="s">
        <v>1120</v>
      </c>
      <c r="B372" s="63" t="s">
        <v>205</v>
      </c>
      <c r="C372" s="64">
        <v>3</v>
      </c>
      <c r="D372" s="63"/>
      <c r="E372" s="63"/>
      <c r="F372" s="63"/>
    </row>
    <row r="373" spans="1:7" s="60" customFormat="1" x14ac:dyDescent="0.25">
      <c r="A373" s="62" t="s">
        <v>1121</v>
      </c>
      <c r="B373" s="63" t="s">
        <v>205</v>
      </c>
      <c r="C373" s="64">
        <v>10</v>
      </c>
      <c r="D373" s="63"/>
      <c r="E373" s="63"/>
      <c r="F373" s="63"/>
    </row>
    <row r="374" spans="1:7" s="103" customFormat="1" x14ac:dyDescent="0.25">
      <c r="A374" s="90" t="s">
        <v>3115</v>
      </c>
      <c r="B374" s="91" t="s">
        <v>199</v>
      </c>
      <c r="C374" s="107">
        <v>5.83</v>
      </c>
      <c r="D374" s="91"/>
      <c r="E374" s="91"/>
      <c r="F374" s="91"/>
    </row>
    <row r="375" spans="1:7" x14ac:dyDescent="0.25">
      <c r="A375" s="4"/>
      <c r="B375" s="5"/>
      <c r="C375" s="6"/>
      <c r="D375" s="5"/>
      <c r="E375" s="5"/>
      <c r="F375" s="5"/>
      <c r="G375" t="s">
        <v>1102</v>
      </c>
    </row>
    <row r="376" spans="1:7" ht="17.25" x14ac:dyDescent="0.3">
      <c r="A376" s="111" t="s">
        <v>397</v>
      </c>
      <c r="B376" s="111"/>
      <c r="C376" s="111"/>
      <c r="D376" s="111"/>
      <c r="E376" s="111"/>
      <c r="F376" s="111"/>
      <c r="G376" t="s">
        <v>1102</v>
      </c>
    </row>
    <row r="377" spans="1:7" x14ac:dyDescent="0.25">
      <c r="A377" s="3" t="s">
        <v>0</v>
      </c>
      <c r="B377" s="3" t="s">
        <v>1</v>
      </c>
      <c r="C377" s="3" t="s">
        <v>2</v>
      </c>
      <c r="D377" s="3" t="s">
        <v>4</v>
      </c>
      <c r="E377" s="3" t="s">
        <v>3</v>
      </c>
      <c r="F377" s="3" t="s">
        <v>21</v>
      </c>
      <c r="G377" t="s">
        <v>1102</v>
      </c>
    </row>
    <row r="378" spans="1:7" x14ac:dyDescent="0.25">
      <c r="A378" s="4" t="s">
        <v>593</v>
      </c>
      <c r="B378" s="5" t="s">
        <v>381</v>
      </c>
      <c r="C378" s="92">
        <f>200*BASE_VOLTAGE/BASE_CURRENT</f>
        <v>6228.7104622871038</v>
      </c>
      <c r="D378" s="5"/>
      <c r="E378" s="5"/>
      <c r="F378" s="5"/>
      <c r="G378" t="s">
        <v>1102</v>
      </c>
    </row>
    <row r="379" spans="1:7" x14ac:dyDescent="0.25">
      <c r="A379" s="4" t="s">
        <v>594</v>
      </c>
      <c r="B379" s="5" t="s">
        <v>398</v>
      </c>
      <c r="C379" s="35">
        <f>10*BASE_VOLTAGE/BASE_CURRENT*DQ_CURRENT_CONTROL_TS</f>
        <v>3.8929440389294398E-2</v>
      </c>
      <c r="D379" s="5"/>
      <c r="E379" s="5"/>
      <c r="F379" s="5"/>
      <c r="G379" t="s">
        <v>1102</v>
      </c>
    </row>
    <row r="380" spans="1:7" x14ac:dyDescent="0.25">
      <c r="A380" s="4" t="s">
        <v>595</v>
      </c>
      <c r="B380" s="5" t="s">
        <v>381</v>
      </c>
      <c r="C380" s="6">
        <f>D_CURR_CONTROL_KP</f>
        <v>6228.7104622871038</v>
      </c>
      <c r="D380" s="5"/>
      <c r="E380" s="5"/>
      <c r="F380" s="5"/>
      <c r="G380" t="s">
        <v>1102</v>
      </c>
    </row>
    <row r="381" spans="1:7" x14ac:dyDescent="0.25">
      <c r="A381" s="4" t="s">
        <v>596</v>
      </c>
      <c r="B381" s="5" t="s">
        <v>398</v>
      </c>
      <c r="C381" s="35">
        <f>D_CURR_CONTROL_KI</f>
        <v>3.8929440389294398E-2</v>
      </c>
      <c r="D381" s="5"/>
      <c r="E381" s="5"/>
      <c r="F381" s="5"/>
      <c r="G381" t="s">
        <v>1102</v>
      </c>
    </row>
    <row r="382" spans="1:7" x14ac:dyDescent="0.25">
      <c r="A382" s="4" t="s">
        <v>603</v>
      </c>
      <c r="B382" s="5" t="s">
        <v>205</v>
      </c>
      <c r="C382" s="39">
        <f>OBSERVER_TS</f>
        <v>1.25E-4</v>
      </c>
      <c r="D382" s="5"/>
      <c r="E382" s="5"/>
      <c r="F382" s="5"/>
      <c r="G382" t="s">
        <v>1102</v>
      </c>
    </row>
    <row r="383" spans="1:7" x14ac:dyDescent="0.25">
      <c r="A383" s="4"/>
      <c r="B383" s="5"/>
      <c r="C383" s="6"/>
      <c r="D383" s="5"/>
      <c r="E383" s="5"/>
      <c r="F383" s="5"/>
      <c r="G383" t="s">
        <v>1102</v>
      </c>
    </row>
    <row r="384" spans="1:7" ht="17.25" x14ac:dyDescent="0.3">
      <c r="A384" s="111" t="s">
        <v>399</v>
      </c>
      <c r="B384" s="111"/>
      <c r="C384" s="111"/>
      <c r="D384" s="111"/>
      <c r="E384" s="111"/>
      <c r="F384" s="111"/>
      <c r="G384" t="s">
        <v>1102</v>
      </c>
    </row>
    <row r="385" spans="1:7" x14ac:dyDescent="0.25">
      <c r="A385" s="3" t="s">
        <v>0</v>
      </c>
      <c r="B385" s="3" t="s">
        <v>1</v>
      </c>
      <c r="C385" s="3" t="s">
        <v>2</v>
      </c>
      <c r="D385" s="3" t="s">
        <v>4</v>
      </c>
      <c r="E385" s="3" t="s">
        <v>3</v>
      </c>
      <c r="F385" s="3" t="s">
        <v>21</v>
      </c>
      <c r="G385" t="s">
        <v>1103</v>
      </c>
    </row>
    <row r="386" spans="1:7" x14ac:dyDescent="0.25">
      <c r="A386" s="4" t="s">
        <v>400</v>
      </c>
      <c r="B386" s="5" t="s">
        <v>205</v>
      </c>
      <c r="C386" s="34">
        <v>2.5</v>
      </c>
      <c r="D386" s="5"/>
      <c r="E386" s="5"/>
      <c r="F386" s="5"/>
      <c r="G386" t="s">
        <v>1103</v>
      </c>
    </row>
    <row r="387" spans="1:7" x14ac:dyDescent="0.25">
      <c r="A387" s="4" t="s">
        <v>401</v>
      </c>
      <c r="B387" s="5" t="s">
        <v>199</v>
      </c>
      <c r="C387" s="34">
        <v>4</v>
      </c>
      <c r="D387" s="5"/>
      <c r="E387" s="5"/>
      <c r="F387" s="5"/>
      <c r="G387" t="s">
        <v>1103</v>
      </c>
    </row>
    <row r="388" spans="1:7" x14ac:dyDescent="0.25">
      <c r="A388" s="4" t="s">
        <v>402</v>
      </c>
      <c r="B388" s="5" t="s">
        <v>199</v>
      </c>
      <c r="C388" s="34">
        <v>5</v>
      </c>
      <c r="D388" s="5"/>
      <c r="E388" s="5"/>
      <c r="F388" s="5"/>
      <c r="G388" t="s">
        <v>1103</v>
      </c>
    </row>
    <row r="389" spans="1:7" x14ac:dyDescent="0.25">
      <c r="A389" s="4" t="s">
        <v>403</v>
      </c>
      <c r="B389" s="5" t="s">
        <v>199</v>
      </c>
      <c r="C389" s="34">
        <v>1</v>
      </c>
      <c r="D389" s="5"/>
      <c r="E389" s="5"/>
      <c r="F389" s="5"/>
      <c r="G389" t="s">
        <v>1103</v>
      </c>
    </row>
    <row r="390" spans="1:7" x14ac:dyDescent="0.25">
      <c r="A390" s="4" t="s">
        <v>404</v>
      </c>
      <c r="B390" s="5" t="s">
        <v>205</v>
      </c>
      <c r="C390" s="34">
        <v>0.6</v>
      </c>
      <c r="D390" s="5"/>
      <c r="E390" s="5"/>
      <c r="F390" s="5"/>
      <c r="G390" t="s">
        <v>1103</v>
      </c>
    </row>
    <row r="391" spans="1:7" x14ac:dyDescent="0.25">
      <c r="A391" s="4" t="s">
        <v>405</v>
      </c>
      <c r="B391" s="5" t="s">
        <v>205</v>
      </c>
      <c r="C391" s="38">
        <v>0.6</v>
      </c>
      <c r="D391" s="5"/>
      <c r="E391" s="5"/>
      <c r="F391" s="5"/>
      <c r="G391" t="s">
        <v>1103</v>
      </c>
    </row>
    <row r="392" spans="1:7" x14ac:dyDescent="0.25">
      <c r="A392" s="4" t="s">
        <v>406</v>
      </c>
      <c r="B392" s="5" t="s">
        <v>205</v>
      </c>
      <c r="C392" s="34">
        <v>0.4</v>
      </c>
      <c r="D392" s="5"/>
      <c r="E392" s="5"/>
      <c r="F392" s="5"/>
      <c r="G392" t="s">
        <v>1103</v>
      </c>
    </row>
    <row r="393" spans="1:7" x14ac:dyDescent="0.25">
      <c r="A393" s="4" t="s">
        <v>407</v>
      </c>
      <c r="B393" s="5" t="s">
        <v>218</v>
      </c>
      <c r="C393" s="34">
        <v>7.8125E-2</v>
      </c>
      <c r="D393" s="5"/>
      <c r="E393" s="5"/>
      <c r="F393" s="5"/>
      <c r="G393" t="s">
        <v>1103</v>
      </c>
    </row>
    <row r="394" spans="1:7" x14ac:dyDescent="0.25">
      <c r="A394" s="4" t="s">
        <v>408</v>
      </c>
      <c r="B394" s="5" t="s">
        <v>218</v>
      </c>
      <c r="C394" s="34">
        <v>7.8125E-2</v>
      </c>
      <c r="D394" s="5"/>
      <c r="E394" s="5"/>
      <c r="F394" s="5"/>
      <c r="G394" t="s">
        <v>1103</v>
      </c>
    </row>
    <row r="395" spans="1:7" x14ac:dyDescent="0.25">
      <c r="A395" s="4" t="s">
        <v>409</v>
      </c>
      <c r="B395" s="5" t="s">
        <v>218</v>
      </c>
      <c r="C395" s="34">
        <v>7.8125E-2</v>
      </c>
      <c r="D395" s="5"/>
      <c r="E395" s="5"/>
      <c r="F395" s="5"/>
      <c r="G395" t="s">
        <v>1103</v>
      </c>
    </row>
    <row r="396" spans="1:7" x14ac:dyDescent="0.25">
      <c r="A396" s="4" t="s">
        <v>410</v>
      </c>
      <c r="B396" s="5" t="s">
        <v>205</v>
      </c>
      <c r="C396" s="34">
        <v>0.1</v>
      </c>
      <c r="D396" s="5"/>
      <c r="E396" s="5"/>
      <c r="F396" s="5"/>
      <c r="G396" t="s">
        <v>1103</v>
      </c>
    </row>
    <row r="397" spans="1:7" x14ac:dyDescent="0.25">
      <c r="A397" s="4" t="s">
        <v>411</v>
      </c>
      <c r="B397" s="5" t="s">
        <v>69</v>
      </c>
      <c r="C397" s="6">
        <v>300</v>
      </c>
      <c r="D397" s="5"/>
      <c r="E397" s="5"/>
      <c r="F397" s="5"/>
      <c r="G397" t="s">
        <v>1103</v>
      </c>
    </row>
    <row r="398" spans="1:7" x14ac:dyDescent="0.25">
      <c r="A398" s="4" t="s">
        <v>412</v>
      </c>
      <c r="B398" s="5" t="s">
        <v>198</v>
      </c>
      <c r="C398" s="34">
        <f>STATOR_RESISTANCE</f>
        <v>2.8</v>
      </c>
      <c r="D398" s="5"/>
      <c r="E398" s="5"/>
      <c r="F398" s="5"/>
      <c r="G398" t="s">
        <v>1103</v>
      </c>
    </row>
    <row r="399" spans="1:7" x14ac:dyDescent="0.25">
      <c r="A399" s="4" t="s">
        <v>413</v>
      </c>
      <c r="B399" s="5" t="s">
        <v>205</v>
      </c>
      <c r="C399" s="34">
        <v>3</v>
      </c>
      <c r="D399" s="5"/>
      <c r="E399" s="5"/>
      <c r="F399" s="5"/>
      <c r="G399" t="s">
        <v>1103</v>
      </c>
    </row>
    <row r="400" spans="1:7" x14ac:dyDescent="0.25">
      <c r="A400" s="4" t="s">
        <v>414</v>
      </c>
      <c r="B400" s="5" t="s">
        <v>205</v>
      </c>
      <c r="C400" s="34">
        <v>3.5</v>
      </c>
      <c r="D400" s="5"/>
      <c r="E400" s="5"/>
      <c r="F400" s="5"/>
      <c r="G400" t="s">
        <v>1103</v>
      </c>
    </row>
    <row r="401" spans="1:7" x14ac:dyDescent="0.25">
      <c r="A401" s="4" t="s">
        <v>415</v>
      </c>
      <c r="B401" s="5" t="s">
        <v>200</v>
      </c>
      <c r="C401" s="34">
        <v>0.3</v>
      </c>
      <c r="D401" s="5"/>
      <c r="E401" s="5"/>
      <c r="F401" s="5"/>
      <c r="G401" t="s">
        <v>1103</v>
      </c>
    </row>
    <row r="402" spans="1:7" x14ac:dyDescent="0.25">
      <c r="A402" s="4" t="s">
        <v>441</v>
      </c>
      <c r="B402" s="5" t="s">
        <v>205</v>
      </c>
      <c r="C402" s="34">
        <v>4</v>
      </c>
      <c r="D402" s="5"/>
      <c r="E402" s="5"/>
      <c r="F402" s="5"/>
      <c r="G402" t="s">
        <v>1103</v>
      </c>
    </row>
    <row r="403" spans="1:7" x14ac:dyDescent="0.25">
      <c r="A403" s="4" t="s">
        <v>442</v>
      </c>
      <c r="B403" s="5" t="s">
        <v>205</v>
      </c>
      <c r="C403" s="34">
        <f>1/1000</f>
        <v>1E-3</v>
      </c>
      <c r="D403" s="5"/>
      <c r="E403" s="5"/>
      <c r="F403" s="5"/>
      <c r="G403" t="s">
        <v>1103</v>
      </c>
    </row>
    <row r="404" spans="1:7" x14ac:dyDescent="0.25">
      <c r="A404" s="4" t="s">
        <v>443</v>
      </c>
      <c r="B404" s="5" t="s">
        <v>205</v>
      </c>
      <c r="C404" s="35">
        <f>OBSERVER_TS</f>
        <v>1.25E-4</v>
      </c>
      <c r="D404" s="5"/>
      <c r="E404" s="5"/>
      <c r="F404" s="5"/>
      <c r="G404" t="s">
        <v>1103</v>
      </c>
    </row>
    <row r="405" spans="1:7" x14ac:dyDescent="0.25">
      <c r="A405" s="4"/>
      <c r="B405" s="5"/>
      <c r="C405" s="8"/>
      <c r="D405" s="5"/>
      <c r="E405" s="5"/>
      <c r="F405" s="5"/>
      <c r="G405" t="s">
        <v>1103</v>
      </c>
    </row>
    <row r="406" spans="1:7" x14ac:dyDescent="0.25">
      <c r="A406" s="4" t="s">
        <v>587</v>
      </c>
      <c r="B406" s="5" t="s">
        <v>200</v>
      </c>
      <c r="C406" s="8">
        <f>150*11.4</f>
        <v>1710</v>
      </c>
      <c r="D406" s="5"/>
      <c r="E406" s="5"/>
      <c r="F406" s="5"/>
      <c r="G406" t="s">
        <v>1103</v>
      </c>
    </row>
    <row r="407" spans="1:7" x14ac:dyDescent="0.25">
      <c r="A407" s="4" t="s">
        <v>588</v>
      </c>
      <c r="B407" s="5" t="s">
        <v>590</v>
      </c>
      <c r="C407" s="8">
        <v>1</v>
      </c>
      <c r="D407" s="5"/>
      <c r="E407" s="5"/>
      <c r="F407" s="5"/>
      <c r="G407" t="s">
        <v>1103</v>
      </c>
    </row>
    <row r="408" spans="1:7" x14ac:dyDescent="0.25">
      <c r="A408" s="4" t="s">
        <v>589</v>
      </c>
      <c r="B408" s="5" t="s">
        <v>69</v>
      </c>
      <c r="C408" s="8">
        <v>3</v>
      </c>
      <c r="D408" s="5"/>
      <c r="E408" s="5"/>
      <c r="F408" s="5"/>
      <c r="G408" t="s">
        <v>1103</v>
      </c>
    </row>
    <row r="409" spans="1:7" x14ac:dyDescent="0.25">
      <c r="A409" s="4" t="s">
        <v>591</v>
      </c>
      <c r="B409" s="5" t="s">
        <v>590</v>
      </c>
      <c r="C409" s="8">
        <v>5</v>
      </c>
      <c r="D409" s="5"/>
      <c r="E409" s="5"/>
      <c r="F409" s="5"/>
      <c r="G409" t="s">
        <v>1103</v>
      </c>
    </row>
    <row r="410" spans="1:7" x14ac:dyDescent="0.25">
      <c r="A410" s="4" t="s">
        <v>592</v>
      </c>
      <c r="B410" s="5" t="s">
        <v>69</v>
      </c>
      <c r="C410" s="102">
        <v>3</v>
      </c>
      <c r="D410" s="5"/>
      <c r="E410" s="5"/>
      <c r="F410" s="5"/>
      <c r="G410" t="s">
        <v>1103</v>
      </c>
    </row>
    <row r="411" spans="1:7" x14ac:dyDescent="0.25">
      <c r="A411" s="4"/>
      <c r="B411" s="5"/>
      <c r="C411" s="8"/>
      <c r="D411" s="5"/>
      <c r="E411" s="5"/>
      <c r="F411" s="5"/>
      <c r="G411" t="s">
        <v>1103</v>
      </c>
    </row>
    <row r="412" spans="1:7" x14ac:dyDescent="0.25">
      <c r="A412" s="4" t="s">
        <v>444</v>
      </c>
      <c r="B412" s="5" t="s">
        <v>198</v>
      </c>
      <c r="C412" s="8">
        <f>2.8</f>
        <v>2.8</v>
      </c>
      <c r="D412" s="5"/>
      <c r="E412" s="5"/>
      <c r="F412" s="5"/>
      <c r="G412" t="s">
        <v>1103</v>
      </c>
    </row>
    <row r="413" spans="1:7" x14ac:dyDescent="0.25">
      <c r="A413" s="4" t="s">
        <v>416</v>
      </c>
      <c r="B413" s="5" t="s">
        <v>417</v>
      </c>
      <c r="C413" s="8">
        <v>232.1</v>
      </c>
      <c r="D413" s="5"/>
      <c r="E413" s="5"/>
      <c r="F413" s="5"/>
      <c r="G413" t="s">
        <v>1103</v>
      </c>
    </row>
    <row r="414" spans="1:7" x14ac:dyDescent="0.25">
      <c r="A414" s="4" t="s">
        <v>419</v>
      </c>
      <c r="B414" s="5" t="s">
        <v>417</v>
      </c>
      <c r="C414" s="8">
        <v>25</v>
      </c>
      <c r="D414" s="5"/>
      <c r="E414" s="5"/>
      <c r="F414" s="5"/>
      <c r="G414" t="s">
        <v>1103</v>
      </c>
    </row>
    <row r="415" spans="1:7" x14ac:dyDescent="0.25">
      <c r="A415" s="4" t="s">
        <v>418</v>
      </c>
      <c r="B415" s="5" t="s">
        <v>420</v>
      </c>
      <c r="C415" s="8">
        <v>250</v>
      </c>
      <c r="D415" s="5"/>
      <c r="E415" s="5"/>
      <c r="F415" s="5"/>
      <c r="G415" t="s">
        <v>1103</v>
      </c>
    </row>
    <row r="416" spans="1:7" s="72" customFormat="1" x14ac:dyDescent="0.25">
      <c r="A416" s="62" t="s">
        <v>1132</v>
      </c>
      <c r="B416" s="63" t="s">
        <v>69</v>
      </c>
      <c r="C416" s="6">
        <v>10</v>
      </c>
      <c r="D416" s="63"/>
      <c r="E416" s="63"/>
      <c r="F416" s="63"/>
      <c r="G416" s="72" t="s">
        <v>1103</v>
      </c>
    </row>
    <row r="417" spans="1:6" x14ac:dyDescent="0.25">
      <c r="A417" s="4"/>
      <c r="B417" s="5"/>
      <c r="C417" s="8"/>
      <c r="D417" s="5"/>
      <c r="E417" s="5"/>
      <c r="F417" s="5"/>
    </row>
    <row r="418" spans="1:6" ht="17.25" x14ac:dyDescent="0.3">
      <c r="A418" s="111" t="s">
        <v>1123</v>
      </c>
      <c r="B418" s="111"/>
      <c r="C418" s="111"/>
      <c r="D418" s="111"/>
      <c r="E418" s="111"/>
      <c r="F418" s="111"/>
    </row>
    <row r="419" spans="1:6" x14ac:dyDescent="0.25">
      <c r="A419" s="3" t="s">
        <v>0</v>
      </c>
      <c r="B419" s="3" t="s">
        <v>1</v>
      </c>
      <c r="C419" s="3" t="s">
        <v>2</v>
      </c>
      <c r="D419" s="3" t="s">
        <v>4</v>
      </c>
      <c r="E419" s="3" t="s">
        <v>3</v>
      </c>
      <c r="F419" s="3" t="s">
        <v>21</v>
      </c>
    </row>
    <row r="420" spans="1:6" x14ac:dyDescent="0.25">
      <c r="A420" s="62" t="s">
        <v>1124</v>
      </c>
      <c r="B420" s="63" t="s">
        <v>1126</v>
      </c>
      <c r="C420" s="64">
        <v>75</v>
      </c>
      <c r="D420" s="5"/>
      <c r="E420" s="5"/>
      <c r="F420" s="5"/>
    </row>
    <row r="421" spans="1:6" x14ac:dyDescent="0.25">
      <c r="A421" s="62" t="s">
        <v>1125</v>
      </c>
      <c r="B421" s="63" t="s">
        <v>200</v>
      </c>
      <c r="C421" s="6">
        <v>15</v>
      </c>
      <c r="D421" s="5"/>
      <c r="E421" s="5"/>
      <c r="F421" s="5"/>
    </row>
    <row r="422" spans="1:6" x14ac:dyDescent="0.25">
      <c r="A422" s="4"/>
      <c r="B422" s="5"/>
      <c r="C422" s="6"/>
      <c r="D422" s="5"/>
      <c r="E422" s="5"/>
      <c r="F422" s="5"/>
    </row>
    <row r="423" spans="1:6" x14ac:dyDescent="0.25">
      <c r="A423" s="78"/>
      <c r="B423" s="78"/>
      <c r="C423" s="78"/>
      <c r="D423" s="78"/>
      <c r="E423" s="78"/>
      <c r="F423" s="78"/>
    </row>
  </sheetData>
  <mergeCells count="16">
    <mergeCell ref="A365:F365"/>
    <mergeCell ref="A376:F376"/>
    <mergeCell ref="A384:F384"/>
    <mergeCell ref="A418:F418"/>
    <mergeCell ref="A217:F217"/>
    <mergeCell ref="A357:F357"/>
    <mergeCell ref="A1:F1"/>
    <mergeCell ref="A42:F42"/>
    <mergeCell ref="A141:F141"/>
    <mergeCell ref="A172:F172"/>
    <mergeCell ref="A192:F192"/>
    <mergeCell ref="A6:F6"/>
    <mergeCell ref="A16:F16"/>
    <mergeCell ref="A24:F24"/>
    <mergeCell ref="A26:F26"/>
    <mergeCell ref="A32:F3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52"/>
  <sheetViews>
    <sheetView topLeftCell="A487" zoomScaleNormal="100" workbookViewId="0">
      <selection activeCell="I493" sqref="I493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111" t="s">
        <v>1167</v>
      </c>
      <c r="B1" s="111"/>
      <c r="C1" s="111"/>
      <c r="D1" s="111"/>
      <c r="E1" s="111"/>
      <c r="F1" s="111"/>
    </row>
    <row r="2" spans="1:6" x14ac:dyDescent="0.25">
      <c r="A2" s="76" t="s">
        <v>0</v>
      </c>
      <c r="B2" s="76" t="s">
        <v>1</v>
      </c>
      <c r="C2" s="76" t="s">
        <v>2</v>
      </c>
      <c r="D2" s="76" t="s">
        <v>4</v>
      </c>
      <c r="E2" s="76" t="s">
        <v>3</v>
      </c>
      <c r="F2" s="76" t="s">
        <v>21</v>
      </c>
    </row>
    <row r="3" spans="1:6" s="103" customFormat="1" x14ac:dyDescent="0.25">
      <c r="A3" s="90" t="s">
        <v>3142</v>
      </c>
      <c r="B3" s="91"/>
      <c r="C3" s="92">
        <v>25</v>
      </c>
      <c r="D3" s="78"/>
      <c r="E3" s="78"/>
      <c r="F3" s="78">
        <v>0</v>
      </c>
    </row>
    <row r="4" spans="1:6" x14ac:dyDescent="0.25">
      <c r="A4" s="90" t="s">
        <v>1168</v>
      </c>
      <c r="B4" s="91" t="s">
        <v>215</v>
      </c>
      <c r="C4" s="107">
        <v>8.4136962890625001E-4</v>
      </c>
      <c r="D4" s="78"/>
      <c r="E4" s="78"/>
      <c r="F4" s="78"/>
    </row>
    <row r="5" spans="1:6" x14ac:dyDescent="0.25">
      <c r="A5" s="90" t="s">
        <v>1169</v>
      </c>
      <c r="B5" s="91" t="s">
        <v>215</v>
      </c>
      <c r="C5" s="107">
        <v>0.14639831542968701</v>
      </c>
      <c r="D5" s="78"/>
      <c r="E5" s="78"/>
      <c r="F5" s="78"/>
    </row>
    <row r="6" spans="1:6" x14ac:dyDescent="0.25">
      <c r="A6" s="90" t="s">
        <v>1170</v>
      </c>
      <c r="B6" s="91" t="s">
        <v>215</v>
      </c>
      <c r="C6" s="107">
        <v>0.291955261230468</v>
      </c>
      <c r="D6" s="78"/>
      <c r="E6" s="78"/>
      <c r="F6" s="78"/>
    </row>
    <row r="7" spans="1:6" x14ac:dyDescent="0.25">
      <c r="A7" s="90" t="s">
        <v>1171</v>
      </c>
      <c r="B7" s="91" t="s">
        <v>215</v>
      </c>
      <c r="C7" s="107">
        <v>0.43751220703124999</v>
      </c>
      <c r="D7" s="78"/>
      <c r="E7" s="78"/>
      <c r="F7" s="78"/>
    </row>
    <row r="8" spans="1:6" x14ac:dyDescent="0.25">
      <c r="A8" s="90" t="s">
        <v>1172</v>
      </c>
      <c r="B8" s="91" t="s">
        <v>215</v>
      </c>
      <c r="C8" s="107">
        <v>0.58306915283203098</v>
      </c>
      <c r="D8" s="78"/>
      <c r="E8" s="78"/>
      <c r="F8" s="78"/>
    </row>
    <row r="9" spans="1:6" x14ac:dyDescent="0.25">
      <c r="A9" s="90" t="s">
        <v>1173</v>
      </c>
      <c r="B9" s="91" t="s">
        <v>215</v>
      </c>
      <c r="C9" s="107">
        <v>0.72862609863281202</v>
      </c>
      <c r="D9" s="78"/>
      <c r="E9" s="78"/>
      <c r="F9" s="78"/>
    </row>
    <row r="10" spans="1:6" x14ac:dyDescent="0.25">
      <c r="A10" s="90" t="s">
        <v>1174</v>
      </c>
      <c r="B10" s="91" t="s">
        <v>215</v>
      </c>
      <c r="C10" s="107">
        <v>0.87418304443359296</v>
      </c>
      <c r="D10" s="78"/>
      <c r="E10" s="78"/>
      <c r="F10" s="78"/>
    </row>
    <row r="11" spans="1:6" x14ac:dyDescent="0.25">
      <c r="A11" s="90" t="s">
        <v>1175</v>
      </c>
      <c r="B11" s="91" t="s">
        <v>215</v>
      </c>
      <c r="C11" s="107">
        <v>1.01973999023437</v>
      </c>
      <c r="D11" s="78"/>
      <c r="E11" s="78"/>
      <c r="F11" s="78"/>
    </row>
    <row r="12" spans="1:6" x14ac:dyDescent="0.25">
      <c r="A12" s="90" t="s">
        <v>1176</v>
      </c>
      <c r="B12" s="91" t="s">
        <v>215</v>
      </c>
      <c r="C12" s="107">
        <v>1.1652969360351499</v>
      </c>
      <c r="D12" s="78"/>
      <c r="E12" s="78"/>
      <c r="F12" s="78"/>
    </row>
    <row r="13" spans="1:6" x14ac:dyDescent="0.25">
      <c r="A13" s="90" t="s">
        <v>1177</v>
      </c>
      <c r="B13" s="91" t="s">
        <v>215</v>
      </c>
      <c r="C13" s="107">
        <v>1.3108538818359301</v>
      </c>
      <c r="D13" s="78"/>
      <c r="E13" s="78"/>
      <c r="F13" s="78"/>
    </row>
    <row r="14" spans="1:6" x14ac:dyDescent="0.25">
      <c r="A14" s="90" t="s">
        <v>1178</v>
      </c>
      <c r="B14" s="91" t="s">
        <v>215</v>
      </c>
      <c r="C14" s="107">
        <v>1.45641082763671</v>
      </c>
      <c r="D14" s="78"/>
      <c r="E14" s="78"/>
      <c r="F14" s="78"/>
    </row>
    <row r="15" spans="1:6" x14ac:dyDescent="0.25">
      <c r="A15" s="90" t="s">
        <v>1179</v>
      </c>
      <c r="B15" s="91" t="s">
        <v>215</v>
      </c>
      <c r="C15" s="107">
        <v>1.6019677734375</v>
      </c>
      <c r="D15" s="78"/>
      <c r="E15" s="78"/>
      <c r="F15" s="78"/>
    </row>
    <row r="16" spans="1:6" x14ac:dyDescent="0.25">
      <c r="A16" s="90" t="s">
        <v>1180</v>
      </c>
      <c r="B16" s="91" t="s">
        <v>215</v>
      </c>
      <c r="C16" s="107">
        <v>1.7475247192382799</v>
      </c>
      <c r="D16" s="78"/>
      <c r="E16" s="78"/>
      <c r="F16" s="78"/>
    </row>
    <row r="17" spans="1:6" x14ac:dyDescent="0.25">
      <c r="A17" s="90" t="s">
        <v>1181</v>
      </c>
      <c r="B17" s="91" t="s">
        <v>215</v>
      </c>
      <c r="C17" s="107">
        <v>1.8930816650390601</v>
      </c>
      <c r="D17" s="78"/>
      <c r="E17" s="78"/>
      <c r="F17" s="78"/>
    </row>
    <row r="18" spans="1:6" x14ac:dyDescent="0.25">
      <c r="A18" s="90" t="s">
        <v>1182</v>
      </c>
      <c r="B18" s="91" t="s">
        <v>215</v>
      </c>
      <c r="C18" s="107">
        <v>2.0386386108398402</v>
      </c>
      <c r="D18" s="78"/>
      <c r="E18" s="78"/>
      <c r="F18" s="78"/>
    </row>
    <row r="19" spans="1:6" x14ac:dyDescent="0.25">
      <c r="A19" s="90" t="s">
        <v>1183</v>
      </c>
      <c r="B19" s="91" t="s">
        <v>215</v>
      </c>
      <c r="C19" s="107">
        <v>2.1841955566406202</v>
      </c>
      <c r="D19" s="78"/>
      <c r="E19" s="78"/>
      <c r="F19" s="78"/>
    </row>
    <row r="20" spans="1:6" x14ac:dyDescent="0.25">
      <c r="A20" s="90" t="s">
        <v>1184</v>
      </c>
      <c r="B20" s="91" t="s">
        <v>215</v>
      </c>
      <c r="C20" s="107">
        <v>2.3297525024414001</v>
      </c>
      <c r="D20" s="78"/>
      <c r="E20" s="78"/>
      <c r="F20" s="78"/>
    </row>
    <row r="21" spans="1:6" x14ac:dyDescent="0.25">
      <c r="A21" s="90" t="s">
        <v>1185</v>
      </c>
      <c r="B21" s="91" t="s">
        <v>215</v>
      </c>
      <c r="C21" s="107">
        <v>2.47530944824218</v>
      </c>
      <c r="D21" s="78"/>
      <c r="E21" s="78"/>
      <c r="F21" s="78"/>
    </row>
    <row r="22" spans="1:6" x14ac:dyDescent="0.25">
      <c r="A22" s="90" t="s">
        <v>1186</v>
      </c>
      <c r="B22" s="91" t="s">
        <v>215</v>
      </c>
      <c r="C22" s="107">
        <v>2.62086639404296</v>
      </c>
      <c r="D22" s="78"/>
      <c r="E22" s="78"/>
      <c r="F22" s="78"/>
    </row>
    <row r="23" spans="1:6" x14ac:dyDescent="0.25">
      <c r="A23" s="90" t="s">
        <v>1187</v>
      </c>
      <c r="B23" s="91" t="s">
        <v>215</v>
      </c>
      <c r="C23" s="107">
        <v>2.7664233398437501</v>
      </c>
      <c r="D23" s="78"/>
      <c r="E23" s="78"/>
      <c r="F23" s="78"/>
    </row>
    <row r="24" spans="1:6" x14ac:dyDescent="0.25">
      <c r="A24" s="90" t="s">
        <v>1188</v>
      </c>
      <c r="B24" s="91" t="s">
        <v>215</v>
      </c>
      <c r="C24" s="107">
        <v>2.91198028564453</v>
      </c>
      <c r="D24" s="78"/>
      <c r="E24" s="78"/>
      <c r="F24" s="78"/>
    </row>
    <row r="25" spans="1:6" x14ac:dyDescent="0.25">
      <c r="A25" s="90" t="s">
        <v>1189</v>
      </c>
      <c r="B25" s="91" t="s">
        <v>215</v>
      </c>
      <c r="C25" s="107">
        <v>3.05753723144531</v>
      </c>
      <c r="D25" s="78"/>
      <c r="E25" s="78"/>
      <c r="F25" s="78"/>
    </row>
    <row r="26" spans="1:6" x14ac:dyDescent="0.25">
      <c r="A26" s="90" t="s">
        <v>1190</v>
      </c>
      <c r="B26" s="91" t="s">
        <v>215</v>
      </c>
      <c r="C26" s="107">
        <v>3.2030941772460899</v>
      </c>
      <c r="D26" s="78"/>
      <c r="E26" s="78"/>
      <c r="F26" s="78"/>
    </row>
    <row r="27" spans="1:6" x14ac:dyDescent="0.25">
      <c r="A27" s="90" t="s">
        <v>1191</v>
      </c>
      <c r="B27" s="91" t="s">
        <v>215</v>
      </c>
      <c r="C27" s="107">
        <v>3.3486511230468698</v>
      </c>
      <c r="D27" s="78"/>
      <c r="E27" s="78"/>
      <c r="F27" s="78"/>
    </row>
    <row r="28" spans="1:6" x14ac:dyDescent="0.25">
      <c r="A28" s="90" t="s">
        <v>1192</v>
      </c>
      <c r="B28" s="91" t="s">
        <v>215</v>
      </c>
      <c r="C28" s="107">
        <v>3.3486511230468698</v>
      </c>
      <c r="D28" s="78"/>
      <c r="E28" s="78"/>
      <c r="F28" s="78"/>
    </row>
    <row r="29" spans="1:6" x14ac:dyDescent="0.25">
      <c r="A29" s="90" t="s">
        <v>1193</v>
      </c>
      <c r="B29" s="91" t="s">
        <v>215</v>
      </c>
      <c r="C29" s="107">
        <v>1.25</v>
      </c>
      <c r="D29" s="78"/>
      <c r="E29" s="78"/>
      <c r="F29" s="78"/>
    </row>
    <row r="30" spans="1:6" x14ac:dyDescent="0.25">
      <c r="A30" s="90" t="s">
        <v>1194</v>
      </c>
      <c r="B30" s="91" t="s">
        <v>215</v>
      </c>
      <c r="C30" s="107">
        <v>1.3</v>
      </c>
      <c r="D30" s="78"/>
      <c r="E30" s="78"/>
      <c r="F30" s="78"/>
    </row>
    <row r="31" spans="1:6" x14ac:dyDescent="0.25">
      <c r="A31" s="90" t="s">
        <v>1195</v>
      </c>
      <c r="B31" s="91" t="s">
        <v>215</v>
      </c>
      <c r="C31" s="107">
        <v>1.35</v>
      </c>
      <c r="D31" s="78"/>
      <c r="E31" s="78"/>
      <c r="F31" s="78"/>
    </row>
    <row r="32" spans="1:6" x14ac:dyDescent="0.25">
      <c r="A32" s="90" t="s">
        <v>1196</v>
      </c>
      <c r="B32" s="91" t="s">
        <v>215</v>
      </c>
      <c r="C32" s="107">
        <v>1.4</v>
      </c>
      <c r="D32" s="78"/>
      <c r="E32" s="78"/>
      <c r="F32" s="78"/>
    </row>
    <row r="33" spans="1:6" x14ac:dyDescent="0.25">
      <c r="A33" s="90" t="s">
        <v>1197</v>
      </c>
      <c r="B33" s="91" t="s">
        <v>215</v>
      </c>
      <c r="C33" s="107">
        <v>1.45</v>
      </c>
      <c r="D33" s="78"/>
      <c r="E33" s="78"/>
      <c r="F33" s="78"/>
    </row>
    <row r="34" spans="1:6" x14ac:dyDescent="0.25">
      <c r="A34" s="90" t="s">
        <v>1198</v>
      </c>
      <c r="B34" s="91" t="s">
        <v>215</v>
      </c>
      <c r="C34" s="107">
        <v>1.5</v>
      </c>
      <c r="D34" s="78"/>
      <c r="E34" s="78"/>
      <c r="F34" s="78"/>
    </row>
    <row r="35" spans="1:6" x14ac:dyDescent="0.25">
      <c r="A35" s="90" t="s">
        <v>1199</v>
      </c>
      <c r="B35" s="91" t="s">
        <v>215</v>
      </c>
      <c r="C35" s="107">
        <v>1.55</v>
      </c>
      <c r="D35" s="78"/>
      <c r="E35" s="78"/>
      <c r="F35" s="78"/>
    </row>
    <row r="36" spans="1:6" x14ac:dyDescent="0.25">
      <c r="A36" s="90" t="s">
        <v>1200</v>
      </c>
      <c r="B36" s="91" t="s">
        <v>215</v>
      </c>
      <c r="C36" s="107">
        <v>1.6</v>
      </c>
      <c r="D36" s="78"/>
      <c r="E36" s="78"/>
      <c r="F36" s="78"/>
    </row>
    <row r="37" spans="1:6" x14ac:dyDescent="0.25">
      <c r="A37" s="90" t="s">
        <v>1201</v>
      </c>
      <c r="B37" s="91" t="s">
        <v>215</v>
      </c>
      <c r="C37" s="107">
        <v>1.65</v>
      </c>
      <c r="D37" s="78"/>
      <c r="E37" s="78"/>
      <c r="F37" s="78"/>
    </row>
    <row r="38" spans="1:6" x14ac:dyDescent="0.25">
      <c r="A38" s="90" t="s">
        <v>1202</v>
      </c>
      <c r="B38" s="91" t="s">
        <v>215</v>
      </c>
      <c r="C38" s="107">
        <v>1.7</v>
      </c>
      <c r="D38" s="78"/>
      <c r="E38" s="78"/>
      <c r="F38" s="78"/>
    </row>
    <row r="39" spans="1:6" x14ac:dyDescent="0.25">
      <c r="A39" s="90" t="s">
        <v>1203</v>
      </c>
      <c r="B39" s="91" t="s">
        <v>215</v>
      </c>
      <c r="C39" s="107">
        <v>1.75</v>
      </c>
      <c r="D39" s="78"/>
      <c r="E39" s="78"/>
      <c r="F39" s="78"/>
    </row>
    <row r="40" spans="1:6" x14ac:dyDescent="0.25">
      <c r="A40" s="90" t="s">
        <v>1204</v>
      </c>
      <c r="B40" s="91" t="s">
        <v>215</v>
      </c>
      <c r="C40" s="107">
        <v>1.8</v>
      </c>
      <c r="D40" s="78"/>
      <c r="E40" s="78"/>
      <c r="F40" s="78"/>
    </row>
    <row r="41" spans="1:6" x14ac:dyDescent="0.25">
      <c r="A41" s="90" t="s">
        <v>1205</v>
      </c>
      <c r="B41" s="91" t="s">
        <v>215</v>
      </c>
      <c r="C41" s="107">
        <v>1.85</v>
      </c>
      <c r="D41" s="78"/>
      <c r="E41" s="78"/>
      <c r="F41" s="78"/>
    </row>
    <row r="42" spans="1:6" x14ac:dyDescent="0.25">
      <c r="A42" s="90" t="s">
        <v>1206</v>
      </c>
      <c r="B42" s="91" t="s">
        <v>215</v>
      </c>
      <c r="C42" s="107">
        <v>1.9</v>
      </c>
      <c r="D42" s="78"/>
      <c r="E42" s="78"/>
      <c r="F42" s="78"/>
    </row>
    <row r="43" spans="1:6" x14ac:dyDescent="0.25">
      <c r="A43" s="90" t="s">
        <v>1207</v>
      </c>
      <c r="B43" s="91" t="s">
        <v>215</v>
      </c>
      <c r="C43" s="107">
        <v>1.95</v>
      </c>
      <c r="D43" s="78"/>
      <c r="E43" s="78"/>
      <c r="F43" s="78"/>
    </row>
    <row r="44" spans="1:6" x14ac:dyDescent="0.25">
      <c r="A44" s="90" t="s">
        <v>1208</v>
      </c>
      <c r="B44" s="91" t="s">
        <v>215</v>
      </c>
      <c r="C44" s="107">
        <v>2</v>
      </c>
      <c r="D44" s="78"/>
      <c r="E44" s="78"/>
      <c r="F44" s="78"/>
    </row>
    <row r="45" spans="1:6" x14ac:dyDescent="0.25">
      <c r="A45" s="90" t="s">
        <v>1209</v>
      </c>
      <c r="B45" s="91" t="s">
        <v>215</v>
      </c>
      <c r="C45" s="107">
        <v>2.0499999999999998</v>
      </c>
      <c r="D45" s="78"/>
      <c r="E45" s="78"/>
      <c r="F45" s="78"/>
    </row>
    <row r="46" spans="1:6" x14ac:dyDescent="0.25">
      <c r="A46" s="90" t="s">
        <v>1210</v>
      </c>
      <c r="B46" s="91" t="s">
        <v>215</v>
      </c>
      <c r="C46" s="107">
        <v>2.1</v>
      </c>
      <c r="D46" s="78"/>
      <c r="E46" s="78"/>
      <c r="F46" s="78"/>
    </row>
    <row r="47" spans="1:6" x14ac:dyDescent="0.25">
      <c r="A47" s="90" t="s">
        <v>1211</v>
      </c>
      <c r="B47" s="91" t="s">
        <v>215</v>
      </c>
      <c r="C47" s="107">
        <v>2.15</v>
      </c>
      <c r="D47" s="78"/>
      <c r="E47" s="78"/>
      <c r="F47" s="78"/>
    </row>
    <row r="48" spans="1:6" x14ac:dyDescent="0.25">
      <c r="A48" s="90" t="s">
        <v>1212</v>
      </c>
      <c r="B48" s="91" t="s">
        <v>215</v>
      </c>
      <c r="C48" s="107">
        <v>2.2000000000000002</v>
      </c>
      <c r="D48" s="78"/>
      <c r="E48" s="78"/>
      <c r="F48" s="78"/>
    </row>
    <row r="49" spans="1:6" x14ac:dyDescent="0.25">
      <c r="A49" s="90" t="s">
        <v>1213</v>
      </c>
      <c r="B49" s="91" t="s">
        <v>215</v>
      </c>
      <c r="C49" s="107">
        <v>2.25</v>
      </c>
      <c r="D49" s="78"/>
      <c r="E49" s="78"/>
      <c r="F49" s="78"/>
    </row>
    <row r="50" spans="1:6" x14ac:dyDescent="0.25">
      <c r="A50" s="90" t="s">
        <v>1214</v>
      </c>
      <c r="B50" s="91" t="s">
        <v>215</v>
      </c>
      <c r="C50" s="107">
        <v>2.2999999999999998</v>
      </c>
      <c r="D50" s="78"/>
      <c r="E50" s="78"/>
      <c r="F50" s="78"/>
    </row>
    <row r="51" spans="1:6" x14ac:dyDescent="0.25">
      <c r="A51" s="90" t="s">
        <v>1215</v>
      </c>
      <c r="B51" s="91" t="s">
        <v>215</v>
      </c>
      <c r="C51" s="107">
        <v>2.35</v>
      </c>
      <c r="D51" s="78"/>
      <c r="E51" s="78"/>
      <c r="F51" s="78"/>
    </row>
    <row r="52" spans="1:6" x14ac:dyDescent="0.25">
      <c r="A52" s="90" t="s">
        <v>1216</v>
      </c>
      <c r="B52" s="91" t="s">
        <v>215</v>
      </c>
      <c r="C52" s="107">
        <v>2.4</v>
      </c>
      <c r="D52" s="78"/>
      <c r="E52" s="78"/>
      <c r="F52" s="78"/>
    </row>
    <row r="53" spans="1:6" x14ac:dyDescent="0.25">
      <c r="A53" s="90" t="s">
        <v>1217</v>
      </c>
      <c r="B53" s="91" t="s">
        <v>215</v>
      </c>
      <c r="C53" s="107">
        <v>2.4500000000000002</v>
      </c>
      <c r="D53" s="78"/>
      <c r="E53" s="78"/>
      <c r="F53" s="78"/>
    </row>
    <row r="54" spans="1:6" x14ac:dyDescent="0.25">
      <c r="A54" s="90" t="s">
        <v>1218</v>
      </c>
      <c r="B54" s="91" t="s">
        <v>215</v>
      </c>
      <c r="C54" s="107">
        <v>2.5</v>
      </c>
      <c r="D54" s="78"/>
      <c r="E54" s="78"/>
      <c r="F54" s="78"/>
    </row>
    <row r="55" spans="1:6" x14ac:dyDescent="0.25">
      <c r="A55" s="90" t="s">
        <v>1219</v>
      </c>
      <c r="B55" s="91" t="s">
        <v>215</v>
      </c>
      <c r="C55" s="107">
        <v>2.5499999999999998</v>
      </c>
      <c r="D55" s="78"/>
      <c r="E55" s="78"/>
      <c r="F55" s="78"/>
    </row>
    <row r="56" spans="1:6" x14ac:dyDescent="0.25">
      <c r="A56" s="90" t="s">
        <v>1220</v>
      </c>
      <c r="B56" s="91" t="s">
        <v>215</v>
      </c>
      <c r="C56" s="107">
        <v>2.6</v>
      </c>
      <c r="D56" s="78"/>
      <c r="E56" s="78"/>
      <c r="F56" s="78"/>
    </row>
    <row r="57" spans="1:6" x14ac:dyDescent="0.25">
      <c r="A57" s="90" t="s">
        <v>1221</v>
      </c>
      <c r="B57" s="91" t="s">
        <v>215</v>
      </c>
      <c r="C57" s="107">
        <v>2.65</v>
      </c>
      <c r="D57" s="78"/>
      <c r="E57" s="78"/>
      <c r="F57" s="78"/>
    </row>
    <row r="58" spans="1:6" x14ac:dyDescent="0.25">
      <c r="A58" s="90" t="s">
        <v>1222</v>
      </c>
      <c r="B58" s="91" t="s">
        <v>215</v>
      </c>
      <c r="C58" s="107">
        <v>2.7</v>
      </c>
      <c r="D58" s="78"/>
      <c r="E58" s="78"/>
      <c r="F58" s="78"/>
    </row>
    <row r="59" spans="1:6" x14ac:dyDescent="0.25">
      <c r="A59" s="90" t="s">
        <v>1223</v>
      </c>
      <c r="B59" s="91" t="s">
        <v>215</v>
      </c>
      <c r="C59" s="107">
        <v>2.75</v>
      </c>
      <c r="D59" s="78"/>
      <c r="E59" s="78"/>
      <c r="F59" s="78"/>
    </row>
    <row r="60" spans="1:6" x14ac:dyDescent="0.25">
      <c r="A60" s="90" t="s">
        <v>1224</v>
      </c>
      <c r="B60" s="91" t="s">
        <v>215</v>
      </c>
      <c r="C60" s="107">
        <v>2.8</v>
      </c>
      <c r="D60" s="78"/>
      <c r="E60" s="78"/>
      <c r="F60" s="78"/>
    </row>
    <row r="61" spans="1:6" x14ac:dyDescent="0.25">
      <c r="A61" s="90" t="s">
        <v>1225</v>
      </c>
      <c r="B61" s="91" t="s">
        <v>215</v>
      </c>
      <c r="C61" s="107">
        <v>2.85</v>
      </c>
      <c r="D61" s="78"/>
      <c r="E61" s="78"/>
      <c r="F61" s="78"/>
    </row>
    <row r="62" spans="1:6" x14ac:dyDescent="0.25">
      <c r="A62" s="90" t="s">
        <v>1226</v>
      </c>
      <c r="B62" s="91" t="s">
        <v>215</v>
      </c>
      <c r="C62" s="107">
        <v>2.9</v>
      </c>
      <c r="D62" s="78"/>
      <c r="E62" s="78"/>
      <c r="F62" s="78"/>
    </row>
    <row r="63" spans="1:6" x14ac:dyDescent="0.25">
      <c r="A63" s="90" t="s">
        <v>1227</v>
      </c>
      <c r="B63" s="91" t="s">
        <v>215</v>
      </c>
      <c r="C63" s="107">
        <v>2.95</v>
      </c>
      <c r="D63" s="78"/>
      <c r="E63" s="78"/>
      <c r="F63" s="78"/>
    </row>
    <row r="64" spans="1:6" x14ac:dyDescent="0.25">
      <c r="A64" s="90" t="s">
        <v>1228</v>
      </c>
      <c r="B64" s="91" t="s">
        <v>215</v>
      </c>
      <c r="C64" s="107">
        <v>3</v>
      </c>
      <c r="D64" s="78"/>
      <c r="E64" s="78"/>
      <c r="F64" s="78"/>
    </row>
    <row r="65" spans="1:6" x14ac:dyDescent="0.25">
      <c r="A65" s="90" t="s">
        <v>1290</v>
      </c>
      <c r="B65" s="91" t="s">
        <v>215</v>
      </c>
      <c r="C65" s="107">
        <v>3.05</v>
      </c>
      <c r="D65" s="78"/>
      <c r="E65" s="78"/>
      <c r="F65" s="78"/>
    </row>
    <row r="66" spans="1:6" x14ac:dyDescent="0.25">
      <c r="A66" s="90" t="s">
        <v>1291</v>
      </c>
      <c r="B66" s="91" t="s">
        <v>215</v>
      </c>
      <c r="C66" s="107">
        <v>3.1</v>
      </c>
      <c r="D66" s="78"/>
      <c r="E66" s="78"/>
      <c r="F66" s="78"/>
    </row>
    <row r="67" spans="1:6" x14ac:dyDescent="0.25">
      <c r="A67" s="90" t="s">
        <v>1292</v>
      </c>
      <c r="B67" s="91" t="s">
        <v>215</v>
      </c>
      <c r="C67" s="107">
        <v>3.15</v>
      </c>
      <c r="D67" s="78"/>
      <c r="E67" s="78"/>
      <c r="F67" s="78"/>
    </row>
    <row r="68" spans="1:6" x14ac:dyDescent="0.25">
      <c r="A68" s="90" t="s">
        <v>1293</v>
      </c>
      <c r="B68" s="91" t="s">
        <v>215</v>
      </c>
      <c r="C68" s="107">
        <v>3.2</v>
      </c>
      <c r="D68" s="78"/>
      <c r="E68" s="78"/>
      <c r="F68" s="78"/>
    </row>
    <row r="69" spans="1:6" x14ac:dyDescent="0.25">
      <c r="A69" s="90" t="s">
        <v>1294</v>
      </c>
      <c r="B69" s="91" t="s">
        <v>215</v>
      </c>
      <c r="C69" s="107">
        <v>3.25</v>
      </c>
      <c r="D69" s="78"/>
      <c r="E69" s="78"/>
      <c r="F69" s="78"/>
    </row>
    <row r="70" spans="1:6" x14ac:dyDescent="0.25">
      <c r="A70" s="90" t="s">
        <v>1295</v>
      </c>
      <c r="B70" s="91" t="s">
        <v>215</v>
      </c>
      <c r="C70" s="107">
        <v>3.3</v>
      </c>
      <c r="D70" s="78"/>
      <c r="E70" s="78"/>
      <c r="F70" s="78"/>
    </row>
    <row r="71" spans="1:6" x14ac:dyDescent="0.25">
      <c r="A71" s="90" t="s">
        <v>1296</v>
      </c>
      <c r="B71" s="91" t="s">
        <v>215</v>
      </c>
      <c r="C71" s="107">
        <v>3.35</v>
      </c>
      <c r="D71" s="78"/>
      <c r="E71" s="78"/>
      <c r="F71" s="78"/>
    </row>
    <row r="72" spans="1:6" x14ac:dyDescent="0.25">
      <c r="A72" s="90" t="s">
        <v>1297</v>
      </c>
      <c r="B72" s="91" t="s">
        <v>215</v>
      </c>
      <c r="C72" s="107">
        <v>3.4</v>
      </c>
      <c r="D72" s="78"/>
      <c r="E72" s="78"/>
      <c r="F72" s="78"/>
    </row>
    <row r="73" spans="1:6" x14ac:dyDescent="0.25">
      <c r="A73" s="90" t="s">
        <v>1298</v>
      </c>
      <c r="B73" s="91" t="s">
        <v>215</v>
      </c>
      <c r="C73" s="107">
        <v>3.45</v>
      </c>
      <c r="D73" s="78"/>
      <c r="E73" s="78"/>
      <c r="F73" s="78"/>
    </row>
    <row r="74" spans="1:6" x14ac:dyDescent="0.25">
      <c r="A74" s="90" t="s">
        <v>1299</v>
      </c>
      <c r="B74" s="91" t="s">
        <v>215</v>
      </c>
      <c r="C74" s="107">
        <v>3.5</v>
      </c>
      <c r="D74" s="78"/>
      <c r="E74" s="78"/>
      <c r="F74" s="78"/>
    </row>
    <row r="75" spans="1:6" x14ac:dyDescent="0.25">
      <c r="A75" s="90" t="s">
        <v>1300</v>
      </c>
      <c r="B75" s="91" t="s">
        <v>215</v>
      </c>
      <c r="C75" s="107">
        <v>3.55</v>
      </c>
      <c r="D75" s="78"/>
      <c r="E75" s="78"/>
      <c r="F75" s="78"/>
    </row>
    <row r="76" spans="1:6" x14ac:dyDescent="0.25">
      <c r="A76" s="90" t="s">
        <v>1301</v>
      </c>
      <c r="B76" s="91" t="s">
        <v>215</v>
      </c>
      <c r="C76" s="107">
        <v>3.6</v>
      </c>
      <c r="D76" s="78"/>
      <c r="E76" s="78"/>
      <c r="F76" s="78"/>
    </row>
    <row r="77" spans="1:6" x14ac:dyDescent="0.25">
      <c r="A77" s="90" t="s">
        <v>1302</v>
      </c>
      <c r="B77" s="91" t="s">
        <v>215</v>
      </c>
      <c r="C77" s="107">
        <v>3.65</v>
      </c>
      <c r="D77" s="78"/>
      <c r="E77" s="78"/>
      <c r="F77" s="78"/>
    </row>
    <row r="78" spans="1:6" x14ac:dyDescent="0.25">
      <c r="A78" s="90" t="s">
        <v>1303</v>
      </c>
      <c r="B78" s="91" t="s">
        <v>215</v>
      </c>
      <c r="C78" s="107">
        <v>3.7</v>
      </c>
      <c r="D78" s="78"/>
      <c r="E78" s="78"/>
      <c r="F78" s="78"/>
    </row>
    <row r="79" spans="1:6" x14ac:dyDescent="0.25">
      <c r="A79" s="90" t="s">
        <v>1304</v>
      </c>
      <c r="B79" s="91" t="s">
        <v>215</v>
      </c>
      <c r="C79" s="107">
        <v>3.75</v>
      </c>
      <c r="D79" s="78"/>
      <c r="E79" s="78"/>
      <c r="F79" s="78"/>
    </row>
    <row r="80" spans="1:6" x14ac:dyDescent="0.25">
      <c r="A80" s="90" t="s">
        <v>1305</v>
      </c>
      <c r="B80" s="91" t="s">
        <v>215</v>
      </c>
      <c r="C80" s="107">
        <v>3.7999999999999901</v>
      </c>
      <c r="D80" s="78"/>
      <c r="E80" s="78"/>
      <c r="F80" s="78"/>
    </row>
    <row r="81" spans="1:6" x14ac:dyDescent="0.25">
      <c r="A81" s="90" t="s">
        <v>1306</v>
      </c>
      <c r="B81" s="91" t="s">
        <v>215</v>
      </c>
      <c r="C81" s="107">
        <v>3.8499999999999899</v>
      </c>
      <c r="D81" s="78"/>
      <c r="E81" s="78"/>
      <c r="F81" s="78"/>
    </row>
    <row r="82" spans="1:6" x14ac:dyDescent="0.25">
      <c r="A82" s="90" t="s">
        <v>1307</v>
      </c>
      <c r="B82" s="91" t="s">
        <v>215</v>
      </c>
      <c r="C82" s="107">
        <v>3.8999999999999901</v>
      </c>
      <c r="D82" s="78"/>
      <c r="E82" s="78"/>
      <c r="F82" s="78"/>
    </row>
    <row r="83" spans="1:6" x14ac:dyDescent="0.25">
      <c r="A83" s="90" t="s">
        <v>1308</v>
      </c>
      <c r="B83" s="91" t="s">
        <v>215</v>
      </c>
      <c r="C83" s="107">
        <v>3.94999999999999</v>
      </c>
      <c r="D83" s="78"/>
      <c r="E83" s="78"/>
      <c r="F83" s="78"/>
    </row>
    <row r="84" spans="1:6" x14ac:dyDescent="0.25">
      <c r="A84" s="90" t="s">
        <v>1309</v>
      </c>
      <c r="B84" s="91" t="s">
        <v>215</v>
      </c>
      <c r="C84" s="107">
        <v>3.95</v>
      </c>
      <c r="D84" s="78"/>
      <c r="E84" s="78"/>
      <c r="F84" s="78"/>
    </row>
    <row r="85" spans="1:6" x14ac:dyDescent="0.25">
      <c r="A85" s="105" t="s">
        <v>1229</v>
      </c>
      <c r="B85" s="91" t="s">
        <v>238</v>
      </c>
      <c r="C85" s="106">
        <v>8.9200000000000002E-2</v>
      </c>
      <c r="D85" s="78"/>
      <c r="E85" s="78"/>
      <c r="F85" s="78"/>
    </row>
    <row r="86" spans="1:6" x14ac:dyDescent="0.25">
      <c r="A86" s="105" t="s">
        <v>1230</v>
      </c>
      <c r="B86" s="91" t="s">
        <v>238</v>
      </c>
      <c r="C86" s="106">
        <v>8.9429876672868794E-2</v>
      </c>
      <c r="D86" s="78"/>
      <c r="E86" s="78"/>
      <c r="F86" s="78"/>
    </row>
    <row r="87" spans="1:6" x14ac:dyDescent="0.25">
      <c r="A87" s="105" t="s">
        <v>1231</v>
      </c>
      <c r="B87" s="91" t="s">
        <v>238</v>
      </c>
      <c r="C87" s="106">
        <v>9.0060222666362294E-2</v>
      </c>
      <c r="D87" s="78"/>
      <c r="E87" s="78"/>
      <c r="F87" s="78"/>
    </row>
    <row r="88" spans="1:6" x14ac:dyDescent="0.25">
      <c r="A88" s="105" t="s">
        <v>1232</v>
      </c>
      <c r="B88" s="91" t="s">
        <v>238</v>
      </c>
      <c r="C88" s="106">
        <v>9.1071705979567305E-2</v>
      </c>
      <c r="D88" s="78"/>
      <c r="E88" s="78"/>
      <c r="F88" s="78"/>
    </row>
    <row r="89" spans="1:6" x14ac:dyDescent="0.25">
      <c r="A89" s="105" t="s">
        <v>1233</v>
      </c>
      <c r="B89" s="91" t="s">
        <v>238</v>
      </c>
      <c r="C89" s="106">
        <v>9.2483658613396802E-2</v>
      </c>
      <c r="D89" s="78"/>
      <c r="E89" s="78"/>
      <c r="F89" s="78"/>
    </row>
    <row r="90" spans="1:6" x14ac:dyDescent="0.25">
      <c r="A90" s="105" t="s">
        <v>1234</v>
      </c>
      <c r="B90" s="91" t="s">
        <v>238</v>
      </c>
      <c r="C90" s="106">
        <v>9.4305617682982998E-2</v>
      </c>
      <c r="D90" s="78"/>
      <c r="E90" s="78"/>
      <c r="F90" s="78"/>
    </row>
    <row r="91" spans="1:6" x14ac:dyDescent="0.25">
      <c r="A91" s="105" t="s">
        <v>1235</v>
      </c>
      <c r="B91" s="91" t="s">
        <v>238</v>
      </c>
      <c r="C91" s="106">
        <v>9.6491414989945401E-2</v>
      </c>
      <c r="D91" s="78"/>
      <c r="E91" s="78"/>
      <c r="F91" s="78"/>
    </row>
    <row r="92" spans="1:6" x14ac:dyDescent="0.25">
      <c r="A92" s="105" t="s">
        <v>1236</v>
      </c>
      <c r="B92" s="91" t="s">
        <v>238</v>
      </c>
      <c r="C92" s="106">
        <v>9.8973490950906004E-2</v>
      </c>
      <c r="D92" s="78"/>
      <c r="E92" s="78"/>
      <c r="F92" s="78"/>
    </row>
    <row r="93" spans="1:6" x14ac:dyDescent="0.25">
      <c r="A93" s="105" t="s">
        <v>1237</v>
      </c>
      <c r="B93" s="91" t="s">
        <v>238</v>
      </c>
      <c r="C93" s="106">
        <v>0.10169816139717699</v>
      </c>
      <c r="D93" s="78"/>
      <c r="E93" s="78"/>
      <c r="F93" s="78"/>
    </row>
    <row r="94" spans="1:6" x14ac:dyDescent="0.25">
      <c r="A94" s="105" t="s">
        <v>1238</v>
      </c>
      <c r="B94" s="91" t="s">
        <v>238</v>
      </c>
      <c r="C94" s="106">
        <v>0.104710583351631</v>
      </c>
      <c r="D94" s="78"/>
      <c r="E94" s="78"/>
      <c r="F94" s="78"/>
    </row>
    <row r="95" spans="1:6" x14ac:dyDescent="0.25">
      <c r="A95" s="105" t="s">
        <v>1239</v>
      </c>
      <c r="B95" s="91" t="s">
        <v>238</v>
      </c>
      <c r="C95" s="106">
        <v>0.107926291778383</v>
      </c>
      <c r="D95" s="78"/>
      <c r="E95" s="78"/>
      <c r="F95" s="78"/>
    </row>
    <row r="96" spans="1:6" x14ac:dyDescent="0.25">
      <c r="A96" s="105" t="s">
        <v>1240</v>
      </c>
      <c r="B96" s="91" t="s">
        <v>238</v>
      </c>
      <c r="C96" s="106">
        <v>0.111269059726331</v>
      </c>
      <c r="D96" s="78"/>
      <c r="E96" s="78"/>
      <c r="F96" s="78"/>
    </row>
    <row r="97" spans="1:6" x14ac:dyDescent="0.25">
      <c r="A97" s="105" t="s">
        <v>1241</v>
      </c>
      <c r="B97" s="91" t="s">
        <v>238</v>
      </c>
      <c r="C97" s="106">
        <v>0.114875806133563</v>
      </c>
      <c r="D97" s="78"/>
      <c r="E97" s="78"/>
      <c r="F97" s="78"/>
    </row>
    <row r="98" spans="1:6" x14ac:dyDescent="0.25">
      <c r="A98" s="105" t="s">
        <v>1242</v>
      </c>
      <c r="B98" s="91" t="s">
        <v>238</v>
      </c>
      <c r="C98" s="106">
        <v>0.118549070753249</v>
      </c>
      <c r="D98" s="78"/>
      <c r="E98" s="78"/>
      <c r="F98" s="78"/>
    </row>
    <row r="99" spans="1:6" x14ac:dyDescent="0.25">
      <c r="A99" s="105" t="s">
        <v>1243</v>
      </c>
      <c r="B99" s="91" t="s">
        <v>238</v>
      </c>
      <c r="C99" s="106">
        <v>0.122346704462717</v>
      </c>
      <c r="D99" s="78"/>
      <c r="E99" s="78"/>
      <c r="F99" s="78"/>
    </row>
    <row r="100" spans="1:6" x14ac:dyDescent="0.25">
      <c r="A100" s="105" t="s">
        <v>1244</v>
      </c>
      <c r="B100" s="91" t="s">
        <v>238</v>
      </c>
      <c r="C100" s="106">
        <v>0.126296342211698</v>
      </c>
      <c r="D100" s="78"/>
      <c r="E100" s="78"/>
      <c r="F100" s="78"/>
    </row>
    <row r="101" spans="1:6" x14ac:dyDescent="0.25">
      <c r="A101" s="105" t="s">
        <v>1245</v>
      </c>
      <c r="B101" s="91" t="s">
        <v>238</v>
      </c>
      <c r="C101" s="106">
        <v>0.13035658291246699</v>
      </c>
      <c r="D101" s="78"/>
      <c r="E101" s="78"/>
      <c r="F101" s="78"/>
    </row>
    <row r="102" spans="1:6" x14ac:dyDescent="0.25">
      <c r="A102" s="105" t="s">
        <v>1246</v>
      </c>
      <c r="B102" s="91" t="s">
        <v>238</v>
      </c>
      <c r="C102" s="106">
        <v>0.134560042847402</v>
      </c>
      <c r="D102" s="78"/>
      <c r="E102" s="78"/>
      <c r="F102" s="78"/>
    </row>
    <row r="103" spans="1:6" x14ac:dyDescent="0.25">
      <c r="A103" s="105" t="s">
        <v>1247</v>
      </c>
      <c r="B103" s="91" t="s">
        <v>238</v>
      </c>
      <c r="C103" s="106">
        <v>0.13880985306057</v>
      </c>
      <c r="D103" s="78"/>
      <c r="E103" s="78"/>
      <c r="F103" s="78"/>
    </row>
    <row r="104" spans="1:6" x14ac:dyDescent="0.25">
      <c r="A104" s="105" t="s">
        <v>1248</v>
      </c>
      <c r="B104" s="91" t="s">
        <v>238</v>
      </c>
      <c r="C104" s="106">
        <v>0.14324365898899699</v>
      </c>
      <c r="D104" s="78"/>
      <c r="E104" s="78"/>
      <c r="F104" s="78"/>
    </row>
    <row r="105" spans="1:6" x14ac:dyDescent="0.25">
      <c r="A105" s="105" t="s">
        <v>1249</v>
      </c>
      <c r="B105" s="91" t="s">
        <v>238</v>
      </c>
      <c r="C105" s="106">
        <v>0.147770422652205</v>
      </c>
      <c r="D105" s="78"/>
      <c r="E105" s="78"/>
      <c r="F105" s="78"/>
    </row>
    <row r="106" spans="1:6" x14ac:dyDescent="0.25">
      <c r="A106" s="105" t="s">
        <v>1250</v>
      </c>
      <c r="B106" s="91" t="s">
        <v>238</v>
      </c>
      <c r="C106" s="106">
        <v>0.15241127084585299</v>
      </c>
      <c r="D106" s="78"/>
      <c r="E106" s="78"/>
      <c r="F106" s="78"/>
    </row>
    <row r="107" spans="1:6" x14ac:dyDescent="0.25">
      <c r="A107" s="105" t="s">
        <v>1251</v>
      </c>
      <c r="B107" s="91" t="s">
        <v>238</v>
      </c>
      <c r="C107" s="106">
        <v>0.157145076774281</v>
      </c>
      <c r="D107" s="78"/>
      <c r="E107" s="78"/>
      <c r="F107" s="78"/>
    </row>
    <row r="108" spans="1:6" x14ac:dyDescent="0.25">
      <c r="A108" s="105" t="s">
        <v>1252</v>
      </c>
      <c r="B108" s="91" t="s">
        <v>238</v>
      </c>
      <c r="C108" s="106">
        <v>0.161878944995621</v>
      </c>
      <c r="D108" s="78"/>
      <c r="E108" s="78"/>
      <c r="F108" s="78"/>
    </row>
    <row r="109" spans="1:6" x14ac:dyDescent="0.25">
      <c r="A109" s="105" t="s">
        <v>1253</v>
      </c>
      <c r="B109" s="91" t="s">
        <v>238</v>
      </c>
      <c r="C109" s="106">
        <v>0.161878944995621</v>
      </c>
      <c r="D109" s="78"/>
      <c r="E109" s="78"/>
      <c r="F109" s="78"/>
    </row>
    <row r="110" spans="1:6" x14ac:dyDescent="0.25">
      <c r="A110" s="105" t="s">
        <v>1254</v>
      </c>
      <c r="B110" s="91" t="s">
        <v>238</v>
      </c>
      <c r="C110" s="106">
        <f>0.1019*1</f>
        <v>0.1019</v>
      </c>
      <c r="D110" s="78"/>
      <c r="E110" s="78"/>
      <c r="F110" s="78"/>
    </row>
    <row r="111" spans="1:6" x14ac:dyDescent="0.25">
      <c r="A111" s="105" t="s">
        <v>1255</v>
      </c>
      <c r="B111" s="91" t="s">
        <v>238</v>
      </c>
      <c r="C111" s="106">
        <f>0.1032*1</f>
        <v>0.1032</v>
      </c>
      <c r="D111" s="78"/>
      <c r="E111" s="78"/>
      <c r="F111" s="78"/>
    </row>
    <row r="112" spans="1:6" x14ac:dyDescent="0.25">
      <c r="A112" s="105" t="s">
        <v>1256</v>
      </c>
      <c r="B112" s="91" t="s">
        <v>238</v>
      </c>
      <c r="C112" s="106">
        <f>0.1045*1</f>
        <v>0.1045</v>
      </c>
      <c r="D112" s="78"/>
      <c r="E112" s="78"/>
      <c r="F112" s="78"/>
    </row>
    <row r="113" spans="1:6" x14ac:dyDescent="0.25">
      <c r="A113" s="105" t="s">
        <v>1257</v>
      </c>
      <c r="B113" s="91" t="s">
        <v>238</v>
      </c>
      <c r="C113" s="106">
        <f>0.1058*1</f>
        <v>0.10580000000000001</v>
      </c>
      <c r="D113" s="78"/>
      <c r="E113" s="78"/>
      <c r="F113" s="78"/>
    </row>
    <row r="114" spans="1:6" x14ac:dyDescent="0.25">
      <c r="A114" s="105" t="s">
        <v>1258</v>
      </c>
      <c r="B114" s="91" t="s">
        <v>238</v>
      </c>
      <c r="C114" s="106">
        <f>0.1072*1</f>
        <v>0.1072</v>
      </c>
      <c r="D114" s="78"/>
      <c r="E114" s="78"/>
      <c r="F114" s="78"/>
    </row>
    <row r="115" spans="1:6" x14ac:dyDescent="0.25">
      <c r="A115" s="105" t="s">
        <v>1259</v>
      </c>
      <c r="B115" s="91" t="s">
        <v>238</v>
      </c>
      <c r="C115" s="106">
        <f>0.1086*1</f>
        <v>0.1086</v>
      </c>
      <c r="D115" s="78"/>
      <c r="E115" s="78"/>
      <c r="F115" s="78"/>
    </row>
    <row r="116" spans="1:6" x14ac:dyDescent="0.25">
      <c r="A116" s="105" t="s">
        <v>1260</v>
      </c>
      <c r="B116" s="91" t="s">
        <v>238</v>
      </c>
      <c r="C116" s="106">
        <f>0.11*0.99</f>
        <v>0.1089</v>
      </c>
      <c r="D116" s="78"/>
      <c r="E116" s="78"/>
      <c r="F116" s="78"/>
    </row>
    <row r="117" spans="1:6" x14ac:dyDescent="0.25">
      <c r="A117" s="105" t="s">
        <v>1261</v>
      </c>
      <c r="B117" s="91" t="s">
        <v>238</v>
      </c>
      <c r="C117" s="106">
        <f>0.1114*0.98</f>
        <v>0.10917199999999999</v>
      </c>
      <c r="D117" s="78"/>
      <c r="E117" s="78"/>
      <c r="F117" s="78"/>
    </row>
    <row r="118" spans="1:6" x14ac:dyDescent="0.25">
      <c r="A118" s="105" t="s">
        <v>1262</v>
      </c>
      <c r="B118" s="91" t="s">
        <v>238</v>
      </c>
      <c r="C118" s="106">
        <f>0.1129*0.97</f>
        <v>0.109513</v>
      </c>
      <c r="D118" s="78"/>
      <c r="E118" s="78"/>
      <c r="F118" s="78"/>
    </row>
    <row r="119" spans="1:6" x14ac:dyDescent="0.25">
      <c r="A119" s="105" t="s">
        <v>1263</v>
      </c>
      <c r="B119" s="91" t="s">
        <v>238</v>
      </c>
      <c r="C119" s="106">
        <f>0.1144*0.96</f>
        <v>0.10982399999999999</v>
      </c>
      <c r="D119" s="78"/>
      <c r="E119" s="78"/>
      <c r="F119" s="78"/>
    </row>
    <row r="120" spans="1:6" x14ac:dyDescent="0.25">
      <c r="A120" s="105" t="s">
        <v>1264</v>
      </c>
      <c r="B120" s="91" t="s">
        <v>238</v>
      </c>
      <c r="C120" s="106">
        <f>0.116*0.95</f>
        <v>0.11020000000000001</v>
      </c>
      <c r="D120" s="78"/>
      <c r="E120" s="78"/>
      <c r="F120" s="78"/>
    </row>
    <row r="121" spans="1:6" x14ac:dyDescent="0.25">
      <c r="A121" s="105" t="s">
        <v>1265</v>
      </c>
      <c r="B121" s="91" t="s">
        <v>238</v>
      </c>
      <c r="C121" s="106">
        <f>0.1175*0.94</f>
        <v>0.11044999999999999</v>
      </c>
      <c r="D121" s="78"/>
      <c r="E121" s="78"/>
      <c r="F121" s="78"/>
    </row>
    <row r="122" spans="1:6" x14ac:dyDescent="0.25">
      <c r="A122" s="105" t="s">
        <v>1266</v>
      </c>
      <c r="B122" s="91" t="s">
        <v>238</v>
      </c>
      <c r="C122" s="106">
        <f>0.1191*0.93</f>
        <v>0.110763</v>
      </c>
      <c r="D122" s="78"/>
      <c r="E122" s="78"/>
      <c r="F122" s="78"/>
    </row>
    <row r="123" spans="1:6" x14ac:dyDescent="0.25">
      <c r="A123" s="105" t="s">
        <v>1267</v>
      </c>
      <c r="B123" s="91" t="s">
        <v>238</v>
      </c>
      <c r="C123" s="106">
        <f>0.1207*0.92</f>
        <v>0.111044</v>
      </c>
      <c r="D123" s="78"/>
      <c r="E123" s="78"/>
      <c r="F123" s="78"/>
    </row>
    <row r="124" spans="1:6" x14ac:dyDescent="0.25">
      <c r="A124" s="105" t="s">
        <v>1268</v>
      </c>
      <c r="B124" s="91" t="s">
        <v>238</v>
      </c>
      <c r="C124" s="106">
        <f>0.1223*0.91</f>
        <v>0.111293</v>
      </c>
      <c r="D124" s="78"/>
      <c r="E124" s="78"/>
      <c r="F124" s="78"/>
    </row>
    <row r="125" spans="1:6" x14ac:dyDescent="0.25">
      <c r="A125" s="105" t="s">
        <v>1269</v>
      </c>
      <c r="B125" s="91" t="s">
        <v>238</v>
      </c>
      <c r="C125" s="106">
        <f>0.1239*0.9</f>
        <v>0.11151</v>
      </c>
      <c r="D125" s="78"/>
      <c r="E125" s="78"/>
      <c r="F125" s="78"/>
    </row>
    <row r="126" spans="1:6" x14ac:dyDescent="0.25">
      <c r="A126" s="105" t="s">
        <v>1270</v>
      </c>
      <c r="B126" s="91" t="s">
        <v>238</v>
      </c>
      <c r="C126" s="106">
        <f>0.1255*0.89</f>
        <v>0.111695</v>
      </c>
      <c r="D126" s="78"/>
      <c r="E126" s="78"/>
      <c r="F126" s="78"/>
    </row>
    <row r="127" spans="1:6" x14ac:dyDescent="0.25">
      <c r="A127" s="105" t="s">
        <v>1271</v>
      </c>
      <c r="B127" s="91" t="s">
        <v>238</v>
      </c>
      <c r="C127" s="106">
        <f>0.1272*0.88</f>
        <v>0.11193600000000001</v>
      </c>
      <c r="D127" s="78"/>
      <c r="E127" s="78"/>
      <c r="F127" s="78"/>
    </row>
    <row r="128" spans="1:6" x14ac:dyDescent="0.25">
      <c r="A128" s="105" t="s">
        <v>1272</v>
      </c>
      <c r="B128" s="91" t="s">
        <v>238</v>
      </c>
      <c r="C128" s="106">
        <f>0.1289*0.87</f>
        <v>0.11214299999999999</v>
      </c>
      <c r="D128" s="78"/>
      <c r="E128" s="78"/>
      <c r="F128" s="78"/>
    </row>
    <row r="129" spans="1:6" x14ac:dyDescent="0.25">
      <c r="A129" s="105" t="s">
        <v>1273</v>
      </c>
      <c r="B129" s="91" t="s">
        <v>238</v>
      </c>
      <c r="C129" s="106">
        <f>0.1306*0.86</f>
        <v>0.112316</v>
      </c>
      <c r="D129" s="78"/>
      <c r="E129" s="78"/>
      <c r="F129" s="78"/>
    </row>
    <row r="130" spans="1:6" x14ac:dyDescent="0.25">
      <c r="A130" s="105" t="s">
        <v>1274</v>
      </c>
      <c r="B130" s="91" t="s">
        <v>238</v>
      </c>
      <c r="C130" s="106">
        <f>0.1323*0.85</f>
        <v>0.112455</v>
      </c>
      <c r="D130" s="78"/>
      <c r="E130" s="78"/>
      <c r="F130" s="78"/>
    </row>
    <row r="131" spans="1:6" x14ac:dyDescent="0.25">
      <c r="A131" s="105" t="s">
        <v>1275</v>
      </c>
      <c r="B131" s="91" t="s">
        <v>238</v>
      </c>
      <c r="C131" s="106">
        <f>0.1341*0.85</f>
        <v>0.11398499999999999</v>
      </c>
      <c r="D131" s="78"/>
      <c r="E131" s="78"/>
      <c r="F131" s="78"/>
    </row>
    <row r="132" spans="1:6" x14ac:dyDescent="0.25">
      <c r="A132" s="105" t="s">
        <v>1276</v>
      </c>
      <c r="B132" s="91" t="s">
        <v>238</v>
      </c>
      <c r="C132" s="106">
        <f>0.1358*0.85</f>
        <v>0.11543</v>
      </c>
      <c r="D132" s="78"/>
      <c r="E132" s="78"/>
      <c r="F132" s="78"/>
    </row>
    <row r="133" spans="1:6" x14ac:dyDescent="0.25">
      <c r="A133" s="105" t="s">
        <v>1277</v>
      </c>
      <c r="B133" s="91" t="s">
        <v>238</v>
      </c>
      <c r="C133" s="106">
        <f>0.1376*0.85</f>
        <v>0.11695999999999999</v>
      </c>
      <c r="D133" s="78"/>
      <c r="E133" s="78"/>
      <c r="F133" s="78"/>
    </row>
    <row r="134" spans="1:6" x14ac:dyDescent="0.25">
      <c r="A134" s="105" t="s">
        <v>1278</v>
      </c>
      <c r="B134" s="91" t="s">
        <v>238</v>
      </c>
      <c r="C134" s="106">
        <f>0.1394*0.85</f>
        <v>0.11849</v>
      </c>
      <c r="D134" s="78"/>
      <c r="E134" s="78"/>
      <c r="F134" s="78"/>
    </row>
    <row r="135" spans="1:6" x14ac:dyDescent="0.25">
      <c r="A135" s="105" t="s">
        <v>1279</v>
      </c>
      <c r="B135" s="91" t="s">
        <v>238</v>
      </c>
      <c r="C135" s="106">
        <f>0.1412*0.85</f>
        <v>0.12001999999999999</v>
      </c>
      <c r="D135" s="78"/>
      <c r="E135" s="78"/>
      <c r="F135" s="78"/>
    </row>
    <row r="136" spans="1:6" x14ac:dyDescent="0.25">
      <c r="A136" s="105" t="s">
        <v>1280</v>
      </c>
      <c r="B136" s="91" t="s">
        <v>238</v>
      </c>
      <c r="C136" s="106">
        <f>0.143*0.85</f>
        <v>0.12154999999999999</v>
      </c>
      <c r="D136" s="78"/>
      <c r="E136" s="78"/>
      <c r="F136" s="78"/>
    </row>
    <row r="137" spans="1:6" x14ac:dyDescent="0.25">
      <c r="A137" s="105" t="s">
        <v>1281</v>
      </c>
      <c r="B137" s="91" t="s">
        <v>238</v>
      </c>
      <c r="C137" s="106">
        <f>0.1448*0.85</f>
        <v>0.12308000000000001</v>
      </c>
      <c r="D137" s="78"/>
      <c r="E137" s="78"/>
      <c r="F137" s="78"/>
    </row>
    <row r="138" spans="1:6" x14ac:dyDescent="0.25">
      <c r="A138" s="105" t="s">
        <v>1282</v>
      </c>
      <c r="B138" s="91" t="s">
        <v>238</v>
      </c>
      <c r="C138" s="106">
        <f>0.1466*0.85</f>
        <v>0.12461</v>
      </c>
      <c r="D138" s="78"/>
      <c r="E138" s="78"/>
      <c r="F138" s="78"/>
    </row>
    <row r="139" spans="1:6" x14ac:dyDescent="0.25">
      <c r="A139" s="105" t="s">
        <v>1283</v>
      </c>
      <c r="B139" s="91" t="s">
        <v>238</v>
      </c>
      <c r="C139" s="106">
        <f>0.1485*0.85</f>
        <v>0.126225</v>
      </c>
      <c r="D139" s="78"/>
      <c r="E139" s="78"/>
      <c r="F139" s="78"/>
    </row>
    <row r="140" spans="1:6" x14ac:dyDescent="0.25">
      <c r="A140" s="105" t="s">
        <v>1284</v>
      </c>
      <c r="B140" s="91" t="s">
        <v>238</v>
      </c>
      <c r="C140" s="106">
        <f>0.1504*0.85</f>
        <v>0.12784000000000001</v>
      </c>
      <c r="D140" s="78"/>
      <c r="E140" s="78"/>
      <c r="F140" s="78"/>
    </row>
    <row r="141" spans="1:6" x14ac:dyDescent="0.25">
      <c r="A141" s="105" t="s">
        <v>1285</v>
      </c>
      <c r="B141" s="91" t="s">
        <v>238</v>
      </c>
      <c r="C141" s="106">
        <f>0.1522*0.85</f>
        <v>0.12936999999999999</v>
      </c>
      <c r="D141" s="78"/>
      <c r="E141" s="78"/>
      <c r="F141" s="78"/>
    </row>
    <row r="142" spans="1:6" x14ac:dyDescent="0.25">
      <c r="A142" s="105" t="s">
        <v>1286</v>
      </c>
      <c r="B142" s="91" t="s">
        <v>238</v>
      </c>
      <c r="C142" s="106">
        <f>0.1541*0.85</f>
        <v>0.13098499999999999</v>
      </c>
      <c r="D142" s="78"/>
      <c r="E142" s="78"/>
      <c r="F142" s="78"/>
    </row>
    <row r="143" spans="1:6" x14ac:dyDescent="0.25">
      <c r="A143" s="105" t="s">
        <v>1287</v>
      </c>
      <c r="B143" s="91" t="s">
        <v>238</v>
      </c>
      <c r="C143" s="106">
        <f>0.1561*0.85</f>
        <v>0.132685</v>
      </c>
      <c r="D143" s="78"/>
      <c r="E143" s="78"/>
      <c r="F143" s="78"/>
    </row>
    <row r="144" spans="1:6" x14ac:dyDescent="0.25">
      <c r="A144" s="105" t="s">
        <v>1288</v>
      </c>
      <c r="B144" s="91" t="s">
        <v>238</v>
      </c>
      <c r="C144" s="106">
        <f>0.158*0.85</f>
        <v>0.1343</v>
      </c>
      <c r="D144" s="78"/>
      <c r="E144" s="78"/>
      <c r="F144" s="78"/>
    </row>
    <row r="145" spans="1:6" x14ac:dyDescent="0.25">
      <c r="A145" s="105" t="s">
        <v>1289</v>
      </c>
      <c r="B145" s="91" t="s">
        <v>238</v>
      </c>
      <c r="C145" s="106">
        <f>0.1599*0.85</f>
        <v>0.13591499999999998</v>
      </c>
      <c r="D145" s="78"/>
      <c r="E145" s="78"/>
      <c r="F145" s="78"/>
    </row>
    <row r="146" spans="1:6" x14ac:dyDescent="0.25">
      <c r="A146" s="105" t="s">
        <v>1310</v>
      </c>
      <c r="B146" s="91" t="s">
        <v>238</v>
      </c>
      <c r="C146" s="106">
        <f>0.1619*0.85</f>
        <v>0.13761499999999999</v>
      </c>
      <c r="D146" s="78"/>
      <c r="E146" s="78"/>
      <c r="F146" s="78"/>
    </row>
    <row r="147" spans="1:6" x14ac:dyDescent="0.25">
      <c r="A147" s="105" t="s">
        <v>1311</v>
      </c>
      <c r="B147" s="91" t="s">
        <v>238</v>
      </c>
      <c r="C147" s="106">
        <f>0.1638*0.85</f>
        <v>0.13922999999999999</v>
      </c>
      <c r="D147" s="78"/>
      <c r="E147" s="78"/>
      <c r="F147" s="78"/>
    </row>
    <row r="148" spans="1:6" x14ac:dyDescent="0.25">
      <c r="A148" s="105" t="s">
        <v>1312</v>
      </c>
      <c r="B148" s="91" t="s">
        <v>238</v>
      </c>
      <c r="C148" s="106">
        <f>0.1657*0.85</f>
        <v>0.140845</v>
      </c>
      <c r="D148" s="78"/>
      <c r="E148" s="78"/>
      <c r="F148" s="78"/>
    </row>
    <row r="149" spans="1:6" x14ac:dyDescent="0.25">
      <c r="A149" s="105" t="s">
        <v>1313</v>
      </c>
      <c r="B149" s="91" t="s">
        <v>238</v>
      </c>
      <c r="C149" s="106">
        <f>0.1677*0.85</f>
        <v>0.14254499999999998</v>
      </c>
      <c r="D149" s="78"/>
      <c r="E149" s="78"/>
      <c r="F149" s="78"/>
    </row>
    <row r="150" spans="1:6" x14ac:dyDescent="0.25">
      <c r="A150" s="105" t="s">
        <v>1314</v>
      </c>
      <c r="B150" s="91" t="s">
        <v>238</v>
      </c>
      <c r="C150" s="106">
        <f>0.1697*0.85</f>
        <v>0.14424499999999998</v>
      </c>
      <c r="D150" s="78"/>
      <c r="E150" s="78"/>
      <c r="F150" s="78"/>
    </row>
    <row r="151" spans="1:6" x14ac:dyDescent="0.25">
      <c r="A151" s="105" t="s">
        <v>1315</v>
      </c>
      <c r="B151" s="91" t="s">
        <v>238</v>
      </c>
      <c r="C151" s="106">
        <f>0.1717*0.85</f>
        <v>0.14594499999999999</v>
      </c>
      <c r="D151" s="78"/>
      <c r="E151" s="78"/>
      <c r="F151" s="78"/>
    </row>
    <row r="152" spans="1:6" x14ac:dyDescent="0.25">
      <c r="A152" s="105" t="s">
        <v>1316</v>
      </c>
      <c r="B152" s="91" t="s">
        <v>238</v>
      </c>
      <c r="C152" s="106">
        <f>0.1736*0.85</f>
        <v>0.14756</v>
      </c>
      <c r="D152" s="78"/>
      <c r="E152" s="78"/>
      <c r="F152" s="78"/>
    </row>
    <row r="153" spans="1:6" x14ac:dyDescent="0.25">
      <c r="A153" s="105" t="s">
        <v>1317</v>
      </c>
      <c r="B153" s="91" t="s">
        <v>238</v>
      </c>
      <c r="C153" s="106">
        <f>0.1756*0.85</f>
        <v>0.14926</v>
      </c>
      <c r="D153" s="78"/>
      <c r="E153" s="78"/>
      <c r="F153" s="78"/>
    </row>
    <row r="154" spans="1:6" x14ac:dyDescent="0.25">
      <c r="A154" s="105" t="s">
        <v>1318</v>
      </c>
      <c r="B154" s="91" t="s">
        <v>238</v>
      </c>
      <c r="C154" s="106">
        <f>0.1776*0.85</f>
        <v>0.15096000000000001</v>
      </c>
      <c r="D154" s="78"/>
      <c r="E154" s="78"/>
      <c r="F154" s="78"/>
    </row>
    <row r="155" spans="1:6" x14ac:dyDescent="0.25">
      <c r="A155" s="105" t="s">
        <v>1319</v>
      </c>
      <c r="B155" s="91" t="s">
        <v>238</v>
      </c>
      <c r="C155" s="106">
        <f>0.1796*0.85</f>
        <v>0.15266000000000002</v>
      </c>
      <c r="D155" s="78"/>
      <c r="E155" s="78"/>
      <c r="F155" s="78"/>
    </row>
    <row r="156" spans="1:6" x14ac:dyDescent="0.25">
      <c r="A156" s="105" t="s">
        <v>1320</v>
      </c>
      <c r="B156" s="91" t="s">
        <v>238</v>
      </c>
      <c r="C156" s="106">
        <f>0.1816*0.85</f>
        <v>0.15436</v>
      </c>
      <c r="D156" s="78"/>
      <c r="E156" s="78"/>
      <c r="F156" s="78"/>
    </row>
    <row r="157" spans="1:6" x14ac:dyDescent="0.25">
      <c r="A157" s="105" t="s">
        <v>1321</v>
      </c>
      <c r="B157" s="91" t="s">
        <v>238</v>
      </c>
      <c r="C157" s="106">
        <f>0.1836*0.85</f>
        <v>0.15606</v>
      </c>
      <c r="D157" s="78"/>
      <c r="E157" s="78"/>
      <c r="F157" s="78"/>
    </row>
    <row r="158" spans="1:6" x14ac:dyDescent="0.25">
      <c r="A158" s="105" t="s">
        <v>1322</v>
      </c>
      <c r="B158" s="91" t="s">
        <v>238</v>
      </c>
      <c r="C158" s="106">
        <f>0.1856*0.85</f>
        <v>0.15775999999999998</v>
      </c>
      <c r="D158" s="78"/>
      <c r="E158" s="78"/>
      <c r="F158" s="78"/>
    </row>
    <row r="159" spans="1:6" x14ac:dyDescent="0.25">
      <c r="A159" s="105" t="s">
        <v>1323</v>
      </c>
      <c r="B159" s="91" t="s">
        <v>238</v>
      </c>
      <c r="C159" s="106">
        <f>0.1877*0.85</f>
        <v>0.15954499999999999</v>
      </c>
      <c r="D159" s="78"/>
      <c r="E159" s="78"/>
      <c r="F159" s="78"/>
    </row>
    <row r="160" spans="1:6" x14ac:dyDescent="0.25">
      <c r="A160" s="105" t="s">
        <v>1324</v>
      </c>
      <c r="B160" s="91" t="s">
        <v>238</v>
      </c>
      <c r="C160" s="106">
        <f>0.1897*0.85</f>
        <v>0.161245</v>
      </c>
      <c r="D160" s="78"/>
      <c r="E160" s="78"/>
      <c r="F160" s="78"/>
    </row>
    <row r="161" spans="1:6" x14ac:dyDescent="0.25">
      <c r="A161" s="105" t="s">
        <v>1325</v>
      </c>
      <c r="B161" s="91" t="s">
        <v>238</v>
      </c>
      <c r="C161" s="106">
        <f>0.1917*0.85</f>
        <v>0.16294500000000001</v>
      </c>
      <c r="D161" s="78"/>
      <c r="E161" s="78"/>
      <c r="F161" s="78"/>
    </row>
    <row r="162" spans="1:6" x14ac:dyDescent="0.25">
      <c r="A162" s="105" t="s">
        <v>1326</v>
      </c>
      <c r="B162" s="91" t="s">
        <v>238</v>
      </c>
      <c r="C162" s="106">
        <f>0.1937*0.85</f>
        <v>0.16464500000000001</v>
      </c>
      <c r="D162" s="78"/>
      <c r="E162" s="78"/>
      <c r="F162" s="78"/>
    </row>
    <row r="163" spans="1:6" x14ac:dyDescent="0.25">
      <c r="A163" s="105" t="s">
        <v>1327</v>
      </c>
      <c r="B163" s="91" t="s">
        <v>238</v>
      </c>
      <c r="C163" s="106">
        <f>0.1958*0.85</f>
        <v>0.16642999999999999</v>
      </c>
      <c r="D163" s="78"/>
      <c r="E163" s="78"/>
      <c r="F163" s="78"/>
    </row>
    <row r="164" spans="1:6" x14ac:dyDescent="0.25">
      <c r="A164" s="105" t="s">
        <v>1328</v>
      </c>
      <c r="B164" s="91" t="s">
        <v>238</v>
      </c>
      <c r="C164" s="106">
        <f>0.1978*0.85</f>
        <v>0.16813</v>
      </c>
      <c r="D164" s="78"/>
      <c r="E164" s="78"/>
      <c r="F164" s="78"/>
    </row>
    <row r="165" spans="1:6" x14ac:dyDescent="0.25">
      <c r="A165" s="105" t="s">
        <v>1329</v>
      </c>
      <c r="B165" s="91" t="s">
        <v>238</v>
      </c>
      <c r="C165" s="106">
        <f>0.1978*0.85</f>
        <v>0.16813</v>
      </c>
      <c r="D165" s="78"/>
      <c r="E165" s="78"/>
      <c r="F165" s="78"/>
    </row>
    <row r="166" spans="1:6" s="103" customFormat="1" x14ac:dyDescent="0.25">
      <c r="A166" s="105"/>
      <c r="B166" s="91"/>
      <c r="C166" s="106"/>
      <c r="D166" s="78"/>
      <c r="E166" s="78"/>
      <c r="F166" s="78"/>
    </row>
    <row r="167" spans="1:6" ht="17.25" x14ac:dyDescent="0.3">
      <c r="A167" s="111" t="s">
        <v>1654</v>
      </c>
      <c r="B167" s="111"/>
      <c r="C167" s="111"/>
      <c r="D167" s="111"/>
      <c r="E167" s="111"/>
      <c r="F167" s="111"/>
    </row>
    <row r="168" spans="1:6" x14ac:dyDescent="0.25">
      <c r="A168" s="76" t="s">
        <v>0</v>
      </c>
      <c r="B168" s="76" t="s">
        <v>1</v>
      </c>
      <c r="C168" s="76" t="s">
        <v>2</v>
      </c>
      <c r="D168" s="76" t="s">
        <v>4</v>
      </c>
      <c r="E168" s="76" t="s">
        <v>3</v>
      </c>
      <c r="F168" s="76" t="s">
        <v>21</v>
      </c>
    </row>
    <row r="169" spans="1:6" s="103" customFormat="1" x14ac:dyDescent="0.25">
      <c r="A169" s="90" t="s">
        <v>3143</v>
      </c>
      <c r="B169" s="91"/>
      <c r="C169" s="92">
        <v>25</v>
      </c>
      <c r="D169" s="78"/>
      <c r="E169" s="78"/>
      <c r="F169" s="78"/>
    </row>
    <row r="170" spans="1:6" x14ac:dyDescent="0.25">
      <c r="A170" s="90" t="s">
        <v>1816</v>
      </c>
      <c r="B170" s="91" t="s">
        <v>238</v>
      </c>
      <c r="C170" s="53">
        <v>2.0601806640625001E-2</v>
      </c>
      <c r="D170" s="78"/>
      <c r="E170" s="78"/>
      <c r="F170" s="78"/>
    </row>
    <row r="171" spans="1:6" x14ac:dyDescent="0.25">
      <c r="A171" s="90" t="s">
        <v>1817</v>
      </c>
      <c r="B171" s="91" t="s">
        <v>238</v>
      </c>
      <c r="C171" s="53">
        <v>2.6215820312499999E-2</v>
      </c>
      <c r="D171" s="78"/>
      <c r="E171" s="78"/>
      <c r="F171" s="78"/>
    </row>
    <row r="172" spans="1:6" x14ac:dyDescent="0.25">
      <c r="A172" s="90" t="s">
        <v>1818</v>
      </c>
      <c r="B172" s="91" t="s">
        <v>238</v>
      </c>
      <c r="C172" s="53">
        <v>3.1829833984375E-2</v>
      </c>
      <c r="D172" s="78"/>
      <c r="E172" s="78"/>
      <c r="F172" s="78"/>
    </row>
    <row r="173" spans="1:6" x14ac:dyDescent="0.25">
      <c r="A173" s="90" t="s">
        <v>1819</v>
      </c>
      <c r="B173" s="91" t="s">
        <v>238</v>
      </c>
      <c r="C173" s="53">
        <v>3.7443847656250001E-2</v>
      </c>
      <c r="D173" s="78"/>
      <c r="E173" s="78"/>
      <c r="F173" s="78"/>
    </row>
    <row r="174" spans="1:6" x14ac:dyDescent="0.25">
      <c r="A174" s="90" t="s">
        <v>1820</v>
      </c>
      <c r="B174" s="91" t="s">
        <v>238</v>
      </c>
      <c r="C174" s="53">
        <v>4.3057861328125002E-2</v>
      </c>
      <c r="D174" s="78"/>
      <c r="E174" s="78"/>
      <c r="F174" s="78"/>
    </row>
    <row r="175" spans="1:6" x14ac:dyDescent="0.25">
      <c r="A175" s="90" t="s">
        <v>1821</v>
      </c>
      <c r="B175" s="91" t="s">
        <v>238</v>
      </c>
      <c r="C175" s="53">
        <v>4.8671875000000003E-2</v>
      </c>
      <c r="D175" s="78"/>
      <c r="E175" s="78"/>
      <c r="F175" s="78"/>
    </row>
    <row r="176" spans="1:6" x14ac:dyDescent="0.25">
      <c r="A176" s="90" t="s">
        <v>1822</v>
      </c>
      <c r="B176" s="91" t="s">
        <v>238</v>
      </c>
      <c r="C176" s="53">
        <v>5.4285888671874998E-2</v>
      </c>
      <c r="D176" s="78"/>
      <c r="E176" s="78"/>
      <c r="F176" s="78"/>
    </row>
    <row r="177" spans="1:6" x14ac:dyDescent="0.25">
      <c r="A177" s="90" t="s">
        <v>1823</v>
      </c>
      <c r="B177" s="91" t="s">
        <v>238</v>
      </c>
      <c r="C177" s="53">
        <v>5.9899902343749999E-2</v>
      </c>
      <c r="D177" s="78"/>
      <c r="E177" s="78"/>
      <c r="F177" s="78"/>
    </row>
    <row r="178" spans="1:6" x14ac:dyDescent="0.25">
      <c r="A178" s="90" t="s">
        <v>1824</v>
      </c>
      <c r="B178" s="91" t="s">
        <v>238</v>
      </c>
      <c r="C178" s="53">
        <v>6.5513916015625007E-2</v>
      </c>
      <c r="D178" s="78"/>
      <c r="E178" s="78"/>
      <c r="F178" s="78"/>
    </row>
    <row r="179" spans="1:6" x14ac:dyDescent="0.25">
      <c r="A179" s="90" t="s">
        <v>1825</v>
      </c>
      <c r="B179" s="91" t="s">
        <v>238</v>
      </c>
      <c r="C179" s="53">
        <v>7.1127929687499994E-2</v>
      </c>
      <c r="D179" s="78"/>
      <c r="E179" s="78"/>
      <c r="F179" s="78"/>
    </row>
    <row r="180" spans="1:6" x14ac:dyDescent="0.25">
      <c r="A180" s="90" t="s">
        <v>1826</v>
      </c>
      <c r="B180" s="91" t="s">
        <v>238</v>
      </c>
      <c r="C180" s="53">
        <v>7.6741943359374995E-2</v>
      </c>
      <c r="D180" s="78"/>
      <c r="E180" s="78"/>
      <c r="F180" s="78"/>
    </row>
    <row r="181" spans="1:6" x14ac:dyDescent="0.25">
      <c r="A181" s="90" t="s">
        <v>1827</v>
      </c>
      <c r="B181" s="91" t="s">
        <v>238</v>
      </c>
      <c r="C181" s="53">
        <v>8.2355957031249996E-2</v>
      </c>
      <c r="D181" s="78"/>
      <c r="E181" s="78"/>
      <c r="F181" s="78"/>
    </row>
    <row r="182" spans="1:6" x14ac:dyDescent="0.25">
      <c r="A182" s="90" t="s">
        <v>1828</v>
      </c>
      <c r="B182" s="91" t="s">
        <v>238</v>
      </c>
      <c r="C182" s="53">
        <v>8.7969970703124997E-2</v>
      </c>
      <c r="D182" s="78"/>
      <c r="E182" s="78"/>
      <c r="F182" s="78"/>
    </row>
    <row r="183" spans="1:6" x14ac:dyDescent="0.25">
      <c r="A183" s="90" t="s">
        <v>1829</v>
      </c>
      <c r="B183" s="91" t="s">
        <v>238</v>
      </c>
      <c r="C183" s="53">
        <v>9.3583984374999998E-2</v>
      </c>
      <c r="D183" s="78"/>
      <c r="E183" s="78"/>
      <c r="F183" s="78"/>
    </row>
    <row r="184" spans="1:6" x14ac:dyDescent="0.25">
      <c r="A184" s="90" t="s">
        <v>1830</v>
      </c>
      <c r="B184" s="91" t="s">
        <v>238</v>
      </c>
      <c r="C184" s="53">
        <v>9.9197998046874999E-2</v>
      </c>
      <c r="D184" s="78"/>
      <c r="E184" s="78"/>
      <c r="F184" s="78"/>
    </row>
    <row r="185" spans="1:6" x14ac:dyDescent="0.25">
      <c r="A185" s="90" t="s">
        <v>1831</v>
      </c>
      <c r="B185" s="91" t="s">
        <v>238</v>
      </c>
      <c r="C185" s="53">
        <v>0.10481201171875</v>
      </c>
      <c r="D185" s="78"/>
      <c r="E185" s="78"/>
      <c r="F185" s="78"/>
    </row>
    <row r="186" spans="1:6" x14ac:dyDescent="0.25">
      <c r="A186" s="90" t="s">
        <v>1832</v>
      </c>
      <c r="B186" s="91" t="s">
        <v>238</v>
      </c>
      <c r="C186" s="53">
        <v>0.110426025390625</v>
      </c>
      <c r="D186" s="78"/>
      <c r="E186" s="78"/>
      <c r="F186" s="78"/>
    </row>
    <row r="187" spans="1:6" x14ac:dyDescent="0.25">
      <c r="A187" s="90" t="s">
        <v>1833</v>
      </c>
      <c r="B187" s="91" t="s">
        <v>238</v>
      </c>
      <c r="C187" s="53">
        <v>0.1160400390625</v>
      </c>
      <c r="D187" s="78"/>
      <c r="E187" s="78"/>
      <c r="F187" s="78"/>
    </row>
    <row r="188" spans="1:6" x14ac:dyDescent="0.25">
      <c r="A188" s="90" t="s">
        <v>1834</v>
      </c>
      <c r="B188" s="91" t="s">
        <v>238</v>
      </c>
      <c r="C188" s="53">
        <v>0.121654052734375</v>
      </c>
      <c r="D188" s="78"/>
      <c r="E188" s="78"/>
      <c r="F188" s="78"/>
    </row>
    <row r="189" spans="1:6" x14ac:dyDescent="0.25">
      <c r="A189" s="90" t="s">
        <v>1835</v>
      </c>
      <c r="B189" s="91" t="s">
        <v>238</v>
      </c>
      <c r="C189" s="53">
        <v>0.12726806640624999</v>
      </c>
      <c r="D189" s="78"/>
      <c r="E189" s="78"/>
      <c r="F189" s="78"/>
    </row>
    <row r="190" spans="1:6" x14ac:dyDescent="0.25">
      <c r="A190" s="90" t="s">
        <v>1836</v>
      </c>
      <c r="B190" s="91" t="s">
        <v>238</v>
      </c>
      <c r="C190" s="53">
        <v>0.13288208007812499</v>
      </c>
      <c r="D190" s="78"/>
      <c r="E190" s="78"/>
      <c r="F190" s="78"/>
    </row>
    <row r="191" spans="1:6" x14ac:dyDescent="0.25">
      <c r="A191" s="90" t="s">
        <v>1837</v>
      </c>
      <c r="B191" s="91" t="s">
        <v>238</v>
      </c>
      <c r="C191" s="53">
        <v>0.13849609374999999</v>
      </c>
      <c r="D191" s="78"/>
      <c r="E191" s="78"/>
      <c r="F191" s="78"/>
    </row>
    <row r="192" spans="1:6" x14ac:dyDescent="0.25">
      <c r="A192" s="90" t="s">
        <v>1838</v>
      </c>
      <c r="B192" s="91" t="s">
        <v>238</v>
      </c>
      <c r="C192" s="53">
        <v>0.14411010742187499</v>
      </c>
      <c r="D192" s="78"/>
      <c r="E192" s="78"/>
      <c r="F192" s="78"/>
    </row>
    <row r="193" spans="1:6" x14ac:dyDescent="0.25">
      <c r="A193" s="90" t="s">
        <v>1839</v>
      </c>
      <c r="B193" s="91" t="s">
        <v>238</v>
      </c>
      <c r="C193" s="53">
        <v>0.14972412109375</v>
      </c>
      <c r="D193" s="78"/>
      <c r="E193" s="78"/>
      <c r="F193" s="78"/>
    </row>
    <row r="194" spans="1:6" x14ac:dyDescent="0.25">
      <c r="A194" s="90" t="s">
        <v>1840</v>
      </c>
      <c r="B194" s="91" t="s">
        <v>238</v>
      </c>
      <c r="C194" s="53">
        <v>0.14972412109375</v>
      </c>
      <c r="D194" s="78"/>
      <c r="E194" s="78"/>
      <c r="F194" s="78"/>
    </row>
    <row r="195" spans="1:6" x14ac:dyDescent="0.25">
      <c r="A195" s="90" t="s">
        <v>1841</v>
      </c>
      <c r="B195" s="91" t="s">
        <v>238</v>
      </c>
      <c r="C195" s="53">
        <v>3.2000000000000001E-2</v>
      </c>
      <c r="D195" s="78"/>
      <c r="E195" s="78"/>
      <c r="F195" s="78"/>
    </row>
    <row r="196" spans="1:6" x14ac:dyDescent="0.25">
      <c r="A196" s="90" t="s">
        <v>1842</v>
      </c>
      <c r="B196" s="91" t="s">
        <v>238</v>
      </c>
      <c r="C196" s="53">
        <v>3.3000000000000002E-2</v>
      </c>
      <c r="D196" s="78"/>
      <c r="E196" s="78"/>
      <c r="F196" s="78"/>
    </row>
    <row r="197" spans="1:6" x14ac:dyDescent="0.25">
      <c r="A197" s="90" t="s">
        <v>1843</v>
      </c>
      <c r="B197" s="91" t="s">
        <v>238</v>
      </c>
      <c r="C197" s="53">
        <v>3.4000000000000002E-2</v>
      </c>
      <c r="D197" s="78"/>
      <c r="E197" s="78"/>
      <c r="F197" s="78"/>
    </row>
    <row r="198" spans="1:6" x14ac:dyDescent="0.25">
      <c r="A198" s="90" t="s">
        <v>1844</v>
      </c>
      <c r="B198" s="91" t="s">
        <v>238</v>
      </c>
      <c r="C198" s="53">
        <v>3.5000000000000003E-2</v>
      </c>
      <c r="D198" s="78"/>
      <c r="E198" s="78"/>
      <c r="F198" s="78"/>
    </row>
    <row r="199" spans="1:6" x14ac:dyDescent="0.25">
      <c r="A199" s="90" t="s">
        <v>1845</v>
      </c>
      <c r="B199" s="91" t="s">
        <v>238</v>
      </c>
      <c r="C199" s="53">
        <v>3.5999999999999997E-2</v>
      </c>
      <c r="D199" s="78"/>
      <c r="E199" s="78"/>
      <c r="F199" s="78"/>
    </row>
    <row r="200" spans="1:6" x14ac:dyDescent="0.25">
      <c r="A200" s="90" t="s">
        <v>1846</v>
      </c>
      <c r="B200" s="91" t="s">
        <v>238</v>
      </c>
      <c r="C200" s="53">
        <v>3.6999999999999998E-2</v>
      </c>
      <c r="D200" s="78"/>
      <c r="E200" s="78"/>
      <c r="F200" s="78"/>
    </row>
    <row r="201" spans="1:6" x14ac:dyDescent="0.25">
      <c r="A201" s="90" t="s">
        <v>1847</v>
      </c>
      <c r="B201" s="91" t="s">
        <v>238</v>
      </c>
      <c r="C201" s="53">
        <v>3.7999999999999999E-2</v>
      </c>
      <c r="D201" s="78"/>
      <c r="E201" s="78"/>
      <c r="F201" s="78"/>
    </row>
    <row r="202" spans="1:6" x14ac:dyDescent="0.25">
      <c r="A202" s="90" t="s">
        <v>1848</v>
      </c>
      <c r="B202" s="91" t="s">
        <v>238</v>
      </c>
      <c r="C202" s="53">
        <v>3.9E-2</v>
      </c>
      <c r="D202" s="78"/>
      <c r="E202" s="78"/>
      <c r="F202" s="78"/>
    </row>
    <row r="203" spans="1:6" x14ac:dyDescent="0.25">
      <c r="A203" s="90" t="s">
        <v>1849</v>
      </c>
      <c r="B203" s="91" t="s">
        <v>238</v>
      </c>
      <c r="C203" s="53">
        <v>0.04</v>
      </c>
      <c r="D203" s="78"/>
      <c r="E203" s="78"/>
      <c r="F203" s="78"/>
    </row>
    <row r="204" spans="1:6" x14ac:dyDescent="0.25">
      <c r="A204" s="90" t="s">
        <v>1850</v>
      </c>
      <c r="B204" s="91" t="s">
        <v>238</v>
      </c>
      <c r="C204" s="53">
        <v>4.1000000000000002E-2</v>
      </c>
      <c r="D204" s="78"/>
      <c r="E204" s="78"/>
      <c r="F204" s="78"/>
    </row>
    <row r="205" spans="1:6" x14ac:dyDescent="0.25">
      <c r="A205" s="90" t="s">
        <v>1851</v>
      </c>
      <c r="B205" s="91" t="s">
        <v>238</v>
      </c>
      <c r="C205" s="53">
        <v>4.2000000000000003E-2</v>
      </c>
      <c r="D205" s="78"/>
      <c r="E205" s="78"/>
      <c r="F205" s="78"/>
    </row>
    <row r="206" spans="1:6" x14ac:dyDescent="0.25">
      <c r="A206" s="90" t="s">
        <v>1852</v>
      </c>
      <c r="B206" s="91" t="s">
        <v>238</v>
      </c>
      <c r="C206" s="53">
        <v>4.2999999999999997E-2</v>
      </c>
      <c r="D206" s="78"/>
      <c r="E206" s="78"/>
      <c r="F206" s="78"/>
    </row>
    <row r="207" spans="1:6" x14ac:dyDescent="0.25">
      <c r="A207" s="90" t="s">
        <v>1853</v>
      </c>
      <c r="B207" s="91" t="s">
        <v>238</v>
      </c>
      <c r="C207" s="53">
        <v>4.3999999999999997E-2</v>
      </c>
      <c r="D207" s="78"/>
      <c r="E207" s="78"/>
      <c r="F207" s="78"/>
    </row>
    <row r="208" spans="1:6" x14ac:dyDescent="0.25">
      <c r="A208" s="90" t="s">
        <v>1854</v>
      </c>
      <c r="B208" s="91" t="s">
        <v>238</v>
      </c>
      <c r="C208" s="53">
        <v>4.4999999999999998E-2</v>
      </c>
      <c r="D208" s="78"/>
      <c r="E208" s="78"/>
      <c r="F208" s="78"/>
    </row>
    <row r="209" spans="1:6" x14ac:dyDescent="0.25">
      <c r="A209" s="90" t="s">
        <v>1855</v>
      </c>
      <c r="B209" s="91" t="s">
        <v>238</v>
      </c>
      <c r="C209" s="53">
        <v>4.5999999999999999E-2</v>
      </c>
      <c r="D209" s="78"/>
      <c r="E209" s="78"/>
      <c r="F209" s="78"/>
    </row>
    <row r="210" spans="1:6" x14ac:dyDescent="0.25">
      <c r="A210" s="90" t="s">
        <v>1856</v>
      </c>
      <c r="B210" s="91" t="s">
        <v>238</v>
      </c>
      <c r="C210" s="53">
        <v>4.7E-2</v>
      </c>
      <c r="D210" s="78"/>
      <c r="E210" s="78"/>
      <c r="F210" s="78"/>
    </row>
    <row r="211" spans="1:6" x14ac:dyDescent="0.25">
      <c r="A211" s="90" t="s">
        <v>1857</v>
      </c>
      <c r="B211" s="91" t="s">
        <v>238</v>
      </c>
      <c r="C211" s="53">
        <v>4.8000000000000001E-2</v>
      </c>
      <c r="D211" s="78"/>
      <c r="E211" s="78"/>
      <c r="F211" s="78"/>
    </row>
    <row r="212" spans="1:6" x14ac:dyDescent="0.25">
      <c r="A212" s="90" t="s">
        <v>1858</v>
      </c>
      <c r="B212" s="91" t="s">
        <v>238</v>
      </c>
      <c r="C212" s="53">
        <v>4.9000000000000002E-2</v>
      </c>
      <c r="D212" s="78"/>
      <c r="E212" s="78"/>
      <c r="F212" s="78"/>
    </row>
    <row r="213" spans="1:6" x14ac:dyDescent="0.25">
      <c r="A213" s="90" t="s">
        <v>1859</v>
      </c>
      <c r="B213" s="91" t="s">
        <v>238</v>
      </c>
      <c r="C213" s="53">
        <v>0.05</v>
      </c>
      <c r="D213" s="78"/>
      <c r="E213" s="78"/>
      <c r="F213" s="78"/>
    </row>
    <row r="214" spans="1:6" x14ac:dyDescent="0.25">
      <c r="A214" s="90" t="s">
        <v>1860</v>
      </c>
      <c r="B214" s="91" t="s">
        <v>238</v>
      </c>
      <c r="C214" s="53">
        <v>5.0999999999999997E-2</v>
      </c>
      <c r="D214" s="78"/>
      <c r="E214" s="78"/>
      <c r="F214" s="78"/>
    </row>
    <row r="215" spans="1:6" x14ac:dyDescent="0.25">
      <c r="A215" s="90" t="s">
        <v>1861</v>
      </c>
      <c r="B215" s="91" t="s">
        <v>238</v>
      </c>
      <c r="C215" s="53">
        <v>5.1999999999999998E-2</v>
      </c>
      <c r="D215" s="78"/>
      <c r="E215" s="78"/>
      <c r="F215" s="78"/>
    </row>
    <row r="216" spans="1:6" x14ac:dyDescent="0.25">
      <c r="A216" s="90" t="s">
        <v>1862</v>
      </c>
      <c r="B216" s="91" t="s">
        <v>238</v>
      </c>
      <c r="C216" s="53">
        <v>5.2999999999999999E-2</v>
      </c>
      <c r="D216" s="78"/>
      <c r="E216" s="78"/>
      <c r="F216" s="78"/>
    </row>
    <row r="217" spans="1:6" x14ac:dyDescent="0.25">
      <c r="A217" s="90" t="s">
        <v>1863</v>
      </c>
      <c r="B217" s="91" t="s">
        <v>238</v>
      </c>
      <c r="C217" s="53">
        <v>5.3999999999999999E-2</v>
      </c>
      <c r="D217" s="78"/>
      <c r="E217" s="78"/>
      <c r="F217" s="78"/>
    </row>
    <row r="218" spans="1:6" x14ac:dyDescent="0.25">
      <c r="A218" s="90" t="s">
        <v>1864</v>
      </c>
      <c r="B218" s="91" t="s">
        <v>238</v>
      </c>
      <c r="C218" s="53">
        <v>5.5E-2</v>
      </c>
      <c r="D218" s="78"/>
      <c r="E218" s="78"/>
      <c r="F218" s="78"/>
    </row>
    <row r="219" spans="1:6" x14ac:dyDescent="0.25">
      <c r="A219" s="90" t="s">
        <v>1865</v>
      </c>
      <c r="B219" s="91" t="s">
        <v>238</v>
      </c>
      <c r="C219" s="53">
        <v>5.6000000000000001E-2</v>
      </c>
      <c r="D219" s="78"/>
      <c r="E219" s="78"/>
      <c r="F219" s="78"/>
    </row>
    <row r="220" spans="1:6" x14ac:dyDescent="0.25">
      <c r="A220" s="90" t="s">
        <v>1866</v>
      </c>
      <c r="B220" s="91" t="s">
        <v>238</v>
      </c>
      <c r="C220" s="53">
        <v>5.7000000000000002E-2</v>
      </c>
      <c r="D220" s="78"/>
      <c r="E220" s="78"/>
      <c r="F220" s="78"/>
    </row>
    <row r="221" spans="1:6" x14ac:dyDescent="0.25">
      <c r="A221" s="90" t="s">
        <v>1867</v>
      </c>
      <c r="B221" s="91" t="s">
        <v>238</v>
      </c>
      <c r="C221" s="53">
        <v>5.8000000000000003E-2</v>
      </c>
      <c r="D221" s="78"/>
      <c r="E221" s="78"/>
      <c r="F221" s="78"/>
    </row>
    <row r="222" spans="1:6" x14ac:dyDescent="0.25">
      <c r="A222" s="90" t="s">
        <v>1868</v>
      </c>
      <c r="B222" s="91" t="s">
        <v>238</v>
      </c>
      <c r="C222" s="53">
        <v>5.8999999999999997E-2</v>
      </c>
      <c r="D222" s="78"/>
      <c r="E222" s="78"/>
      <c r="F222" s="78"/>
    </row>
    <row r="223" spans="1:6" x14ac:dyDescent="0.25">
      <c r="A223" s="90" t="s">
        <v>1869</v>
      </c>
      <c r="B223" s="91" t="s">
        <v>238</v>
      </c>
      <c r="C223" s="53">
        <v>0.06</v>
      </c>
      <c r="D223" s="78"/>
      <c r="E223" s="78"/>
      <c r="F223" s="78"/>
    </row>
    <row r="224" spans="1:6" x14ac:dyDescent="0.25">
      <c r="A224" s="90" t="s">
        <v>1870</v>
      </c>
      <c r="B224" s="91" t="s">
        <v>238</v>
      </c>
      <c r="C224" s="53">
        <v>6.0999999999999999E-2</v>
      </c>
      <c r="D224" s="78"/>
      <c r="E224" s="78"/>
      <c r="F224" s="78"/>
    </row>
    <row r="225" spans="1:6" x14ac:dyDescent="0.25">
      <c r="A225" s="90" t="s">
        <v>1871</v>
      </c>
      <c r="B225" s="91" t="s">
        <v>238</v>
      </c>
      <c r="C225" s="53">
        <v>6.2E-2</v>
      </c>
      <c r="D225" s="78"/>
      <c r="E225" s="78"/>
      <c r="F225" s="78"/>
    </row>
    <row r="226" spans="1:6" x14ac:dyDescent="0.25">
      <c r="A226" s="90" t="s">
        <v>1872</v>
      </c>
      <c r="B226" s="91" t="s">
        <v>238</v>
      </c>
      <c r="C226" s="53">
        <v>6.3E-2</v>
      </c>
      <c r="D226" s="78"/>
      <c r="E226" s="78"/>
      <c r="F226" s="78"/>
    </row>
    <row r="227" spans="1:6" x14ac:dyDescent="0.25">
      <c r="A227" s="90" t="s">
        <v>1873</v>
      </c>
      <c r="B227" s="91" t="s">
        <v>238</v>
      </c>
      <c r="C227" s="53">
        <v>6.4000000000000001E-2</v>
      </c>
      <c r="D227" s="78"/>
      <c r="E227" s="78"/>
      <c r="F227" s="78"/>
    </row>
    <row r="228" spans="1:6" x14ac:dyDescent="0.25">
      <c r="A228" s="90" t="s">
        <v>1874</v>
      </c>
      <c r="B228" s="91" t="s">
        <v>238</v>
      </c>
      <c r="C228" s="53">
        <v>6.5000000000000002E-2</v>
      </c>
      <c r="D228" s="78"/>
      <c r="E228" s="78"/>
      <c r="F228" s="78"/>
    </row>
    <row r="229" spans="1:6" x14ac:dyDescent="0.25">
      <c r="A229" s="90" t="s">
        <v>1875</v>
      </c>
      <c r="B229" s="91" t="s">
        <v>238</v>
      </c>
      <c r="C229" s="53">
        <v>6.6000000000000003E-2</v>
      </c>
      <c r="D229" s="78"/>
      <c r="E229" s="78"/>
      <c r="F229" s="78"/>
    </row>
    <row r="230" spans="1:6" x14ac:dyDescent="0.25">
      <c r="A230" s="90" t="s">
        <v>1876</v>
      </c>
      <c r="B230" s="91" t="s">
        <v>238</v>
      </c>
      <c r="C230" s="53">
        <v>6.7000000000000004E-2</v>
      </c>
      <c r="D230" s="78"/>
      <c r="E230" s="78"/>
      <c r="F230" s="78"/>
    </row>
    <row r="231" spans="1:6" x14ac:dyDescent="0.25">
      <c r="A231" s="90" t="s">
        <v>1877</v>
      </c>
      <c r="B231" s="91" t="s">
        <v>238</v>
      </c>
      <c r="C231" s="53">
        <v>6.8000000000000005E-2</v>
      </c>
      <c r="D231" s="78"/>
      <c r="E231" s="78"/>
      <c r="F231" s="78"/>
    </row>
    <row r="232" spans="1:6" x14ac:dyDescent="0.25">
      <c r="A232" s="90" t="s">
        <v>1878</v>
      </c>
      <c r="B232" s="91" t="s">
        <v>238</v>
      </c>
      <c r="C232" s="53">
        <v>6.9000000000000006E-2</v>
      </c>
      <c r="D232" s="78"/>
      <c r="E232" s="78"/>
      <c r="F232" s="78"/>
    </row>
    <row r="233" spans="1:6" x14ac:dyDescent="0.25">
      <c r="A233" s="90" t="s">
        <v>1879</v>
      </c>
      <c r="B233" s="91" t="s">
        <v>238</v>
      </c>
      <c r="C233" s="53">
        <v>7.0000000000000007E-2</v>
      </c>
      <c r="D233" s="78"/>
      <c r="E233" s="78"/>
      <c r="F233" s="78"/>
    </row>
    <row r="234" spans="1:6" x14ac:dyDescent="0.25">
      <c r="A234" s="90" t="s">
        <v>1880</v>
      </c>
      <c r="B234" s="91" t="s">
        <v>238</v>
      </c>
      <c r="C234" s="53">
        <v>7.0999999999999994E-2</v>
      </c>
      <c r="D234" s="78"/>
      <c r="E234" s="78"/>
      <c r="F234" s="78"/>
    </row>
    <row r="235" spans="1:6" x14ac:dyDescent="0.25">
      <c r="A235" s="90" t="s">
        <v>1881</v>
      </c>
      <c r="B235" s="91" t="s">
        <v>238</v>
      </c>
      <c r="C235" s="53">
        <v>7.1999999999999995E-2</v>
      </c>
      <c r="D235" s="78"/>
      <c r="E235" s="78"/>
      <c r="F235" s="78"/>
    </row>
    <row r="236" spans="1:6" x14ac:dyDescent="0.25">
      <c r="A236" s="90" t="s">
        <v>1882</v>
      </c>
      <c r="B236" s="91" t="s">
        <v>238</v>
      </c>
      <c r="C236" s="53">
        <v>7.2999999999999995E-2</v>
      </c>
      <c r="D236" s="78"/>
      <c r="E236" s="78"/>
      <c r="F236" s="78"/>
    </row>
    <row r="237" spans="1:6" x14ac:dyDescent="0.25">
      <c r="A237" s="90" t="s">
        <v>1883</v>
      </c>
      <c r="B237" s="91" t="s">
        <v>238</v>
      </c>
      <c r="C237" s="53">
        <v>7.3999999999999996E-2</v>
      </c>
      <c r="D237" s="78"/>
      <c r="E237" s="78"/>
      <c r="F237" s="78"/>
    </row>
    <row r="238" spans="1:6" x14ac:dyDescent="0.25">
      <c r="A238" s="90" t="s">
        <v>1884</v>
      </c>
      <c r="B238" s="91" t="s">
        <v>238</v>
      </c>
      <c r="C238" s="53">
        <v>7.4999999999999997E-2</v>
      </c>
      <c r="D238" s="78"/>
      <c r="E238" s="78"/>
      <c r="F238" s="78"/>
    </row>
    <row r="239" spans="1:6" x14ac:dyDescent="0.25">
      <c r="A239" s="90" t="s">
        <v>1885</v>
      </c>
      <c r="B239" s="91" t="s">
        <v>238</v>
      </c>
      <c r="C239" s="53">
        <v>7.5999999999999998E-2</v>
      </c>
      <c r="D239" s="78"/>
      <c r="E239" s="78"/>
      <c r="F239" s="78"/>
    </row>
    <row r="240" spans="1:6" x14ac:dyDescent="0.25">
      <c r="A240" s="90" t="s">
        <v>1886</v>
      </c>
      <c r="B240" s="91" t="s">
        <v>238</v>
      </c>
      <c r="C240" s="53">
        <v>7.6999999999999999E-2</v>
      </c>
      <c r="D240" s="78"/>
      <c r="E240" s="78"/>
      <c r="F240" s="78"/>
    </row>
    <row r="241" spans="1:6" x14ac:dyDescent="0.25">
      <c r="A241" s="90" t="s">
        <v>1887</v>
      </c>
      <c r="B241" s="91" t="s">
        <v>238</v>
      </c>
      <c r="C241" s="53">
        <v>7.8E-2</v>
      </c>
      <c r="D241" s="78"/>
      <c r="E241" s="78"/>
      <c r="F241" s="78"/>
    </row>
    <row r="242" spans="1:6" x14ac:dyDescent="0.25">
      <c r="A242" s="90" t="s">
        <v>1888</v>
      </c>
      <c r="B242" s="91" t="s">
        <v>238</v>
      </c>
      <c r="C242" s="53">
        <v>7.9000000000000001E-2</v>
      </c>
      <c r="D242" s="78"/>
      <c r="E242" s="78"/>
      <c r="F242" s="78"/>
    </row>
    <row r="243" spans="1:6" x14ac:dyDescent="0.25">
      <c r="A243" s="90" t="s">
        <v>1889</v>
      </c>
      <c r="B243" s="91" t="s">
        <v>238</v>
      </c>
      <c r="C243" s="53">
        <v>0.08</v>
      </c>
      <c r="D243" s="78"/>
      <c r="E243" s="78"/>
      <c r="F243" s="78"/>
    </row>
    <row r="244" spans="1:6" x14ac:dyDescent="0.25">
      <c r="A244" s="90" t="s">
        <v>1890</v>
      </c>
      <c r="B244" s="91" t="s">
        <v>238</v>
      </c>
      <c r="C244" s="53">
        <v>8.1000000000000003E-2</v>
      </c>
      <c r="D244" s="78"/>
      <c r="E244" s="78"/>
      <c r="F244" s="78"/>
    </row>
    <row r="245" spans="1:6" x14ac:dyDescent="0.25">
      <c r="A245" s="90" t="s">
        <v>1891</v>
      </c>
      <c r="B245" s="91" t="s">
        <v>238</v>
      </c>
      <c r="C245" s="53">
        <v>8.2000000000000003E-2</v>
      </c>
      <c r="D245" s="78"/>
      <c r="E245" s="78"/>
      <c r="F245" s="78"/>
    </row>
    <row r="246" spans="1:6" x14ac:dyDescent="0.25">
      <c r="A246" s="90" t="s">
        <v>1892</v>
      </c>
      <c r="B246" s="91" t="s">
        <v>238</v>
      </c>
      <c r="C246" s="53">
        <v>8.3000000000000004E-2</v>
      </c>
      <c r="D246" s="78"/>
      <c r="E246" s="78"/>
      <c r="F246" s="78"/>
    </row>
    <row r="247" spans="1:6" x14ac:dyDescent="0.25">
      <c r="A247" s="90" t="s">
        <v>1893</v>
      </c>
      <c r="B247" s="91" t="s">
        <v>238</v>
      </c>
      <c r="C247" s="53">
        <v>8.4000000000000005E-2</v>
      </c>
      <c r="D247" s="78"/>
      <c r="E247" s="78"/>
      <c r="F247" s="78"/>
    </row>
    <row r="248" spans="1:6" x14ac:dyDescent="0.25">
      <c r="A248" s="90" t="s">
        <v>1894</v>
      </c>
      <c r="B248" s="91" t="s">
        <v>238</v>
      </c>
      <c r="C248" s="53">
        <v>8.5000000000000006E-2</v>
      </c>
      <c r="D248" s="78"/>
      <c r="E248" s="78"/>
      <c r="F248" s="78"/>
    </row>
    <row r="249" spans="1:6" x14ac:dyDescent="0.25">
      <c r="A249" s="90" t="s">
        <v>1895</v>
      </c>
      <c r="B249" s="91" t="s">
        <v>238</v>
      </c>
      <c r="C249" s="53">
        <v>8.5999999999999993E-2</v>
      </c>
      <c r="D249" s="78"/>
      <c r="E249" s="78"/>
      <c r="F249" s="78"/>
    </row>
    <row r="250" spans="1:6" x14ac:dyDescent="0.25">
      <c r="A250" s="90" t="s">
        <v>1896</v>
      </c>
      <c r="B250" s="91" t="s">
        <v>238</v>
      </c>
      <c r="C250" s="53">
        <v>8.6999999999999994E-2</v>
      </c>
      <c r="D250" s="78"/>
      <c r="E250" s="78"/>
      <c r="F250" s="78"/>
    </row>
    <row r="251" spans="1:6" x14ac:dyDescent="0.25">
      <c r="A251" s="90" t="s">
        <v>1897</v>
      </c>
      <c r="B251" s="91" t="s">
        <v>238</v>
      </c>
      <c r="C251" s="53">
        <v>8.7999999999999995E-2</v>
      </c>
      <c r="D251" s="78"/>
      <c r="E251" s="78"/>
      <c r="F251" s="78"/>
    </row>
    <row r="252" spans="1:6" x14ac:dyDescent="0.25">
      <c r="A252" s="90" t="s">
        <v>1898</v>
      </c>
      <c r="B252" s="91" t="s">
        <v>238</v>
      </c>
      <c r="C252" s="53">
        <v>8.8999999999999996E-2</v>
      </c>
      <c r="D252" s="78"/>
      <c r="E252" s="78"/>
      <c r="F252" s="78"/>
    </row>
    <row r="253" spans="1:6" x14ac:dyDescent="0.25">
      <c r="A253" s="90" t="s">
        <v>1899</v>
      </c>
      <c r="B253" s="91" t="s">
        <v>238</v>
      </c>
      <c r="C253" s="53">
        <v>0.09</v>
      </c>
      <c r="D253" s="78"/>
      <c r="E253" s="78"/>
      <c r="F253" s="78"/>
    </row>
    <row r="254" spans="1:6" x14ac:dyDescent="0.25">
      <c r="A254" s="90" t="s">
        <v>1900</v>
      </c>
      <c r="B254" s="91" t="s">
        <v>238</v>
      </c>
      <c r="C254" s="53">
        <v>9.0999999999999998E-2</v>
      </c>
      <c r="D254" s="78"/>
      <c r="E254" s="78"/>
      <c r="F254" s="78"/>
    </row>
    <row r="255" spans="1:6" x14ac:dyDescent="0.25">
      <c r="A255" s="90" t="s">
        <v>1901</v>
      </c>
      <c r="B255" s="91" t="s">
        <v>238</v>
      </c>
      <c r="C255" s="53">
        <v>9.1999999999999998E-2</v>
      </c>
      <c r="D255" s="78"/>
      <c r="E255" s="78"/>
      <c r="F255" s="78"/>
    </row>
    <row r="256" spans="1:6" x14ac:dyDescent="0.25">
      <c r="A256" s="90" t="s">
        <v>1902</v>
      </c>
      <c r="B256" s="91" t="s">
        <v>238</v>
      </c>
      <c r="C256" s="53">
        <v>9.2999999999999999E-2</v>
      </c>
      <c r="D256" s="78"/>
      <c r="E256" s="78"/>
      <c r="F256" s="78"/>
    </row>
    <row r="257" spans="1:6" x14ac:dyDescent="0.25">
      <c r="A257" s="90" t="s">
        <v>1903</v>
      </c>
      <c r="B257" s="91" t="s">
        <v>238</v>
      </c>
      <c r="C257" s="53">
        <v>9.4E-2</v>
      </c>
      <c r="D257" s="78"/>
      <c r="E257" s="78"/>
      <c r="F257" s="78"/>
    </row>
    <row r="258" spans="1:6" x14ac:dyDescent="0.25">
      <c r="A258" s="90" t="s">
        <v>1904</v>
      </c>
      <c r="B258" s="91" t="s">
        <v>238</v>
      </c>
      <c r="C258" s="53">
        <v>9.5000000000000001E-2</v>
      </c>
      <c r="D258" s="78"/>
      <c r="E258" s="78"/>
      <c r="F258" s="78"/>
    </row>
    <row r="259" spans="1:6" x14ac:dyDescent="0.25">
      <c r="A259" s="90" t="s">
        <v>1905</v>
      </c>
      <c r="B259" s="91" t="s">
        <v>238</v>
      </c>
      <c r="C259" s="53">
        <v>9.6000000000000002E-2</v>
      </c>
      <c r="D259" s="78"/>
      <c r="E259" s="78"/>
      <c r="F259" s="78"/>
    </row>
    <row r="260" spans="1:6" x14ac:dyDescent="0.25">
      <c r="A260" s="90" t="s">
        <v>1906</v>
      </c>
      <c r="B260" s="91" t="s">
        <v>238</v>
      </c>
      <c r="C260" s="53">
        <v>9.7000000000000003E-2</v>
      </c>
      <c r="D260" s="78"/>
      <c r="E260" s="78"/>
      <c r="F260" s="78"/>
    </row>
    <row r="261" spans="1:6" x14ac:dyDescent="0.25">
      <c r="A261" s="90" t="s">
        <v>1907</v>
      </c>
      <c r="B261" s="91" t="s">
        <v>238</v>
      </c>
      <c r="C261" s="53">
        <v>9.8000000000000004E-2</v>
      </c>
      <c r="D261" s="78"/>
      <c r="E261" s="78"/>
      <c r="F261" s="78"/>
    </row>
    <row r="262" spans="1:6" x14ac:dyDescent="0.25">
      <c r="A262" s="90" t="s">
        <v>1908</v>
      </c>
      <c r="B262" s="91" t="s">
        <v>238</v>
      </c>
      <c r="C262" s="53">
        <v>9.9000000000000005E-2</v>
      </c>
      <c r="D262" s="78"/>
      <c r="E262" s="78"/>
      <c r="F262" s="78"/>
    </row>
    <row r="263" spans="1:6" x14ac:dyDescent="0.25">
      <c r="A263" s="90" t="s">
        <v>1909</v>
      </c>
      <c r="B263" s="91" t="s">
        <v>238</v>
      </c>
      <c r="C263" s="53">
        <v>0.1</v>
      </c>
      <c r="D263" s="78"/>
      <c r="E263" s="78"/>
      <c r="F263" s="78"/>
    </row>
    <row r="264" spans="1:6" x14ac:dyDescent="0.25">
      <c r="A264" s="90" t="s">
        <v>1910</v>
      </c>
      <c r="B264" s="91" t="s">
        <v>238</v>
      </c>
      <c r="C264" s="53">
        <v>0.10100000000000001</v>
      </c>
      <c r="D264" s="78"/>
      <c r="E264" s="78"/>
      <c r="F264" s="78"/>
    </row>
    <row r="265" spans="1:6" x14ac:dyDescent="0.25">
      <c r="A265" s="90" t="s">
        <v>1911</v>
      </c>
      <c r="B265" s="91" t="s">
        <v>238</v>
      </c>
      <c r="C265" s="53">
        <v>0.10199999999999999</v>
      </c>
      <c r="D265" s="78"/>
      <c r="E265" s="78"/>
      <c r="F265" s="78"/>
    </row>
    <row r="266" spans="1:6" x14ac:dyDescent="0.25">
      <c r="A266" s="90" t="s">
        <v>1912</v>
      </c>
      <c r="B266" s="91" t="s">
        <v>238</v>
      </c>
      <c r="C266" s="53">
        <v>0.10299999999999999</v>
      </c>
      <c r="D266" s="78"/>
      <c r="E266" s="78"/>
      <c r="F266" s="78"/>
    </row>
    <row r="267" spans="1:6" x14ac:dyDescent="0.25">
      <c r="A267" s="90" t="s">
        <v>1913</v>
      </c>
      <c r="B267" s="91" t="s">
        <v>238</v>
      </c>
      <c r="C267" s="53">
        <v>0.104</v>
      </c>
      <c r="D267" s="78"/>
      <c r="E267" s="78"/>
      <c r="F267" s="78"/>
    </row>
    <row r="268" spans="1:6" x14ac:dyDescent="0.25">
      <c r="A268" s="90" t="s">
        <v>1914</v>
      </c>
      <c r="B268" s="91" t="s">
        <v>238</v>
      </c>
      <c r="C268" s="53">
        <v>0.105</v>
      </c>
      <c r="D268" s="78"/>
      <c r="E268" s="78"/>
      <c r="F268" s="78"/>
    </row>
    <row r="269" spans="1:6" x14ac:dyDescent="0.25">
      <c r="A269" s="90" t="s">
        <v>1915</v>
      </c>
      <c r="B269" s="91" t="s">
        <v>238</v>
      </c>
      <c r="C269" s="53">
        <v>0.106</v>
      </c>
      <c r="D269" s="78"/>
      <c r="E269" s="78"/>
      <c r="F269" s="78"/>
    </row>
    <row r="270" spans="1:6" x14ac:dyDescent="0.25">
      <c r="A270" s="90" t="s">
        <v>1916</v>
      </c>
      <c r="B270" s="91" t="s">
        <v>238</v>
      </c>
      <c r="C270" s="53">
        <v>0.107</v>
      </c>
      <c r="D270" s="78"/>
      <c r="E270" s="78"/>
      <c r="F270" s="78"/>
    </row>
    <row r="271" spans="1:6" x14ac:dyDescent="0.25">
      <c r="A271" s="90" t="s">
        <v>1917</v>
      </c>
      <c r="B271" s="91" t="s">
        <v>238</v>
      </c>
      <c r="C271" s="53">
        <v>0.108</v>
      </c>
      <c r="D271" s="78"/>
      <c r="E271" s="78"/>
      <c r="F271" s="78"/>
    </row>
    <row r="272" spans="1:6" x14ac:dyDescent="0.25">
      <c r="A272" s="90" t="s">
        <v>1918</v>
      </c>
      <c r="B272" s="91" t="s">
        <v>238</v>
      </c>
      <c r="C272" s="53">
        <v>0.109</v>
      </c>
      <c r="D272" s="78"/>
      <c r="E272" s="78"/>
      <c r="F272" s="78"/>
    </row>
    <row r="273" spans="1:6" x14ac:dyDescent="0.25">
      <c r="A273" s="90" t="s">
        <v>1919</v>
      </c>
      <c r="B273" s="91" t="s">
        <v>238</v>
      </c>
      <c r="C273" s="53">
        <v>0.11</v>
      </c>
      <c r="D273" s="78"/>
      <c r="E273" s="78"/>
      <c r="F273" s="78"/>
    </row>
    <row r="274" spans="1:6" x14ac:dyDescent="0.25">
      <c r="A274" s="90" t="s">
        <v>1920</v>
      </c>
      <c r="B274" s="91" t="s">
        <v>238</v>
      </c>
      <c r="C274" s="53">
        <v>0.111</v>
      </c>
      <c r="D274" s="78"/>
      <c r="E274" s="78"/>
      <c r="F274" s="78"/>
    </row>
    <row r="275" spans="1:6" x14ac:dyDescent="0.25">
      <c r="A275" s="90" t="s">
        <v>1921</v>
      </c>
      <c r="B275" s="91" t="s">
        <v>238</v>
      </c>
      <c r="C275" s="53">
        <v>0.112</v>
      </c>
      <c r="D275" s="78"/>
      <c r="E275" s="78"/>
      <c r="F275" s="78"/>
    </row>
    <row r="276" spans="1:6" x14ac:dyDescent="0.25">
      <c r="A276" s="90" t="s">
        <v>1922</v>
      </c>
      <c r="B276" s="91" t="s">
        <v>238</v>
      </c>
      <c r="C276" s="53">
        <v>0.113</v>
      </c>
      <c r="D276" s="78"/>
      <c r="E276" s="78"/>
      <c r="F276" s="78"/>
    </row>
    <row r="277" spans="1:6" x14ac:dyDescent="0.25">
      <c r="A277" s="90" t="s">
        <v>1923</v>
      </c>
      <c r="B277" s="91" t="s">
        <v>238</v>
      </c>
      <c r="C277" s="53">
        <v>0.114</v>
      </c>
      <c r="D277" s="78"/>
      <c r="E277" s="78"/>
      <c r="F277" s="78"/>
    </row>
    <row r="278" spans="1:6" x14ac:dyDescent="0.25">
      <c r="A278" s="90" t="s">
        <v>1924</v>
      </c>
      <c r="B278" s="91" t="s">
        <v>238</v>
      </c>
      <c r="C278" s="53">
        <v>0.115</v>
      </c>
      <c r="D278" s="78"/>
      <c r="E278" s="78"/>
      <c r="F278" s="78"/>
    </row>
    <row r="279" spans="1:6" x14ac:dyDescent="0.25">
      <c r="A279" s="90" t="s">
        <v>1925</v>
      </c>
      <c r="B279" s="91" t="s">
        <v>238</v>
      </c>
      <c r="C279" s="53">
        <v>0.11600000000000001</v>
      </c>
      <c r="D279" s="78"/>
      <c r="E279" s="78"/>
      <c r="F279" s="78"/>
    </row>
    <row r="280" spans="1:6" x14ac:dyDescent="0.25">
      <c r="A280" s="90" t="s">
        <v>1926</v>
      </c>
      <c r="B280" s="91" t="s">
        <v>238</v>
      </c>
      <c r="C280" s="53">
        <v>0.11700000000000001</v>
      </c>
      <c r="D280" s="78"/>
      <c r="E280" s="78"/>
      <c r="F280" s="78"/>
    </row>
    <row r="281" spans="1:6" x14ac:dyDescent="0.25">
      <c r="A281" s="90" t="s">
        <v>1927</v>
      </c>
      <c r="B281" s="91" t="s">
        <v>238</v>
      </c>
      <c r="C281" s="53">
        <v>0.11799999999999999</v>
      </c>
      <c r="D281" s="78"/>
      <c r="E281" s="78"/>
      <c r="F281" s="78"/>
    </row>
    <row r="282" spans="1:6" x14ac:dyDescent="0.25">
      <c r="A282" s="90" t="s">
        <v>1928</v>
      </c>
      <c r="B282" s="91" t="s">
        <v>238</v>
      </c>
      <c r="C282" s="53">
        <v>0.11899999999999999</v>
      </c>
      <c r="D282" s="78"/>
      <c r="E282" s="78"/>
      <c r="F282" s="78"/>
    </row>
    <row r="283" spans="1:6" x14ac:dyDescent="0.25">
      <c r="A283" s="90" t="s">
        <v>1929</v>
      </c>
      <c r="B283" s="91" t="s">
        <v>238</v>
      </c>
      <c r="C283" s="53">
        <v>0.12</v>
      </c>
      <c r="D283" s="78"/>
      <c r="E283" s="78"/>
      <c r="F283" s="78"/>
    </row>
    <row r="284" spans="1:6" x14ac:dyDescent="0.25">
      <c r="A284" s="90" t="s">
        <v>1930</v>
      </c>
      <c r="B284" s="91" t="s">
        <v>238</v>
      </c>
      <c r="C284" s="53">
        <v>0.121</v>
      </c>
      <c r="D284" s="78"/>
      <c r="E284" s="78"/>
      <c r="F284" s="78"/>
    </row>
    <row r="285" spans="1:6" x14ac:dyDescent="0.25">
      <c r="A285" s="90" t="s">
        <v>1931</v>
      </c>
      <c r="B285" s="91" t="s">
        <v>238</v>
      </c>
      <c r="C285" s="53">
        <v>0.122</v>
      </c>
      <c r="D285" s="78"/>
      <c r="E285" s="78"/>
      <c r="F285" s="78"/>
    </row>
    <row r="286" spans="1:6" x14ac:dyDescent="0.25">
      <c r="A286" s="90" t="s">
        <v>1932</v>
      </c>
      <c r="B286" s="91" t="s">
        <v>238</v>
      </c>
      <c r="C286" s="53">
        <v>0.123</v>
      </c>
      <c r="D286" s="78"/>
      <c r="E286" s="78"/>
      <c r="F286" s="78"/>
    </row>
    <row r="287" spans="1:6" x14ac:dyDescent="0.25">
      <c r="A287" s="90" t="s">
        <v>1933</v>
      </c>
      <c r="B287" s="91" t="s">
        <v>238</v>
      </c>
      <c r="C287" s="53">
        <v>0.124</v>
      </c>
      <c r="D287" s="78"/>
      <c r="E287" s="78"/>
      <c r="F287" s="78"/>
    </row>
    <row r="288" spans="1:6" x14ac:dyDescent="0.25">
      <c r="A288" s="90" t="s">
        <v>1934</v>
      </c>
      <c r="B288" s="91" t="s">
        <v>238</v>
      </c>
      <c r="C288" s="53">
        <v>0.125</v>
      </c>
      <c r="D288" s="78"/>
      <c r="E288" s="78"/>
      <c r="F288" s="78"/>
    </row>
    <row r="289" spans="1:6" x14ac:dyDescent="0.25">
      <c r="A289" s="90" t="s">
        <v>1935</v>
      </c>
      <c r="B289" s="91" t="s">
        <v>238</v>
      </c>
      <c r="C289" s="53">
        <v>0.126</v>
      </c>
      <c r="D289" s="78"/>
      <c r="E289" s="78"/>
      <c r="F289" s="78"/>
    </row>
    <row r="290" spans="1:6" x14ac:dyDescent="0.25">
      <c r="A290" s="90" t="s">
        <v>1936</v>
      </c>
      <c r="B290" s="91" t="s">
        <v>238</v>
      </c>
      <c r="C290" s="53">
        <v>0.127</v>
      </c>
      <c r="D290" s="78"/>
      <c r="E290" s="78"/>
      <c r="F290" s="78"/>
    </row>
    <row r="291" spans="1:6" x14ac:dyDescent="0.25">
      <c r="A291" s="90" t="s">
        <v>1937</v>
      </c>
      <c r="B291" s="91" t="s">
        <v>238</v>
      </c>
      <c r="C291" s="53">
        <v>0.128</v>
      </c>
      <c r="D291" s="78"/>
      <c r="E291" s="78"/>
      <c r="F291" s="78"/>
    </row>
    <row r="292" spans="1:6" x14ac:dyDescent="0.25">
      <c r="A292" s="90" t="s">
        <v>1938</v>
      </c>
      <c r="B292" s="91" t="s">
        <v>238</v>
      </c>
      <c r="C292" s="53">
        <v>0.129</v>
      </c>
      <c r="D292" s="78"/>
      <c r="E292" s="78"/>
      <c r="F292" s="78"/>
    </row>
    <row r="293" spans="1:6" x14ac:dyDescent="0.25">
      <c r="A293" s="90" t="s">
        <v>1939</v>
      </c>
      <c r="B293" s="91" t="s">
        <v>238</v>
      </c>
      <c r="C293" s="53">
        <v>0.13</v>
      </c>
      <c r="D293" s="78"/>
      <c r="E293" s="78"/>
      <c r="F293" s="78"/>
    </row>
    <row r="294" spans="1:6" x14ac:dyDescent="0.25">
      <c r="A294" s="90" t="s">
        <v>1940</v>
      </c>
      <c r="B294" s="91" t="s">
        <v>238</v>
      </c>
      <c r="C294" s="53">
        <v>0.13100000000000001</v>
      </c>
      <c r="D294" s="78"/>
      <c r="E294" s="78"/>
      <c r="F294" s="78"/>
    </row>
    <row r="295" spans="1:6" x14ac:dyDescent="0.25">
      <c r="A295" s="90" t="s">
        <v>1941</v>
      </c>
      <c r="B295" s="91" t="s">
        <v>238</v>
      </c>
      <c r="C295" s="53">
        <v>0.13200000000000001</v>
      </c>
      <c r="D295" s="78"/>
      <c r="E295" s="78"/>
      <c r="F295" s="78"/>
    </row>
    <row r="296" spans="1:6" x14ac:dyDescent="0.25">
      <c r="A296" s="90" t="s">
        <v>1942</v>
      </c>
      <c r="B296" s="91" t="s">
        <v>238</v>
      </c>
      <c r="C296" s="53">
        <v>0.13300000000000001</v>
      </c>
      <c r="D296" s="78"/>
      <c r="E296" s="78"/>
      <c r="F296" s="78"/>
    </row>
    <row r="297" spans="1:6" x14ac:dyDescent="0.25">
      <c r="A297" s="90" t="s">
        <v>1943</v>
      </c>
      <c r="B297" s="91" t="s">
        <v>238</v>
      </c>
      <c r="C297" s="53">
        <v>0.13400000000000001</v>
      </c>
      <c r="D297" s="78"/>
      <c r="E297" s="78"/>
      <c r="F297" s="78"/>
    </row>
    <row r="298" spans="1:6" x14ac:dyDescent="0.25">
      <c r="A298" s="90" t="s">
        <v>1944</v>
      </c>
      <c r="B298" s="91" t="s">
        <v>238</v>
      </c>
      <c r="C298" s="53">
        <v>0.13500000000000001</v>
      </c>
      <c r="D298" s="78"/>
      <c r="E298" s="78"/>
      <c r="F298" s="78"/>
    </row>
    <row r="299" spans="1:6" x14ac:dyDescent="0.25">
      <c r="A299" s="90" t="s">
        <v>1945</v>
      </c>
      <c r="B299" s="91" t="s">
        <v>238</v>
      </c>
      <c r="C299" s="53">
        <v>0.13600000000000001</v>
      </c>
      <c r="D299" s="78"/>
      <c r="E299" s="78"/>
      <c r="F299" s="78"/>
    </row>
    <row r="300" spans="1:6" x14ac:dyDescent="0.25">
      <c r="A300" s="90" t="s">
        <v>1946</v>
      </c>
      <c r="B300" s="91" t="s">
        <v>238</v>
      </c>
      <c r="C300" s="53">
        <v>0.13700000000000001</v>
      </c>
      <c r="D300" s="78"/>
      <c r="E300" s="78"/>
      <c r="F300" s="78"/>
    </row>
    <row r="301" spans="1:6" x14ac:dyDescent="0.25">
      <c r="A301" s="90" t="s">
        <v>1947</v>
      </c>
      <c r="B301" s="91" t="s">
        <v>238</v>
      </c>
      <c r="C301" s="53">
        <v>0.13800000000000001</v>
      </c>
      <c r="D301" s="78"/>
      <c r="E301" s="78"/>
      <c r="F301" s="78"/>
    </row>
    <row r="302" spans="1:6" x14ac:dyDescent="0.25">
      <c r="A302" s="90" t="s">
        <v>1948</v>
      </c>
      <c r="B302" s="91" t="s">
        <v>238</v>
      </c>
      <c r="C302" s="53">
        <v>0.13900000000000001</v>
      </c>
      <c r="D302" s="78"/>
      <c r="E302" s="78"/>
      <c r="F302" s="78"/>
    </row>
    <row r="303" spans="1:6" x14ac:dyDescent="0.25">
      <c r="A303" s="90" t="s">
        <v>1949</v>
      </c>
      <c r="B303" s="91" t="s">
        <v>238</v>
      </c>
      <c r="C303" s="53">
        <v>0.14000000000000001</v>
      </c>
      <c r="D303" s="78"/>
      <c r="E303" s="78"/>
      <c r="F303" s="78"/>
    </row>
    <row r="304" spans="1:6" x14ac:dyDescent="0.25">
      <c r="A304" s="90" t="s">
        <v>1950</v>
      </c>
      <c r="B304" s="91" t="s">
        <v>238</v>
      </c>
      <c r="C304" s="53">
        <v>0.14099999999999999</v>
      </c>
      <c r="D304" s="78"/>
      <c r="E304" s="78"/>
      <c r="F304" s="78"/>
    </row>
    <row r="305" spans="1:6" x14ac:dyDescent="0.25">
      <c r="A305" s="90" t="s">
        <v>1951</v>
      </c>
      <c r="B305" s="91" t="s">
        <v>238</v>
      </c>
      <c r="C305" s="53">
        <v>0.14199999999999999</v>
      </c>
      <c r="D305" s="78"/>
      <c r="E305" s="78"/>
      <c r="F305" s="78"/>
    </row>
    <row r="306" spans="1:6" x14ac:dyDescent="0.25">
      <c r="A306" s="90" t="s">
        <v>1952</v>
      </c>
      <c r="B306" s="91" t="s">
        <v>238</v>
      </c>
      <c r="C306" s="53">
        <v>0.14299999999999999</v>
      </c>
      <c r="D306" s="78"/>
      <c r="E306" s="78"/>
      <c r="F306" s="78"/>
    </row>
    <row r="307" spans="1:6" x14ac:dyDescent="0.25">
      <c r="A307" s="90" t="s">
        <v>1953</v>
      </c>
      <c r="B307" s="91" t="s">
        <v>238</v>
      </c>
      <c r="C307" s="53">
        <v>0.14399999999999999</v>
      </c>
      <c r="D307" s="78"/>
      <c r="E307" s="78"/>
      <c r="F307" s="78"/>
    </row>
    <row r="308" spans="1:6" x14ac:dyDescent="0.25">
      <c r="A308" s="90" t="s">
        <v>1954</v>
      </c>
      <c r="B308" s="91" t="s">
        <v>238</v>
      </c>
      <c r="C308" s="53">
        <v>0.14499999999999999</v>
      </c>
      <c r="D308" s="78"/>
      <c r="E308" s="78"/>
      <c r="F308" s="78"/>
    </row>
    <row r="309" spans="1:6" x14ac:dyDescent="0.25">
      <c r="A309" s="90" t="s">
        <v>1955</v>
      </c>
      <c r="B309" s="91" t="s">
        <v>238</v>
      </c>
      <c r="C309" s="53">
        <v>0.14599999999999999</v>
      </c>
      <c r="D309" s="78"/>
      <c r="E309" s="78"/>
      <c r="F309" s="78"/>
    </row>
    <row r="310" spans="1:6" x14ac:dyDescent="0.25">
      <c r="A310" s="90" t="s">
        <v>1956</v>
      </c>
      <c r="B310" s="91" t="s">
        <v>238</v>
      </c>
      <c r="C310" s="53">
        <v>0.14699999999999999</v>
      </c>
      <c r="D310" s="78"/>
      <c r="E310" s="78"/>
      <c r="F310" s="78"/>
    </row>
    <row r="311" spans="1:6" x14ac:dyDescent="0.25">
      <c r="A311" s="90" t="s">
        <v>1957</v>
      </c>
      <c r="B311" s="91" t="s">
        <v>238</v>
      </c>
      <c r="C311" s="53">
        <v>0.14799999999999999</v>
      </c>
      <c r="D311" s="78"/>
      <c r="E311" s="78"/>
      <c r="F311" s="78"/>
    </row>
    <row r="312" spans="1:6" x14ac:dyDescent="0.25">
      <c r="A312" s="90" t="s">
        <v>1958</v>
      </c>
      <c r="B312" s="91" t="s">
        <v>238</v>
      </c>
      <c r="C312" s="53">
        <v>0.14899999999999999</v>
      </c>
      <c r="D312" s="78"/>
      <c r="E312" s="78"/>
      <c r="F312" s="78"/>
    </row>
    <row r="313" spans="1:6" x14ac:dyDescent="0.25">
      <c r="A313" s="90" t="s">
        <v>1959</v>
      </c>
      <c r="B313" s="91" t="s">
        <v>238</v>
      </c>
      <c r="C313" s="53">
        <v>0.15</v>
      </c>
      <c r="D313" s="78"/>
      <c r="E313" s="78"/>
      <c r="F313" s="78"/>
    </row>
    <row r="314" spans="1:6" x14ac:dyDescent="0.25">
      <c r="A314" s="90" t="s">
        <v>1960</v>
      </c>
      <c r="B314" s="91" t="s">
        <v>238</v>
      </c>
      <c r="C314" s="53">
        <v>0.151</v>
      </c>
      <c r="D314" s="78"/>
      <c r="E314" s="78"/>
      <c r="F314" s="78"/>
    </row>
    <row r="315" spans="1:6" x14ac:dyDescent="0.25">
      <c r="A315" s="90" t="s">
        <v>1961</v>
      </c>
      <c r="B315" s="91" t="s">
        <v>238</v>
      </c>
      <c r="C315" s="53">
        <v>0.152</v>
      </c>
      <c r="D315" s="78"/>
      <c r="E315" s="78"/>
      <c r="F315" s="78"/>
    </row>
    <row r="316" spans="1:6" x14ac:dyDescent="0.25">
      <c r="A316" s="90" t="s">
        <v>1962</v>
      </c>
      <c r="B316" s="91" t="s">
        <v>238</v>
      </c>
      <c r="C316" s="53">
        <v>0.153</v>
      </c>
      <c r="D316" s="78"/>
      <c r="E316" s="78"/>
      <c r="F316" s="78"/>
    </row>
    <row r="317" spans="1:6" x14ac:dyDescent="0.25">
      <c r="A317" s="90" t="s">
        <v>1963</v>
      </c>
      <c r="B317" s="91" t="s">
        <v>238</v>
      </c>
      <c r="C317" s="53">
        <v>0.154</v>
      </c>
      <c r="D317" s="78"/>
      <c r="E317" s="78"/>
      <c r="F317" s="78"/>
    </row>
    <row r="318" spans="1:6" x14ac:dyDescent="0.25">
      <c r="A318" s="90" t="s">
        <v>1964</v>
      </c>
      <c r="B318" s="91" t="s">
        <v>238</v>
      </c>
      <c r="C318" s="53">
        <v>0.155</v>
      </c>
      <c r="D318" s="78"/>
      <c r="E318" s="78"/>
      <c r="F318" s="78"/>
    </row>
    <row r="319" spans="1:6" x14ac:dyDescent="0.25">
      <c r="A319" s="90" t="s">
        <v>1965</v>
      </c>
      <c r="B319" s="91" t="s">
        <v>238</v>
      </c>
      <c r="C319" s="53">
        <v>0.156</v>
      </c>
      <c r="D319" s="78"/>
      <c r="E319" s="78"/>
      <c r="F319" s="78"/>
    </row>
    <row r="320" spans="1:6" x14ac:dyDescent="0.25">
      <c r="A320" s="90" t="s">
        <v>1966</v>
      </c>
      <c r="B320" s="91" t="s">
        <v>238</v>
      </c>
      <c r="C320" s="53">
        <v>0.157</v>
      </c>
      <c r="D320" s="78"/>
      <c r="E320" s="78"/>
      <c r="F320" s="78"/>
    </row>
    <row r="321" spans="1:6" x14ac:dyDescent="0.25">
      <c r="A321" s="90" t="s">
        <v>1967</v>
      </c>
      <c r="B321" s="91" t="s">
        <v>238</v>
      </c>
      <c r="C321" s="53">
        <v>0.158</v>
      </c>
      <c r="D321" s="78"/>
      <c r="E321" s="78"/>
      <c r="F321" s="78"/>
    </row>
    <row r="322" spans="1:6" x14ac:dyDescent="0.25">
      <c r="A322" s="90" t="s">
        <v>1968</v>
      </c>
      <c r="B322" s="91" t="s">
        <v>238</v>
      </c>
      <c r="C322" s="53">
        <v>0.159</v>
      </c>
      <c r="D322" s="78"/>
      <c r="E322" s="78"/>
      <c r="F322" s="78"/>
    </row>
    <row r="323" spans="1:6" x14ac:dyDescent="0.25">
      <c r="A323" s="90" t="s">
        <v>1969</v>
      </c>
      <c r="B323" s="91" t="s">
        <v>238</v>
      </c>
      <c r="C323" s="53">
        <v>0.16</v>
      </c>
      <c r="D323" s="78"/>
      <c r="E323" s="78"/>
      <c r="F323" s="78"/>
    </row>
    <row r="324" spans="1:6" x14ac:dyDescent="0.25">
      <c r="A324" s="90" t="s">
        <v>1970</v>
      </c>
      <c r="B324" s="91" t="s">
        <v>238</v>
      </c>
      <c r="C324" s="53">
        <v>0.161</v>
      </c>
      <c r="D324" s="78"/>
      <c r="E324" s="78"/>
      <c r="F324" s="78"/>
    </row>
    <row r="325" spans="1:6" x14ac:dyDescent="0.25">
      <c r="A325" s="90" t="s">
        <v>1971</v>
      </c>
      <c r="B325" s="91" t="s">
        <v>238</v>
      </c>
      <c r="C325" s="53">
        <v>0.16200000000000001</v>
      </c>
      <c r="D325" s="78"/>
      <c r="E325" s="78"/>
      <c r="F325" s="78"/>
    </row>
    <row r="326" spans="1:6" x14ac:dyDescent="0.25">
      <c r="A326" s="90" t="s">
        <v>1972</v>
      </c>
      <c r="B326" s="91" t="s">
        <v>238</v>
      </c>
      <c r="C326" s="53">
        <v>0.16300000000000001</v>
      </c>
      <c r="D326" s="78"/>
      <c r="E326" s="78"/>
      <c r="F326" s="78"/>
    </row>
    <row r="327" spans="1:6" x14ac:dyDescent="0.25">
      <c r="A327" s="90" t="s">
        <v>1973</v>
      </c>
      <c r="B327" s="91" t="s">
        <v>238</v>
      </c>
      <c r="C327" s="53">
        <v>0.16400000000000001</v>
      </c>
      <c r="D327" s="78"/>
      <c r="E327" s="78"/>
      <c r="F327" s="78"/>
    </row>
    <row r="328" spans="1:6" x14ac:dyDescent="0.25">
      <c r="A328" s="90" t="s">
        <v>1974</v>
      </c>
      <c r="B328" s="91" t="s">
        <v>238</v>
      </c>
      <c r="C328" s="53">
        <v>0.16500000000000001</v>
      </c>
      <c r="D328" s="78"/>
      <c r="E328" s="78"/>
      <c r="F328" s="78"/>
    </row>
    <row r="329" spans="1:6" x14ac:dyDescent="0.25">
      <c r="A329" s="90" t="s">
        <v>1975</v>
      </c>
      <c r="B329" s="91" t="s">
        <v>238</v>
      </c>
      <c r="C329" s="53">
        <v>0.16600000000000001</v>
      </c>
      <c r="D329" s="78"/>
      <c r="E329" s="78"/>
      <c r="F329" s="78"/>
    </row>
    <row r="330" spans="1:6" x14ac:dyDescent="0.25">
      <c r="A330" s="90" t="s">
        <v>1976</v>
      </c>
      <c r="B330" s="91" t="s">
        <v>238</v>
      </c>
      <c r="C330" s="53">
        <v>0.16600000000000001</v>
      </c>
      <c r="D330" s="78"/>
      <c r="E330" s="78"/>
      <c r="F330" s="78"/>
    </row>
    <row r="331" spans="1:6" x14ac:dyDescent="0.25">
      <c r="A331" s="90" t="s">
        <v>1655</v>
      </c>
      <c r="B331" s="91" t="s">
        <v>215</v>
      </c>
      <c r="C331" s="106">
        <v>0.50794697265625</v>
      </c>
      <c r="D331" s="78"/>
      <c r="E331" s="78"/>
      <c r="F331" s="78"/>
    </row>
    <row r="332" spans="1:6" x14ac:dyDescent="0.25">
      <c r="A332" s="90" t="s">
        <v>1656</v>
      </c>
      <c r="B332" s="91" t="s">
        <v>215</v>
      </c>
      <c r="C332" s="106">
        <v>0.64706386718749997</v>
      </c>
      <c r="D332" s="78"/>
      <c r="E332" s="78"/>
      <c r="F332" s="78"/>
    </row>
    <row r="333" spans="1:6" x14ac:dyDescent="0.25">
      <c r="A333" s="90" t="s">
        <v>1657</v>
      </c>
      <c r="B333" s="91" t="s">
        <v>215</v>
      </c>
      <c r="C333" s="106">
        <v>0.78598618164062495</v>
      </c>
      <c r="D333" s="78"/>
      <c r="E333" s="78"/>
      <c r="F333" s="78"/>
    </row>
    <row r="334" spans="1:6" x14ac:dyDescent="0.25">
      <c r="A334" s="90" t="s">
        <v>1658</v>
      </c>
      <c r="B334" s="91" t="s">
        <v>215</v>
      </c>
      <c r="C334" s="106">
        <v>0.92603593750000002</v>
      </c>
      <c r="D334" s="78"/>
      <c r="E334" s="78"/>
      <c r="F334" s="78"/>
    </row>
    <row r="335" spans="1:6" x14ac:dyDescent="0.25">
      <c r="A335" s="90" t="s">
        <v>1659</v>
      </c>
      <c r="B335" s="91" t="s">
        <v>215</v>
      </c>
      <c r="C335" s="106">
        <v>1.0654333251953101</v>
      </c>
      <c r="D335" s="78"/>
      <c r="E335" s="78"/>
      <c r="F335" s="78"/>
    </row>
    <row r="336" spans="1:6" x14ac:dyDescent="0.25">
      <c r="A336" s="90" t="s">
        <v>1660</v>
      </c>
      <c r="B336" s="91" t="s">
        <v>215</v>
      </c>
      <c r="C336" s="106">
        <v>1.2054120535714199</v>
      </c>
      <c r="D336" s="78"/>
      <c r="E336" s="78"/>
      <c r="F336" s="78"/>
    </row>
    <row r="337" spans="1:6" x14ac:dyDescent="0.25">
      <c r="A337" s="90" t="s">
        <v>1661</v>
      </c>
      <c r="B337" s="91" t="s">
        <v>215</v>
      </c>
      <c r="C337" s="106">
        <v>1.34422837611607</v>
      </c>
      <c r="D337" s="78"/>
      <c r="E337" s="78"/>
      <c r="F337" s="78"/>
    </row>
    <row r="338" spans="1:6" x14ac:dyDescent="0.25">
      <c r="A338" s="90" t="s">
        <v>1662</v>
      </c>
      <c r="B338" s="91" t="s">
        <v>215</v>
      </c>
      <c r="C338" s="106">
        <v>1.48526416015625</v>
      </c>
      <c r="D338" s="78"/>
      <c r="E338" s="78"/>
      <c r="F338" s="78"/>
    </row>
    <row r="339" spans="1:6" x14ac:dyDescent="0.25">
      <c r="A339" s="90" t="s">
        <v>1663</v>
      </c>
      <c r="B339" s="91" t="s">
        <v>215</v>
      </c>
      <c r="C339" s="106">
        <v>1.6241525390625</v>
      </c>
      <c r="D339" s="78"/>
      <c r="E339" s="78"/>
      <c r="F339" s="78"/>
    </row>
    <row r="340" spans="1:6" x14ac:dyDescent="0.25">
      <c r="A340" s="90" t="s">
        <v>1664</v>
      </c>
      <c r="B340" s="91" t="s">
        <v>215</v>
      </c>
      <c r="C340" s="106">
        <v>1.7651024832589199</v>
      </c>
      <c r="D340" s="78"/>
      <c r="E340" s="78"/>
      <c r="F340" s="78"/>
    </row>
    <row r="341" spans="1:6" x14ac:dyDescent="0.25">
      <c r="A341" s="90" t="s">
        <v>1665</v>
      </c>
      <c r="B341" s="91" t="s">
        <v>215</v>
      </c>
      <c r="C341" s="106">
        <v>1.90354858398437</v>
      </c>
      <c r="D341" s="78"/>
      <c r="E341" s="78"/>
      <c r="F341" s="78"/>
    </row>
    <row r="342" spans="1:6" x14ac:dyDescent="0.25">
      <c r="A342" s="90" t="s">
        <v>1666</v>
      </c>
      <c r="B342" s="91" t="s">
        <v>215</v>
      </c>
      <c r="C342" s="106">
        <v>2.0441136067708299</v>
      </c>
      <c r="D342" s="78"/>
      <c r="E342" s="78"/>
      <c r="F342" s="78"/>
    </row>
    <row r="343" spans="1:6" x14ac:dyDescent="0.25">
      <c r="A343" s="90" t="s">
        <v>1667</v>
      </c>
      <c r="B343" s="91" t="s">
        <v>215</v>
      </c>
      <c r="C343" s="106">
        <v>2.17474356166294</v>
      </c>
      <c r="D343" s="78"/>
      <c r="E343" s="78"/>
      <c r="F343" s="78"/>
    </row>
    <row r="344" spans="1:6" x14ac:dyDescent="0.25">
      <c r="A344" s="90" t="s">
        <v>1668</v>
      </c>
      <c r="B344" s="91" t="s">
        <v>215</v>
      </c>
      <c r="C344" s="106">
        <v>2.3215675781249998</v>
      </c>
      <c r="D344" s="78"/>
      <c r="E344" s="78"/>
      <c r="F344" s="78"/>
    </row>
    <row r="345" spans="1:6" x14ac:dyDescent="0.25">
      <c r="A345" s="90" t="s">
        <v>1669</v>
      </c>
      <c r="B345" s="91" t="s">
        <v>215</v>
      </c>
      <c r="C345" s="106">
        <v>2.4580562430245498</v>
      </c>
      <c r="D345" s="78"/>
      <c r="E345" s="78"/>
      <c r="F345" s="78"/>
    </row>
    <row r="346" spans="1:6" x14ac:dyDescent="0.25">
      <c r="A346" s="90" t="s">
        <v>1670</v>
      </c>
      <c r="B346" s="91" t="s">
        <v>215</v>
      </c>
      <c r="C346" s="106">
        <v>2.5877176106770801</v>
      </c>
      <c r="D346" s="78"/>
      <c r="E346" s="78"/>
      <c r="F346" s="78"/>
    </row>
    <row r="347" spans="1:6" x14ac:dyDescent="0.25">
      <c r="A347" s="90" t="s">
        <v>1671</v>
      </c>
      <c r="B347" s="91" t="s">
        <v>215</v>
      </c>
      <c r="C347" s="106">
        <v>2.70566388346354</v>
      </c>
      <c r="D347" s="78"/>
      <c r="E347" s="78"/>
      <c r="F347" s="78"/>
    </row>
    <row r="348" spans="1:6" x14ac:dyDescent="0.25">
      <c r="A348" s="90" t="s">
        <v>1672</v>
      </c>
      <c r="B348" s="91" t="s">
        <v>215</v>
      </c>
      <c r="C348" s="106">
        <v>2.8153463727678498</v>
      </c>
      <c r="D348" s="78"/>
      <c r="E348" s="78"/>
      <c r="F348" s="78"/>
    </row>
    <row r="349" spans="1:6" x14ac:dyDescent="0.25">
      <c r="A349" s="90" t="s">
        <v>1673</v>
      </c>
      <c r="B349" s="91" t="s">
        <v>215</v>
      </c>
      <c r="C349" s="106">
        <v>2.9140549316406199</v>
      </c>
      <c r="D349" s="78"/>
      <c r="E349" s="78"/>
      <c r="F349" s="78"/>
    </row>
    <row r="350" spans="1:6" x14ac:dyDescent="0.25">
      <c r="A350" s="90" t="s">
        <v>1674</v>
      </c>
      <c r="B350" s="91" t="s">
        <v>215</v>
      </c>
      <c r="C350" s="106">
        <v>3.00299970703125</v>
      </c>
      <c r="D350" s="78"/>
      <c r="E350" s="78"/>
      <c r="F350" s="78"/>
    </row>
    <row r="351" spans="1:6" x14ac:dyDescent="0.25">
      <c r="A351" s="90" t="s">
        <v>1675</v>
      </c>
      <c r="B351" s="91" t="s">
        <v>215</v>
      </c>
      <c r="C351" s="106">
        <v>3.0788580810546802</v>
      </c>
      <c r="D351" s="78"/>
      <c r="E351" s="78"/>
      <c r="F351" s="78"/>
    </row>
    <row r="352" spans="1:6" x14ac:dyDescent="0.25">
      <c r="A352" s="90" t="s">
        <v>1676</v>
      </c>
      <c r="B352" s="91" t="s">
        <v>215</v>
      </c>
      <c r="C352" s="106">
        <v>3.1429917410714201</v>
      </c>
      <c r="D352" s="78"/>
      <c r="E352" s="78"/>
      <c r="F352" s="78"/>
    </row>
    <row r="353" spans="1:6" x14ac:dyDescent="0.25">
      <c r="A353" s="90" t="s">
        <v>1677</v>
      </c>
      <c r="B353" s="91" t="s">
        <v>215</v>
      </c>
      <c r="C353" s="106">
        <v>3.1934992106119702</v>
      </c>
      <c r="D353" s="78"/>
      <c r="E353" s="78"/>
      <c r="F353" s="78"/>
    </row>
    <row r="354" spans="1:6" x14ac:dyDescent="0.25">
      <c r="A354" s="90" t="s">
        <v>1678</v>
      </c>
      <c r="B354" s="91" t="s">
        <v>215</v>
      </c>
      <c r="C354" s="106">
        <v>3.2292422851562499</v>
      </c>
      <c r="D354" s="78"/>
      <c r="E354" s="78"/>
      <c r="F354" s="78"/>
    </row>
    <row r="355" spans="1:6" x14ac:dyDescent="0.25">
      <c r="A355" s="90" t="s">
        <v>1679</v>
      </c>
      <c r="B355" s="91" t="s">
        <v>215</v>
      </c>
      <c r="C355" s="106">
        <v>3.2292422851562499</v>
      </c>
      <c r="D355" s="78"/>
      <c r="E355" s="78"/>
      <c r="F355" s="78"/>
    </row>
    <row r="356" spans="1:6" x14ac:dyDescent="0.25">
      <c r="A356" s="90" t="s">
        <v>1680</v>
      </c>
      <c r="B356" s="91" t="s">
        <v>215</v>
      </c>
      <c r="C356" s="106">
        <v>0.70669999999999999</v>
      </c>
      <c r="D356" s="78"/>
      <c r="E356" s="78"/>
      <c r="F356" s="78"/>
    </row>
    <row r="357" spans="1:6" x14ac:dyDescent="0.25">
      <c r="A357" s="90" t="s">
        <v>1681</v>
      </c>
      <c r="B357" s="91" t="s">
        <v>215</v>
      </c>
      <c r="C357" s="106">
        <v>0.72889999999999999</v>
      </c>
      <c r="D357" s="78"/>
      <c r="E357" s="78"/>
      <c r="F357" s="78"/>
    </row>
    <row r="358" spans="1:6" x14ac:dyDescent="0.25">
      <c r="A358" s="90" t="s">
        <v>1682</v>
      </c>
      <c r="B358" s="91" t="s">
        <v>215</v>
      </c>
      <c r="C358" s="106">
        <v>0.751</v>
      </c>
      <c r="D358" s="78"/>
      <c r="E358" s="78"/>
      <c r="F358" s="78"/>
    </row>
    <row r="359" spans="1:6" x14ac:dyDescent="0.25">
      <c r="A359" s="90" t="s">
        <v>1683</v>
      </c>
      <c r="B359" s="91" t="s">
        <v>215</v>
      </c>
      <c r="C359" s="106">
        <v>0.77300000000000002</v>
      </c>
      <c r="D359" s="78"/>
      <c r="E359" s="78"/>
      <c r="F359" s="78"/>
    </row>
    <row r="360" spans="1:6" x14ac:dyDescent="0.25">
      <c r="A360" s="90" t="s">
        <v>1684</v>
      </c>
      <c r="B360" s="91" t="s">
        <v>215</v>
      </c>
      <c r="C360" s="106">
        <v>0.79490000000000005</v>
      </c>
      <c r="D360" s="78"/>
      <c r="E360" s="78"/>
      <c r="F360" s="78"/>
    </row>
    <row r="361" spans="1:6" x14ac:dyDescent="0.25">
      <c r="A361" s="90" t="s">
        <v>1685</v>
      </c>
      <c r="B361" s="91" t="s">
        <v>215</v>
      </c>
      <c r="C361" s="106">
        <v>0.81669999999999998</v>
      </c>
      <c r="D361" s="78"/>
      <c r="E361" s="78"/>
      <c r="F361" s="78"/>
    </row>
    <row r="362" spans="1:6" x14ac:dyDescent="0.25">
      <c r="A362" s="90" t="s">
        <v>1686</v>
      </c>
      <c r="B362" s="91" t="s">
        <v>215</v>
      </c>
      <c r="C362" s="106">
        <v>0.83840000000000003</v>
      </c>
      <c r="D362" s="78"/>
      <c r="E362" s="78"/>
      <c r="F362" s="78"/>
    </row>
    <row r="363" spans="1:6" x14ac:dyDescent="0.25">
      <c r="A363" s="90" t="s">
        <v>1687</v>
      </c>
      <c r="B363" s="91" t="s">
        <v>215</v>
      </c>
      <c r="C363" s="106">
        <v>0.8599</v>
      </c>
      <c r="D363" s="78"/>
      <c r="E363" s="78"/>
      <c r="F363" s="78"/>
    </row>
    <row r="364" spans="1:6" x14ac:dyDescent="0.25">
      <c r="A364" s="90" t="s">
        <v>1688</v>
      </c>
      <c r="B364" s="91" t="s">
        <v>215</v>
      </c>
      <c r="C364" s="106">
        <v>0.88139999999999996</v>
      </c>
      <c r="D364" s="78"/>
      <c r="E364" s="78"/>
      <c r="F364" s="78"/>
    </row>
    <row r="365" spans="1:6" x14ac:dyDescent="0.25">
      <c r="A365" s="90" t="s">
        <v>1689</v>
      </c>
      <c r="B365" s="91" t="s">
        <v>215</v>
      </c>
      <c r="C365" s="106">
        <v>0.90280000000000005</v>
      </c>
      <c r="D365" s="78"/>
      <c r="E365" s="78"/>
      <c r="F365" s="78"/>
    </row>
    <row r="366" spans="1:6" x14ac:dyDescent="0.25">
      <c r="A366" s="90" t="s">
        <v>1690</v>
      </c>
      <c r="B366" s="91" t="s">
        <v>215</v>
      </c>
      <c r="C366" s="106">
        <v>0.92400000000000004</v>
      </c>
      <c r="D366" s="78"/>
      <c r="E366" s="78"/>
      <c r="F366" s="78"/>
    </row>
    <row r="367" spans="1:6" x14ac:dyDescent="0.25">
      <c r="A367" s="90" t="s">
        <v>1691</v>
      </c>
      <c r="B367" s="91" t="s">
        <v>215</v>
      </c>
      <c r="C367" s="106">
        <v>0.94520000000000004</v>
      </c>
      <c r="D367" s="78"/>
      <c r="E367" s="78"/>
      <c r="F367" s="78"/>
    </row>
    <row r="368" spans="1:6" x14ac:dyDescent="0.25">
      <c r="A368" s="90" t="s">
        <v>1692</v>
      </c>
      <c r="B368" s="91" t="s">
        <v>215</v>
      </c>
      <c r="C368" s="106">
        <v>0.96619999999999995</v>
      </c>
      <c r="D368" s="78"/>
      <c r="E368" s="78"/>
      <c r="F368" s="78"/>
    </row>
    <row r="369" spans="1:6" x14ac:dyDescent="0.25">
      <c r="A369" s="90" t="s">
        <v>1693</v>
      </c>
      <c r="B369" s="91" t="s">
        <v>215</v>
      </c>
      <c r="C369" s="106">
        <v>0.98709999999999998</v>
      </c>
      <c r="D369" s="78"/>
      <c r="E369" s="78"/>
      <c r="F369" s="78"/>
    </row>
    <row r="370" spans="1:6" x14ac:dyDescent="0.25">
      <c r="A370" s="90" t="s">
        <v>1694</v>
      </c>
      <c r="B370" s="91" t="s">
        <v>215</v>
      </c>
      <c r="C370" s="106">
        <v>1.0079</v>
      </c>
      <c r="D370" s="78"/>
      <c r="E370" s="78"/>
      <c r="F370" s="78"/>
    </row>
    <row r="371" spans="1:6" x14ac:dyDescent="0.25">
      <c r="A371" s="90" t="s">
        <v>1695</v>
      </c>
      <c r="B371" s="91" t="s">
        <v>215</v>
      </c>
      <c r="C371" s="106">
        <v>1.0286</v>
      </c>
      <c r="D371" s="78"/>
      <c r="E371" s="78"/>
      <c r="F371" s="78"/>
    </row>
    <row r="372" spans="1:6" x14ac:dyDescent="0.25">
      <c r="A372" s="90" t="s">
        <v>1696</v>
      </c>
      <c r="B372" s="91" t="s">
        <v>215</v>
      </c>
      <c r="C372" s="106">
        <v>1.0491999999999999</v>
      </c>
      <c r="D372" s="78"/>
      <c r="E372" s="78"/>
      <c r="F372" s="78"/>
    </row>
    <row r="373" spans="1:6" x14ac:dyDescent="0.25">
      <c r="A373" s="90" t="s">
        <v>1697</v>
      </c>
      <c r="B373" s="91" t="s">
        <v>215</v>
      </c>
      <c r="C373" s="106">
        <v>1.0696000000000001</v>
      </c>
      <c r="D373" s="78"/>
      <c r="E373" s="78"/>
      <c r="F373" s="78"/>
    </row>
    <row r="374" spans="1:6" x14ac:dyDescent="0.25">
      <c r="A374" s="90" t="s">
        <v>1698</v>
      </c>
      <c r="B374" s="91" t="s">
        <v>215</v>
      </c>
      <c r="C374" s="106">
        <v>1.0899000000000001</v>
      </c>
      <c r="D374" s="78"/>
      <c r="E374" s="78"/>
      <c r="F374" s="78"/>
    </row>
    <row r="375" spans="1:6" x14ac:dyDescent="0.25">
      <c r="A375" s="90" t="s">
        <v>1699</v>
      </c>
      <c r="B375" s="91" t="s">
        <v>215</v>
      </c>
      <c r="C375" s="106">
        <v>1.1101000000000001</v>
      </c>
      <c r="D375" s="78"/>
      <c r="E375" s="78"/>
      <c r="F375" s="78"/>
    </row>
    <row r="376" spans="1:6" x14ac:dyDescent="0.25">
      <c r="A376" s="90" t="s">
        <v>1700</v>
      </c>
      <c r="B376" s="91" t="s">
        <v>215</v>
      </c>
      <c r="C376" s="106">
        <v>1.1302000000000001</v>
      </c>
      <c r="D376" s="78"/>
      <c r="E376" s="78"/>
      <c r="F376" s="78"/>
    </row>
    <row r="377" spans="1:6" x14ac:dyDescent="0.25">
      <c r="A377" s="90" t="s">
        <v>1701</v>
      </c>
      <c r="B377" s="91" t="s">
        <v>215</v>
      </c>
      <c r="C377" s="106">
        <v>1.1500999999999999</v>
      </c>
      <c r="D377" s="78"/>
      <c r="E377" s="78"/>
      <c r="F377" s="78"/>
    </row>
    <row r="378" spans="1:6" x14ac:dyDescent="0.25">
      <c r="A378" s="90" t="s">
        <v>1702</v>
      </c>
      <c r="B378" s="91" t="s">
        <v>215</v>
      </c>
      <c r="C378" s="106">
        <v>1.1698999999999999</v>
      </c>
      <c r="D378" s="78"/>
      <c r="E378" s="78"/>
      <c r="F378" s="78"/>
    </row>
    <row r="379" spans="1:6" x14ac:dyDescent="0.25">
      <c r="A379" s="90" t="s">
        <v>1703</v>
      </c>
      <c r="B379" s="91" t="s">
        <v>215</v>
      </c>
      <c r="C379" s="106">
        <v>1.1895</v>
      </c>
      <c r="D379" s="78"/>
      <c r="E379" s="78"/>
      <c r="F379" s="78"/>
    </row>
    <row r="380" spans="1:6" x14ac:dyDescent="0.25">
      <c r="A380" s="90" t="s">
        <v>1704</v>
      </c>
      <c r="B380" s="91" t="s">
        <v>215</v>
      </c>
      <c r="C380" s="106">
        <v>1.2090000000000001</v>
      </c>
      <c r="D380" s="78"/>
      <c r="E380" s="78"/>
      <c r="F380" s="78"/>
    </row>
    <row r="381" spans="1:6" x14ac:dyDescent="0.25">
      <c r="A381" s="90" t="s">
        <v>1705</v>
      </c>
      <c r="B381" s="91" t="s">
        <v>215</v>
      </c>
      <c r="C381" s="106">
        <v>1.2283999999999999</v>
      </c>
      <c r="D381" s="78"/>
      <c r="E381" s="78"/>
      <c r="F381" s="78"/>
    </row>
    <row r="382" spans="1:6" x14ac:dyDescent="0.25">
      <c r="A382" s="90" t="s">
        <v>1706</v>
      </c>
      <c r="B382" s="91" t="s">
        <v>215</v>
      </c>
      <c r="C382" s="106">
        <v>1.2476</v>
      </c>
      <c r="D382" s="78"/>
      <c r="E382" s="78"/>
      <c r="F382" s="78"/>
    </row>
    <row r="383" spans="1:6" x14ac:dyDescent="0.25">
      <c r="A383" s="90" t="s">
        <v>1707</v>
      </c>
      <c r="B383" s="91" t="s">
        <v>215</v>
      </c>
      <c r="C383" s="106">
        <v>1.2666999999999999</v>
      </c>
      <c r="D383" s="78"/>
      <c r="E383" s="78"/>
      <c r="F383" s="78"/>
    </row>
    <row r="384" spans="1:6" x14ac:dyDescent="0.25">
      <c r="A384" s="90" t="s">
        <v>1708</v>
      </c>
      <c r="B384" s="91" t="s">
        <v>215</v>
      </c>
      <c r="C384" s="106">
        <v>1.2857000000000001</v>
      </c>
      <c r="D384" s="78"/>
      <c r="E384" s="78"/>
      <c r="F384" s="78"/>
    </row>
    <row r="385" spans="1:6" x14ac:dyDescent="0.25">
      <c r="A385" s="90" t="s">
        <v>1709</v>
      </c>
      <c r="B385" s="91" t="s">
        <v>215</v>
      </c>
      <c r="C385" s="106">
        <v>1.3044</v>
      </c>
      <c r="D385" s="78"/>
      <c r="E385" s="78"/>
      <c r="F385" s="78"/>
    </row>
    <row r="386" spans="1:6" x14ac:dyDescent="0.25">
      <c r="A386" s="90" t="s">
        <v>1710</v>
      </c>
      <c r="B386" s="91" t="s">
        <v>215</v>
      </c>
      <c r="C386" s="106">
        <v>1.3230999999999999</v>
      </c>
      <c r="D386" s="78"/>
      <c r="E386" s="78"/>
      <c r="F386" s="78"/>
    </row>
    <row r="387" spans="1:6" x14ac:dyDescent="0.25">
      <c r="A387" s="90" t="s">
        <v>1711</v>
      </c>
      <c r="B387" s="91" t="s">
        <v>215</v>
      </c>
      <c r="C387" s="106">
        <v>1.3414999999999999</v>
      </c>
      <c r="D387" s="78"/>
      <c r="E387" s="78"/>
      <c r="F387" s="78"/>
    </row>
    <row r="388" spans="1:6" x14ac:dyDescent="0.25">
      <c r="A388" s="90" t="s">
        <v>1712</v>
      </c>
      <c r="B388" s="91" t="s">
        <v>215</v>
      </c>
      <c r="C388" s="106">
        <v>1.3597999999999999</v>
      </c>
      <c r="D388" s="78"/>
      <c r="E388" s="78"/>
      <c r="F388" s="78"/>
    </row>
    <row r="389" spans="1:6" x14ac:dyDescent="0.25">
      <c r="A389" s="90" t="s">
        <v>1713</v>
      </c>
      <c r="B389" s="91" t="s">
        <v>215</v>
      </c>
      <c r="C389" s="106">
        <v>1.3779999999999999</v>
      </c>
      <c r="D389" s="78"/>
      <c r="E389" s="78"/>
      <c r="F389" s="78"/>
    </row>
    <row r="390" spans="1:6" x14ac:dyDescent="0.25">
      <c r="A390" s="90" t="s">
        <v>1714</v>
      </c>
      <c r="B390" s="91" t="s">
        <v>215</v>
      </c>
      <c r="C390" s="106">
        <v>1.3959999999999999</v>
      </c>
      <c r="D390" s="78"/>
      <c r="E390" s="78"/>
      <c r="F390" s="78"/>
    </row>
    <row r="391" spans="1:6" x14ac:dyDescent="0.25">
      <c r="A391" s="90" t="s">
        <v>1715</v>
      </c>
      <c r="B391" s="91" t="s">
        <v>215</v>
      </c>
      <c r="C391" s="106">
        <v>1.4137999999999999</v>
      </c>
      <c r="D391" s="78"/>
      <c r="E391" s="78"/>
      <c r="F391" s="78"/>
    </row>
    <row r="392" spans="1:6" x14ac:dyDescent="0.25">
      <c r="A392" s="90" t="s">
        <v>1716</v>
      </c>
      <c r="B392" s="91" t="s">
        <v>215</v>
      </c>
      <c r="C392" s="106">
        <v>1.4314</v>
      </c>
      <c r="D392" s="78"/>
      <c r="E392" s="78"/>
      <c r="F392" s="78"/>
    </row>
    <row r="393" spans="1:6" x14ac:dyDescent="0.25">
      <c r="A393" s="90" t="s">
        <v>1717</v>
      </c>
      <c r="B393" s="91" t="s">
        <v>215</v>
      </c>
      <c r="C393" s="106">
        <v>1.4489000000000001</v>
      </c>
      <c r="D393" s="78"/>
      <c r="E393" s="78"/>
      <c r="F393" s="78"/>
    </row>
    <row r="394" spans="1:6" x14ac:dyDescent="0.25">
      <c r="A394" s="90" t="s">
        <v>1718</v>
      </c>
      <c r="B394" s="91" t="s">
        <v>215</v>
      </c>
      <c r="C394" s="106">
        <v>1.4661</v>
      </c>
      <c r="D394" s="78"/>
      <c r="E394" s="78"/>
      <c r="F394" s="78"/>
    </row>
    <row r="395" spans="1:6" x14ac:dyDescent="0.25">
      <c r="A395" s="90" t="s">
        <v>1719</v>
      </c>
      <c r="B395" s="91" t="s">
        <v>215</v>
      </c>
      <c r="C395" s="106">
        <v>1.4832000000000001</v>
      </c>
      <c r="D395" s="78"/>
      <c r="E395" s="78"/>
      <c r="F395" s="78"/>
    </row>
    <row r="396" spans="1:6" x14ac:dyDescent="0.25">
      <c r="A396" s="90" t="s">
        <v>1720</v>
      </c>
      <c r="B396" s="91" t="s">
        <v>215</v>
      </c>
      <c r="C396" s="106">
        <v>1.5001</v>
      </c>
      <c r="D396" s="78"/>
      <c r="E396" s="78"/>
      <c r="F396" s="78"/>
    </row>
    <row r="397" spans="1:6" x14ac:dyDescent="0.25">
      <c r="A397" s="90" t="s">
        <v>1721</v>
      </c>
      <c r="B397" s="91" t="s">
        <v>215</v>
      </c>
      <c r="C397" s="106">
        <v>1.5167999999999999</v>
      </c>
      <c r="D397" s="78"/>
      <c r="E397" s="78"/>
      <c r="F397" s="78"/>
    </row>
    <row r="398" spans="1:6" x14ac:dyDescent="0.25">
      <c r="A398" s="90" t="s">
        <v>1722</v>
      </c>
      <c r="B398" s="91" t="s">
        <v>215</v>
      </c>
      <c r="C398" s="106">
        <v>1.5334000000000001</v>
      </c>
      <c r="D398" s="78"/>
      <c r="E398" s="78"/>
      <c r="F398" s="78"/>
    </row>
    <row r="399" spans="1:6" x14ac:dyDescent="0.25">
      <c r="A399" s="90" t="s">
        <v>1723</v>
      </c>
      <c r="B399" s="91" t="s">
        <v>215</v>
      </c>
      <c r="C399" s="106">
        <v>1.5497000000000001</v>
      </c>
      <c r="D399" s="78"/>
      <c r="E399" s="78"/>
      <c r="F399" s="78"/>
    </row>
    <row r="400" spans="1:6" x14ac:dyDescent="0.25">
      <c r="A400" s="90" t="s">
        <v>1724</v>
      </c>
      <c r="B400" s="91" t="s">
        <v>215</v>
      </c>
      <c r="C400" s="106">
        <v>1.5658000000000001</v>
      </c>
      <c r="D400" s="78"/>
      <c r="E400" s="78"/>
      <c r="F400" s="78"/>
    </row>
    <row r="401" spans="1:6" x14ac:dyDescent="0.25">
      <c r="A401" s="90" t="s">
        <v>1725</v>
      </c>
      <c r="B401" s="91" t="s">
        <v>215</v>
      </c>
      <c r="C401" s="106">
        <v>1.5817000000000001</v>
      </c>
      <c r="D401" s="78"/>
      <c r="E401" s="78"/>
      <c r="F401" s="78"/>
    </row>
    <row r="402" spans="1:6" x14ac:dyDescent="0.25">
      <c r="A402" s="90" t="s">
        <v>1726</v>
      </c>
      <c r="B402" s="91" t="s">
        <v>215</v>
      </c>
      <c r="C402" s="106">
        <v>1.5973999999999999</v>
      </c>
      <c r="D402" s="78"/>
      <c r="E402" s="78"/>
      <c r="F402" s="78"/>
    </row>
    <row r="403" spans="1:6" x14ac:dyDescent="0.25">
      <c r="A403" s="90" t="s">
        <v>1727</v>
      </c>
      <c r="B403" s="91" t="s">
        <v>215</v>
      </c>
      <c r="C403" s="106">
        <v>1.6129</v>
      </c>
      <c r="D403" s="78"/>
      <c r="E403" s="78"/>
      <c r="F403" s="78"/>
    </row>
    <row r="404" spans="1:6" x14ac:dyDescent="0.25">
      <c r="A404" s="90" t="s">
        <v>1728</v>
      </c>
      <c r="B404" s="91" t="s">
        <v>215</v>
      </c>
      <c r="C404" s="106">
        <v>1.6282000000000001</v>
      </c>
      <c r="D404" s="78"/>
      <c r="E404" s="78"/>
      <c r="F404" s="78"/>
    </row>
    <row r="405" spans="1:6" x14ac:dyDescent="0.25">
      <c r="A405" s="90" t="s">
        <v>1729</v>
      </c>
      <c r="B405" s="91" t="s">
        <v>215</v>
      </c>
      <c r="C405" s="106">
        <v>1.6331120000000001</v>
      </c>
      <c r="D405" s="78"/>
      <c r="E405" s="78"/>
      <c r="F405" s="78"/>
    </row>
    <row r="406" spans="1:6" x14ac:dyDescent="0.25">
      <c r="A406" s="90" t="s">
        <v>1730</v>
      </c>
      <c r="B406" s="91" t="s">
        <v>215</v>
      </c>
      <c r="C406" s="106">
        <v>1.6471520000000002</v>
      </c>
      <c r="D406" s="78"/>
      <c r="E406" s="78"/>
      <c r="F406" s="78"/>
    </row>
    <row r="407" spans="1:6" x14ac:dyDescent="0.25">
      <c r="A407" s="90" t="s">
        <v>1731</v>
      </c>
      <c r="B407" s="91" t="s">
        <v>215</v>
      </c>
      <c r="C407" s="106">
        <v>1.6614439999999999</v>
      </c>
      <c r="D407" s="78"/>
      <c r="E407" s="78"/>
      <c r="F407" s="78"/>
    </row>
    <row r="408" spans="1:6" x14ac:dyDescent="0.25">
      <c r="A408" s="90" t="s">
        <v>1732</v>
      </c>
      <c r="B408" s="91" t="s">
        <v>215</v>
      </c>
      <c r="C408" s="106">
        <v>1.670552</v>
      </c>
      <c r="D408" s="78"/>
      <c r="E408" s="78"/>
      <c r="F408" s="78"/>
    </row>
    <row r="409" spans="1:6" x14ac:dyDescent="0.25">
      <c r="A409" s="90" t="s">
        <v>1733</v>
      </c>
      <c r="B409" s="91" t="s">
        <v>215</v>
      </c>
      <c r="C409" s="106">
        <v>1.6444000000000001</v>
      </c>
      <c r="D409" s="78"/>
      <c r="E409" s="78"/>
      <c r="F409" s="78"/>
    </row>
    <row r="410" spans="1:6" x14ac:dyDescent="0.25">
      <c r="A410" s="90" t="s">
        <v>1734</v>
      </c>
      <c r="B410" s="91" t="s">
        <v>215</v>
      </c>
      <c r="C410" s="106">
        <v>1.6819</v>
      </c>
      <c r="D410" s="78"/>
      <c r="E410" s="78"/>
      <c r="F410" s="78"/>
    </row>
    <row r="411" spans="1:6" x14ac:dyDescent="0.25">
      <c r="A411" s="90" t="s">
        <v>1735</v>
      </c>
      <c r="B411" s="91" t="s">
        <v>215</v>
      </c>
      <c r="C411" s="106">
        <v>1.7185999999999999</v>
      </c>
      <c r="D411" s="78"/>
      <c r="E411" s="78"/>
      <c r="F411" s="78"/>
    </row>
    <row r="412" spans="1:6" x14ac:dyDescent="0.25">
      <c r="A412" s="90" t="s">
        <v>1736</v>
      </c>
      <c r="B412" s="91" t="s">
        <v>215</v>
      </c>
      <c r="C412" s="106">
        <v>1.7546999999999999</v>
      </c>
      <c r="D412" s="78"/>
      <c r="E412" s="78"/>
      <c r="F412" s="78"/>
    </row>
    <row r="413" spans="1:6" x14ac:dyDescent="0.25">
      <c r="A413" s="90" t="s">
        <v>1737</v>
      </c>
      <c r="B413" s="91" t="s">
        <v>215</v>
      </c>
      <c r="C413" s="106">
        <v>1.7901</v>
      </c>
      <c r="D413" s="78"/>
      <c r="E413" s="78"/>
      <c r="F413" s="78"/>
    </row>
    <row r="414" spans="1:6" x14ac:dyDescent="0.25">
      <c r="A414" s="90" t="s">
        <v>1738</v>
      </c>
      <c r="B414" s="91" t="s">
        <v>215</v>
      </c>
      <c r="C414" s="106">
        <v>1.825</v>
      </c>
      <c r="D414" s="78"/>
      <c r="E414" s="78"/>
      <c r="F414" s="78"/>
    </row>
    <row r="415" spans="1:6" x14ac:dyDescent="0.25">
      <c r="A415" s="90" t="s">
        <v>1739</v>
      </c>
      <c r="B415" s="91" t="s">
        <v>215</v>
      </c>
      <c r="C415" s="106">
        <v>1.8593</v>
      </c>
      <c r="D415" s="78"/>
      <c r="E415" s="78"/>
      <c r="F415" s="78"/>
    </row>
    <row r="416" spans="1:6" x14ac:dyDescent="0.25">
      <c r="A416" s="90" t="s">
        <v>1740</v>
      </c>
      <c r="B416" s="91" t="s">
        <v>215</v>
      </c>
      <c r="C416" s="106">
        <v>1.893</v>
      </c>
      <c r="D416" s="78"/>
      <c r="E416" s="78"/>
      <c r="F416" s="78"/>
    </row>
    <row r="417" spans="1:6" x14ac:dyDescent="0.25">
      <c r="A417" s="90" t="s">
        <v>1741</v>
      </c>
      <c r="B417" s="91" t="s">
        <v>215</v>
      </c>
      <c r="C417" s="106">
        <v>1.9261999999999999</v>
      </c>
      <c r="D417" s="78"/>
      <c r="E417" s="78"/>
      <c r="F417" s="78"/>
    </row>
    <row r="418" spans="1:6" x14ac:dyDescent="0.25">
      <c r="A418" s="90" t="s">
        <v>1742</v>
      </c>
      <c r="B418" s="91" t="s">
        <v>215</v>
      </c>
      <c r="C418" s="106">
        <v>1.9589000000000001</v>
      </c>
      <c r="D418" s="78"/>
      <c r="E418" s="78"/>
      <c r="F418" s="78"/>
    </row>
    <row r="419" spans="1:6" x14ac:dyDescent="0.25">
      <c r="A419" s="90" t="s">
        <v>1743</v>
      </c>
      <c r="B419" s="91" t="s">
        <v>215</v>
      </c>
      <c r="C419" s="106">
        <v>1.9911000000000001</v>
      </c>
      <c r="D419" s="78"/>
      <c r="E419" s="78"/>
      <c r="F419" s="78"/>
    </row>
    <row r="420" spans="1:6" x14ac:dyDescent="0.25">
      <c r="A420" s="90" t="s">
        <v>1744</v>
      </c>
      <c r="B420" s="91" t="s">
        <v>215</v>
      </c>
      <c r="C420" s="106">
        <v>2.0228000000000002</v>
      </c>
      <c r="D420" s="78"/>
      <c r="E420" s="78"/>
      <c r="F420" s="78"/>
    </row>
    <row r="421" spans="1:6" x14ac:dyDescent="0.25">
      <c r="A421" s="90" t="s">
        <v>1745</v>
      </c>
      <c r="B421" s="91" t="s">
        <v>215</v>
      </c>
      <c r="C421" s="106">
        <v>2.0539999999999998</v>
      </c>
      <c r="D421" s="78"/>
      <c r="E421" s="78"/>
      <c r="F421" s="78"/>
    </row>
    <row r="422" spans="1:6" x14ac:dyDescent="0.25">
      <c r="A422" s="90" t="s">
        <v>1746</v>
      </c>
      <c r="B422" s="91" t="s">
        <v>215</v>
      </c>
      <c r="C422" s="106">
        <v>2.0848</v>
      </c>
      <c r="D422" s="78"/>
      <c r="E422" s="78"/>
      <c r="F422" s="78"/>
    </row>
    <row r="423" spans="1:6" x14ac:dyDescent="0.25">
      <c r="A423" s="90" t="s">
        <v>1747</v>
      </c>
      <c r="B423" s="91" t="s">
        <v>215</v>
      </c>
      <c r="C423" s="106">
        <v>2.1152000000000002</v>
      </c>
      <c r="D423" s="78"/>
      <c r="E423" s="78"/>
      <c r="F423" s="78"/>
    </row>
    <row r="424" spans="1:6" x14ac:dyDescent="0.25">
      <c r="A424" s="90" t="s">
        <v>1748</v>
      </c>
      <c r="B424" s="91" t="s">
        <v>215</v>
      </c>
      <c r="C424" s="106">
        <v>2.145</v>
      </c>
      <c r="D424" s="78"/>
      <c r="E424" s="78"/>
      <c r="F424" s="78"/>
    </row>
    <row r="425" spans="1:6" x14ac:dyDescent="0.25">
      <c r="A425" s="90" t="s">
        <v>1749</v>
      </c>
      <c r="B425" s="91" t="s">
        <v>215</v>
      </c>
      <c r="C425" s="106">
        <v>2.1745000000000001</v>
      </c>
      <c r="D425" s="78"/>
      <c r="E425" s="78"/>
      <c r="F425" s="78"/>
    </row>
    <row r="426" spans="1:6" x14ac:dyDescent="0.25">
      <c r="A426" s="90" t="s">
        <v>1750</v>
      </c>
      <c r="B426" s="91" t="s">
        <v>215</v>
      </c>
      <c r="C426" s="106">
        <v>2.2035</v>
      </c>
      <c r="D426" s="78"/>
      <c r="E426" s="78"/>
      <c r="F426" s="78"/>
    </row>
    <row r="427" spans="1:6" x14ac:dyDescent="0.25">
      <c r="A427" s="90" t="s">
        <v>1751</v>
      </c>
      <c r="B427" s="91" t="s">
        <v>215</v>
      </c>
      <c r="C427" s="106">
        <v>2.2768440000000001</v>
      </c>
      <c r="D427" s="78"/>
      <c r="E427" s="78"/>
      <c r="F427" s="78"/>
    </row>
    <row r="428" spans="1:6" x14ac:dyDescent="0.25">
      <c r="A428" s="90" t="s">
        <v>1752</v>
      </c>
      <c r="B428" s="91" t="s">
        <v>215</v>
      </c>
      <c r="C428" s="106">
        <v>2.3282120000000002</v>
      </c>
      <c r="D428" s="78"/>
      <c r="E428" s="78"/>
      <c r="F428" s="78"/>
    </row>
    <row r="429" spans="1:6" x14ac:dyDescent="0.25">
      <c r="A429" s="90" t="s">
        <v>1753</v>
      </c>
      <c r="B429" s="91" t="s">
        <v>215</v>
      </c>
      <c r="C429" s="106">
        <v>2.3797280000000001</v>
      </c>
      <c r="D429" s="78"/>
      <c r="E429" s="78"/>
      <c r="F429" s="78"/>
    </row>
    <row r="430" spans="1:6" x14ac:dyDescent="0.25">
      <c r="A430" s="90" t="s">
        <v>1754</v>
      </c>
      <c r="B430" s="91" t="s">
        <v>215</v>
      </c>
      <c r="C430" s="106">
        <v>2.4313799999999999</v>
      </c>
      <c r="D430" s="78"/>
      <c r="E430" s="78"/>
      <c r="F430" s="78"/>
    </row>
    <row r="431" spans="1:6" x14ac:dyDescent="0.25">
      <c r="A431" s="90" t="s">
        <v>1755</v>
      </c>
      <c r="B431" s="91" t="s">
        <v>215</v>
      </c>
      <c r="C431" s="106">
        <v>2.4831560000000001</v>
      </c>
      <c r="D431" s="78"/>
      <c r="E431" s="78"/>
      <c r="F431" s="78"/>
    </row>
    <row r="432" spans="1:6" x14ac:dyDescent="0.25">
      <c r="A432" s="90" t="s">
        <v>1756</v>
      </c>
      <c r="B432" s="91" t="s">
        <v>215</v>
      </c>
      <c r="C432" s="106">
        <v>2.5351509999999999</v>
      </c>
      <c r="D432" s="78"/>
      <c r="E432" s="78"/>
      <c r="F432" s="78"/>
    </row>
    <row r="433" spans="1:6" x14ac:dyDescent="0.25">
      <c r="A433" s="90" t="s">
        <v>1757</v>
      </c>
      <c r="B433" s="91" t="s">
        <v>215</v>
      </c>
      <c r="C433" s="106">
        <v>2.5871400000000002</v>
      </c>
      <c r="D433" s="78"/>
      <c r="E433" s="78"/>
      <c r="F433" s="78"/>
    </row>
    <row r="434" spans="1:6" x14ac:dyDescent="0.25">
      <c r="A434" s="90" t="s">
        <v>1758</v>
      </c>
      <c r="B434" s="91" t="s">
        <v>215</v>
      </c>
      <c r="C434" s="106">
        <v>2.6393260000000005</v>
      </c>
      <c r="D434" s="78"/>
      <c r="E434" s="78"/>
      <c r="F434" s="78"/>
    </row>
    <row r="435" spans="1:6" x14ac:dyDescent="0.25">
      <c r="A435" s="90" t="s">
        <v>1759</v>
      </c>
      <c r="B435" s="91" t="s">
        <v>215</v>
      </c>
      <c r="C435" s="106">
        <v>2.6914800000000003</v>
      </c>
      <c r="D435" s="78"/>
      <c r="E435" s="78"/>
      <c r="F435" s="78"/>
    </row>
    <row r="436" spans="1:6" x14ac:dyDescent="0.25">
      <c r="A436" s="90" t="s">
        <v>1760</v>
      </c>
      <c r="B436" s="91" t="s">
        <v>215</v>
      </c>
      <c r="C436" s="106">
        <v>2.7439200000000001</v>
      </c>
      <c r="D436" s="78"/>
      <c r="E436" s="78"/>
      <c r="F436" s="78"/>
    </row>
    <row r="437" spans="1:6" x14ac:dyDescent="0.25">
      <c r="A437" s="90" t="s">
        <v>1761</v>
      </c>
      <c r="B437" s="91" t="s">
        <v>215</v>
      </c>
      <c r="C437" s="106">
        <v>2.7963040000000006</v>
      </c>
      <c r="D437" s="78"/>
      <c r="E437" s="78"/>
      <c r="F437" s="78"/>
    </row>
    <row r="438" spans="1:6" x14ac:dyDescent="0.25">
      <c r="A438" s="90" t="s">
        <v>1762</v>
      </c>
      <c r="B438" s="91" t="s">
        <v>215</v>
      </c>
      <c r="C438" s="106">
        <v>2.848843</v>
      </c>
      <c r="D438" s="78"/>
      <c r="E438" s="78"/>
      <c r="F438" s="78"/>
    </row>
    <row r="439" spans="1:6" x14ac:dyDescent="0.25">
      <c r="A439" s="90" t="s">
        <v>1763</v>
      </c>
      <c r="B439" s="91" t="s">
        <v>215</v>
      </c>
      <c r="C439" s="106">
        <v>2.9012999999999995</v>
      </c>
      <c r="D439" s="78"/>
      <c r="E439" s="78"/>
      <c r="F439" s="78"/>
    </row>
    <row r="440" spans="1:6" x14ac:dyDescent="0.25">
      <c r="A440" s="90" t="s">
        <v>1764</v>
      </c>
      <c r="B440" s="91" t="s">
        <v>215</v>
      </c>
      <c r="C440" s="106">
        <v>2.954005</v>
      </c>
      <c r="D440" s="78"/>
      <c r="E440" s="78"/>
      <c r="F440" s="78"/>
    </row>
    <row r="441" spans="1:6" x14ac:dyDescent="0.25">
      <c r="A441" s="90" t="s">
        <v>1765</v>
      </c>
      <c r="B441" s="91" t="s">
        <v>215</v>
      </c>
      <c r="C441" s="106">
        <v>3.0066039999999998</v>
      </c>
      <c r="D441" s="78"/>
      <c r="E441" s="78"/>
      <c r="F441" s="78"/>
    </row>
    <row r="442" spans="1:6" x14ac:dyDescent="0.25">
      <c r="A442" s="90" t="s">
        <v>1766</v>
      </c>
      <c r="B442" s="91" t="s">
        <v>215</v>
      </c>
      <c r="C442" s="106">
        <v>3.0593159999999995</v>
      </c>
      <c r="D442" s="78"/>
      <c r="E442" s="78"/>
      <c r="F442" s="78"/>
    </row>
    <row r="443" spans="1:6" x14ac:dyDescent="0.25">
      <c r="A443" s="90" t="s">
        <v>1767</v>
      </c>
      <c r="B443" s="91" t="s">
        <v>215</v>
      </c>
      <c r="C443" s="106">
        <v>3.1120140000000003</v>
      </c>
      <c r="D443" s="78"/>
      <c r="E443" s="78"/>
      <c r="F443" s="78"/>
    </row>
    <row r="444" spans="1:6" x14ac:dyDescent="0.25">
      <c r="A444" s="90" t="s">
        <v>1768</v>
      </c>
      <c r="B444" s="91" t="s">
        <v>215</v>
      </c>
      <c r="C444" s="106">
        <v>3.1648049999999999</v>
      </c>
      <c r="D444" s="78"/>
      <c r="E444" s="78"/>
      <c r="F444" s="78"/>
    </row>
    <row r="445" spans="1:6" x14ac:dyDescent="0.25">
      <c r="A445" s="90" t="s">
        <v>1769</v>
      </c>
      <c r="B445" s="91" t="s">
        <v>215</v>
      </c>
      <c r="C445" s="106">
        <v>3.2175599999999998</v>
      </c>
      <c r="D445" s="78"/>
      <c r="E445" s="78"/>
      <c r="F445" s="78"/>
    </row>
    <row r="446" spans="1:6" x14ac:dyDescent="0.25">
      <c r="A446" s="90" t="s">
        <v>1770</v>
      </c>
      <c r="B446" s="91" t="s">
        <v>215</v>
      </c>
      <c r="C446" s="106">
        <v>3.270267</v>
      </c>
      <c r="D446" s="78"/>
      <c r="E446" s="78"/>
      <c r="F446" s="78"/>
    </row>
    <row r="447" spans="1:6" x14ac:dyDescent="0.25">
      <c r="A447" s="90" t="s">
        <v>1771</v>
      </c>
      <c r="B447" s="91" t="s">
        <v>215</v>
      </c>
      <c r="C447" s="106">
        <v>3.3229139999999999</v>
      </c>
      <c r="D447" s="78"/>
      <c r="E447" s="78"/>
      <c r="F447" s="78"/>
    </row>
    <row r="448" spans="1:6" x14ac:dyDescent="0.25">
      <c r="A448" s="90" t="s">
        <v>1772</v>
      </c>
      <c r="B448" s="91" t="s">
        <v>215</v>
      </c>
      <c r="C448" s="106">
        <v>3.3756120000000003</v>
      </c>
      <c r="D448" s="78"/>
      <c r="E448" s="78"/>
      <c r="F448" s="78"/>
    </row>
    <row r="449" spans="1:6" x14ac:dyDescent="0.25">
      <c r="A449" s="90" t="s">
        <v>1773</v>
      </c>
      <c r="B449" s="91" t="s">
        <v>215</v>
      </c>
      <c r="C449" s="106">
        <v>3.4282279999999998</v>
      </c>
      <c r="D449" s="78"/>
      <c r="E449" s="78"/>
      <c r="F449" s="78"/>
    </row>
    <row r="450" spans="1:6" x14ac:dyDescent="0.25">
      <c r="A450" s="90" t="s">
        <v>1774</v>
      </c>
      <c r="B450" s="91" t="s">
        <v>215</v>
      </c>
      <c r="C450" s="106">
        <v>3.4808750000000002</v>
      </c>
      <c r="D450" s="78"/>
      <c r="E450" s="78"/>
      <c r="F450" s="78"/>
    </row>
    <row r="451" spans="1:6" x14ac:dyDescent="0.25">
      <c r="A451" s="90" t="s">
        <v>1775</v>
      </c>
      <c r="B451" s="91" t="s">
        <v>215</v>
      </c>
      <c r="C451" s="106">
        <v>3.5332919999999999</v>
      </c>
      <c r="D451" s="78"/>
      <c r="E451" s="78"/>
      <c r="F451" s="78"/>
    </row>
    <row r="452" spans="1:6" x14ac:dyDescent="0.25">
      <c r="A452" s="90" t="s">
        <v>1776</v>
      </c>
      <c r="B452" s="91" t="s">
        <v>215</v>
      </c>
      <c r="C452" s="106">
        <v>3.585718</v>
      </c>
      <c r="D452" s="78"/>
      <c r="E452" s="78"/>
      <c r="F452" s="78"/>
    </row>
    <row r="453" spans="1:6" x14ac:dyDescent="0.25">
      <c r="A453" s="90" t="s">
        <v>1777</v>
      </c>
      <c r="B453" s="91" t="s">
        <v>215</v>
      </c>
      <c r="C453" s="106">
        <v>3.6030000000000002</v>
      </c>
      <c r="D453" s="78"/>
      <c r="E453" s="78"/>
      <c r="F453" s="78"/>
    </row>
    <row r="454" spans="1:6" x14ac:dyDescent="0.25">
      <c r="A454" s="90" t="s">
        <v>1778</v>
      </c>
      <c r="B454" s="91" t="s">
        <v>215</v>
      </c>
      <c r="C454" s="106">
        <v>3.6030000000000002</v>
      </c>
      <c r="D454" s="78"/>
      <c r="E454" s="78"/>
      <c r="F454" s="78"/>
    </row>
    <row r="455" spans="1:6" x14ac:dyDescent="0.25">
      <c r="A455" s="90" t="s">
        <v>1779</v>
      </c>
      <c r="B455" s="91" t="s">
        <v>215</v>
      </c>
      <c r="C455" s="106">
        <v>3.6030000000000002</v>
      </c>
      <c r="D455" s="78"/>
      <c r="E455" s="78"/>
      <c r="F455" s="78"/>
    </row>
    <row r="456" spans="1:6" x14ac:dyDescent="0.25">
      <c r="A456" s="90" t="s">
        <v>1780</v>
      </c>
      <c r="B456" s="91" t="s">
        <v>215</v>
      </c>
      <c r="C456" s="106">
        <v>3.6030000000000002</v>
      </c>
      <c r="D456" s="78"/>
      <c r="E456" s="78"/>
      <c r="F456" s="78"/>
    </row>
    <row r="457" spans="1:6" x14ac:dyDescent="0.25">
      <c r="A457" s="90" t="s">
        <v>1781</v>
      </c>
      <c r="B457" s="91" t="s">
        <v>215</v>
      </c>
      <c r="C457" s="106">
        <v>3.6030000000000002</v>
      </c>
      <c r="D457" s="78"/>
      <c r="E457" s="78"/>
      <c r="F457" s="78"/>
    </row>
    <row r="458" spans="1:6" x14ac:dyDescent="0.25">
      <c r="A458" s="90" t="s">
        <v>1782</v>
      </c>
      <c r="B458" s="91" t="s">
        <v>215</v>
      </c>
      <c r="C458" s="106">
        <v>3.6030000000000002</v>
      </c>
      <c r="D458" s="78"/>
      <c r="E458" s="78"/>
      <c r="F458" s="78"/>
    </row>
    <row r="459" spans="1:6" x14ac:dyDescent="0.25">
      <c r="A459" s="90" t="s">
        <v>1783</v>
      </c>
      <c r="B459" s="91" t="s">
        <v>215</v>
      </c>
      <c r="C459" s="106">
        <v>3.6030000000000002</v>
      </c>
      <c r="D459" s="78"/>
      <c r="E459" s="78"/>
      <c r="F459" s="78"/>
    </row>
    <row r="460" spans="1:6" x14ac:dyDescent="0.25">
      <c r="A460" s="90" t="s">
        <v>1784</v>
      </c>
      <c r="B460" s="91" t="s">
        <v>215</v>
      </c>
      <c r="C460" s="106">
        <v>3.6030000000000002</v>
      </c>
      <c r="D460" s="78"/>
      <c r="E460" s="78"/>
      <c r="F460" s="78"/>
    </row>
    <row r="461" spans="1:6" x14ac:dyDescent="0.25">
      <c r="A461" s="90" t="s">
        <v>1785</v>
      </c>
      <c r="B461" s="91" t="s">
        <v>215</v>
      </c>
      <c r="C461" s="106">
        <v>3.6030000000000002</v>
      </c>
      <c r="D461" s="78"/>
      <c r="E461" s="78"/>
      <c r="F461" s="78"/>
    </row>
    <row r="462" spans="1:6" x14ac:dyDescent="0.25">
      <c r="A462" s="90" t="s">
        <v>1786</v>
      </c>
      <c r="B462" s="91" t="s">
        <v>215</v>
      </c>
      <c r="C462" s="106">
        <v>3.6030000000000002</v>
      </c>
      <c r="D462" s="78"/>
      <c r="E462" s="78"/>
      <c r="F462" s="78"/>
    </row>
    <row r="463" spans="1:6" x14ac:dyDescent="0.25">
      <c r="A463" s="90" t="s">
        <v>1787</v>
      </c>
      <c r="B463" s="91" t="s">
        <v>215</v>
      </c>
      <c r="C463" s="106">
        <v>3.6030000000000002</v>
      </c>
      <c r="D463" s="78"/>
      <c r="E463" s="78"/>
      <c r="F463" s="78"/>
    </row>
    <row r="464" spans="1:6" x14ac:dyDescent="0.25">
      <c r="A464" s="90" t="s">
        <v>1788</v>
      </c>
      <c r="B464" s="91" t="s">
        <v>215</v>
      </c>
      <c r="C464" s="106">
        <v>3.6030000000000002</v>
      </c>
      <c r="D464" s="78"/>
      <c r="E464" s="78"/>
      <c r="F464" s="78"/>
    </row>
    <row r="465" spans="1:6" x14ac:dyDescent="0.25">
      <c r="A465" s="90" t="s">
        <v>1789</v>
      </c>
      <c r="B465" s="91" t="s">
        <v>215</v>
      </c>
      <c r="C465" s="106">
        <v>3.6030000000000002</v>
      </c>
      <c r="D465" s="78"/>
      <c r="E465" s="78"/>
      <c r="F465" s="78"/>
    </row>
    <row r="466" spans="1:6" x14ac:dyDescent="0.25">
      <c r="A466" s="90" t="s">
        <v>1790</v>
      </c>
      <c r="B466" s="91" t="s">
        <v>215</v>
      </c>
      <c r="C466" s="106">
        <v>3.6030000000000002</v>
      </c>
      <c r="D466" s="78"/>
      <c r="E466" s="78"/>
      <c r="F466" s="78"/>
    </row>
    <row r="467" spans="1:6" x14ac:dyDescent="0.25">
      <c r="A467" s="90" t="s">
        <v>1791</v>
      </c>
      <c r="B467" s="91" t="s">
        <v>215</v>
      </c>
      <c r="C467" s="106">
        <v>3.6030000000000002</v>
      </c>
      <c r="D467" s="78"/>
      <c r="E467" s="78"/>
      <c r="F467" s="78"/>
    </row>
    <row r="468" spans="1:6" x14ac:dyDescent="0.25">
      <c r="A468" s="90" t="s">
        <v>1792</v>
      </c>
      <c r="B468" s="91" t="s">
        <v>215</v>
      </c>
      <c r="C468" s="106">
        <v>3.6030000000000002</v>
      </c>
      <c r="D468" s="78"/>
      <c r="E468" s="78"/>
      <c r="F468" s="78"/>
    </row>
    <row r="469" spans="1:6" x14ac:dyDescent="0.25">
      <c r="A469" s="90" t="s">
        <v>1793</v>
      </c>
      <c r="B469" s="91" t="s">
        <v>215</v>
      </c>
      <c r="C469" s="106">
        <v>3.6030000000000002</v>
      </c>
      <c r="D469" s="78"/>
      <c r="E469" s="78"/>
      <c r="F469" s="78"/>
    </row>
    <row r="470" spans="1:6" x14ac:dyDescent="0.25">
      <c r="A470" s="90" t="s">
        <v>1794</v>
      </c>
      <c r="B470" s="91" t="s">
        <v>215</v>
      </c>
      <c r="C470" s="106">
        <v>3.6030000000000002</v>
      </c>
      <c r="D470" s="78"/>
      <c r="E470" s="78"/>
      <c r="F470" s="78"/>
    </row>
    <row r="471" spans="1:6" x14ac:dyDescent="0.25">
      <c r="A471" s="90" t="s">
        <v>1795</v>
      </c>
      <c r="B471" s="91" t="s">
        <v>215</v>
      </c>
      <c r="C471" s="106">
        <v>3.6030000000000002</v>
      </c>
      <c r="D471" s="78"/>
      <c r="E471" s="78"/>
      <c r="F471" s="78"/>
    </row>
    <row r="472" spans="1:6" x14ac:dyDescent="0.25">
      <c r="A472" s="90" t="s">
        <v>1796</v>
      </c>
      <c r="B472" s="91" t="s">
        <v>215</v>
      </c>
      <c r="C472" s="106">
        <v>3.6030000000000002</v>
      </c>
      <c r="D472" s="78"/>
      <c r="E472" s="78"/>
      <c r="F472" s="78"/>
    </row>
    <row r="473" spans="1:6" x14ac:dyDescent="0.25">
      <c r="A473" s="90" t="s">
        <v>1797</v>
      </c>
      <c r="B473" s="91" t="s">
        <v>215</v>
      </c>
      <c r="C473" s="106">
        <v>3.6030000000000002</v>
      </c>
      <c r="D473" s="78"/>
      <c r="E473" s="78"/>
      <c r="F473" s="78"/>
    </row>
    <row r="474" spans="1:6" x14ac:dyDescent="0.25">
      <c r="A474" s="90" t="s">
        <v>1798</v>
      </c>
      <c r="B474" s="91" t="s">
        <v>215</v>
      </c>
      <c r="C474" s="106">
        <v>3.6030000000000002</v>
      </c>
      <c r="D474" s="78"/>
      <c r="E474" s="78"/>
      <c r="F474" s="78"/>
    </row>
    <row r="475" spans="1:6" x14ac:dyDescent="0.25">
      <c r="A475" s="90" t="s">
        <v>1799</v>
      </c>
      <c r="B475" s="91" t="s">
        <v>215</v>
      </c>
      <c r="C475" s="106">
        <v>3.6030000000000002</v>
      </c>
      <c r="D475" s="78"/>
      <c r="E475" s="78"/>
      <c r="F475" s="78"/>
    </row>
    <row r="476" spans="1:6" x14ac:dyDescent="0.25">
      <c r="A476" s="90" t="s">
        <v>1800</v>
      </c>
      <c r="B476" s="91" t="s">
        <v>215</v>
      </c>
      <c r="C476" s="106">
        <v>3.6030000000000002</v>
      </c>
      <c r="D476" s="78"/>
      <c r="E476" s="78"/>
      <c r="F476" s="78"/>
    </row>
    <row r="477" spans="1:6" x14ac:dyDescent="0.25">
      <c r="A477" s="90" t="s">
        <v>1801</v>
      </c>
      <c r="B477" s="91" t="s">
        <v>215</v>
      </c>
      <c r="C477" s="106">
        <v>3.6030000000000002</v>
      </c>
      <c r="D477" s="78"/>
      <c r="E477" s="78"/>
      <c r="F477" s="78"/>
    </row>
    <row r="478" spans="1:6" x14ac:dyDescent="0.25">
      <c r="A478" s="90" t="s">
        <v>1802</v>
      </c>
      <c r="B478" s="91" t="s">
        <v>215</v>
      </c>
      <c r="C478" s="106">
        <v>3.6030000000000002</v>
      </c>
      <c r="D478" s="78"/>
      <c r="E478" s="78"/>
      <c r="F478" s="78"/>
    </row>
    <row r="479" spans="1:6" x14ac:dyDescent="0.25">
      <c r="A479" s="90" t="s">
        <v>1803</v>
      </c>
      <c r="B479" s="91" t="s">
        <v>215</v>
      </c>
      <c r="C479" s="106">
        <v>3.6030000000000002</v>
      </c>
      <c r="D479" s="78"/>
      <c r="E479" s="78"/>
      <c r="F479" s="78"/>
    </row>
    <row r="480" spans="1:6" x14ac:dyDescent="0.25">
      <c r="A480" s="90" t="s">
        <v>1804</v>
      </c>
      <c r="B480" s="91" t="s">
        <v>215</v>
      </c>
      <c r="C480" s="106">
        <v>3.6030000000000002</v>
      </c>
      <c r="D480" s="78"/>
      <c r="E480" s="78"/>
      <c r="F480" s="78"/>
    </row>
    <row r="481" spans="1:6" x14ac:dyDescent="0.25">
      <c r="A481" s="90" t="s">
        <v>1805</v>
      </c>
      <c r="B481" s="91" t="s">
        <v>215</v>
      </c>
      <c r="C481" s="106">
        <v>3.6030000000000002</v>
      </c>
      <c r="D481" s="78"/>
      <c r="E481" s="78"/>
      <c r="F481" s="78"/>
    </row>
    <row r="482" spans="1:6" x14ac:dyDescent="0.25">
      <c r="A482" s="90" t="s">
        <v>1806</v>
      </c>
      <c r="B482" s="91" t="s">
        <v>215</v>
      </c>
      <c r="C482" s="106">
        <v>3.6030000000000002</v>
      </c>
      <c r="D482" s="78"/>
      <c r="E482" s="78"/>
      <c r="F482" s="78"/>
    </row>
    <row r="483" spans="1:6" x14ac:dyDescent="0.25">
      <c r="A483" s="90" t="s">
        <v>1807</v>
      </c>
      <c r="B483" s="91" t="s">
        <v>215</v>
      </c>
      <c r="C483" s="106">
        <v>3.6030000000000002</v>
      </c>
      <c r="D483" s="78"/>
      <c r="E483" s="78"/>
      <c r="F483" s="78"/>
    </row>
    <row r="484" spans="1:6" x14ac:dyDescent="0.25">
      <c r="A484" s="90" t="s">
        <v>1808</v>
      </c>
      <c r="B484" s="91" t="s">
        <v>215</v>
      </c>
      <c r="C484" s="106">
        <v>3.6030000000000002</v>
      </c>
      <c r="D484" s="78"/>
      <c r="E484" s="78"/>
      <c r="F484" s="78"/>
    </row>
    <row r="485" spans="1:6" x14ac:dyDescent="0.25">
      <c r="A485" s="90" t="s">
        <v>1809</v>
      </c>
      <c r="B485" s="91" t="s">
        <v>215</v>
      </c>
      <c r="C485" s="106">
        <v>3.6030000000000002</v>
      </c>
      <c r="D485" s="78"/>
      <c r="E485" s="78"/>
      <c r="F485" s="78"/>
    </row>
    <row r="486" spans="1:6" x14ac:dyDescent="0.25">
      <c r="A486" s="90" t="s">
        <v>1810</v>
      </c>
      <c r="B486" s="91" t="s">
        <v>215</v>
      </c>
      <c r="C486" s="106">
        <v>3.6030000000000002</v>
      </c>
      <c r="D486" s="78"/>
      <c r="E486" s="78"/>
      <c r="F486" s="78"/>
    </row>
    <row r="487" spans="1:6" x14ac:dyDescent="0.25">
      <c r="A487" s="90" t="s">
        <v>1811</v>
      </c>
      <c r="B487" s="91" t="s">
        <v>215</v>
      </c>
      <c r="C487" s="106">
        <v>3.6030000000000002</v>
      </c>
      <c r="D487" s="78"/>
      <c r="E487" s="78"/>
      <c r="F487" s="78"/>
    </row>
    <row r="488" spans="1:6" x14ac:dyDescent="0.25">
      <c r="A488" s="90" t="s">
        <v>1812</v>
      </c>
      <c r="B488" s="91" t="s">
        <v>215</v>
      </c>
      <c r="C488" s="106">
        <v>3.6030000000000002</v>
      </c>
      <c r="D488" s="78"/>
      <c r="E488" s="78"/>
      <c r="F488" s="78"/>
    </row>
    <row r="489" spans="1:6" x14ac:dyDescent="0.25">
      <c r="A489" s="90" t="s">
        <v>1813</v>
      </c>
      <c r="B489" s="91" t="s">
        <v>215</v>
      </c>
      <c r="C489" s="106">
        <v>3.6030000000000002</v>
      </c>
      <c r="D489" s="78"/>
      <c r="E489" s="78"/>
      <c r="F489" s="78"/>
    </row>
    <row r="490" spans="1:6" x14ac:dyDescent="0.25">
      <c r="A490" s="90" t="s">
        <v>1814</v>
      </c>
      <c r="B490" s="91" t="s">
        <v>215</v>
      </c>
      <c r="C490" s="106">
        <v>3.6030000000000002</v>
      </c>
      <c r="D490" s="78"/>
      <c r="E490" s="78"/>
      <c r="F490" s="78"/>
    </row>
    <row r="491" spans="1:6" x14ac:dyDescent="0.25">
      <c r="A491" s="90" t="s">
        <v>1815</v>
      </c>
      <c r="B491" s="91" t="s">
        <v>215</v>
      </c>
      <c r="C491" s="106">
        <v>3.6030000000000002</v>
      </c>
      <c r="D491" s="78"/>
      <c r="E491" s="78"/>
      <c r="F491" s="78"/>
    </row>
    <row r="492" spans="1:6" x14ac:dyDescent="0.25">
      <c r="A492" s="90" t="s">
        <v>1977</v>
      </c>
      <c r="B492" s="91" t="s">
        <v>2138</v>
      </c>
      <c r="C492" s="106">
        <v>92.287202859933004</v>
      </c>
      <c r="D492" s="78"/>
      <c r="E492" s="78"/>
      <c r="F492" s="78"/>
    </row>
    <row r="493" spans="1:6" x14ac:dyDescent="0.25">
      <c r="A493" s="90" t="s">
        <v>1978</v>
      </c>
      <c r="B493" s="91" t="s">
        <v>2138</v>
      </c>
      <c r="C493" s="106">
        <v>92.860012695312506</v>
      </c>
      <c r="D493" s="78"/>
      <c r="E493" s="78"/>
      <c r="F493" s="78"/>
    </row>
    <row r="494" spans="1:6" x14ac:dyDescent="0.25">
      <c r="A494" s="90" t="s">
        <v>1979</v>
      </c>
      <c r="B494" s="91" t="s">
        <v>2138</v>
      </c>
      <c r="C494" s="106">
        <v>93.391896505301304</v>
      </c>
      <c r="D494" s="78"/>
      <c r="E494" s="78"/>
      <c r="F494" s="78"/>
    </row>
    <row r="495" spans="1:6" x14ac:dyDescent="0.25">
      <c r="A495" s="90" t="s">
        <v>1980</v>
      </c>
      <c r="B495" s="91" t="s">
        <v>2138</v>
      </c>
      <c r="C495" s="106">
        <v>93.891329882812499</v>
      </c>
      <c r="D495" s="78"/>
      <c r="E495" s="78"/>
      <c r="F495" s="78"/>
    </row>
    <row r="496" spans="1:6" x14ac:dyDescent="0.25">
      <c r="A496" s="90" t="s">
        <v>1981</v>
      </c>
      <c r="B496" s="91" t="s">
        <v>2138</v>
      </c>
      <c r="C496" s="106">
        <v>94.338415698242102</v>
      </c>
      <c r="D496" s="78"/>
      <c r="E496" s="78"/>
      <c r="F496" s="78"/>
    </row>
    <row r="497" spans="1:6" x14ac:dyDescent="0.25">
      <c r="A497" s="90" t="s">
        <v>1982</v>
      </c>
      <c r="B497" s="91" t="s">
        <v>2138</v>
      </c>
      <c r="C497" s="106">
        <v>94.733725446428494</v>
      </c>
      <c r="D497" s="78"/>
      <c r="E497" s="78"/>
      <c r="F497" s="78"/>
    </row>
    <row r="498" spans="1:6" x14ac:dyDescent="0.25">
      <c r="A498" s="90" t="s">
        <v>1983</v>
      </c>
      <c r="B498" s="91" t="s">
        <v>2138</v>
      </c>
      <c r="C498" s="106">
        <v>95.066306103515601</v>
      </c>
      <c r="D498" s="78"/>
      <c r="E498" s="78"/>
      <c r="F498" s="78"/>
    </row>
    <row r="499" spans="1:6" x14ac:dyDescent="0.25">
      <c r="A499" s="90" t="s">
        <v>1984</v>
      </c>
      <c r="B499" s="91" t="s">
        <v>2138</v>
      </c>
      <c r="C499" s="106">
        <v>95.354064160156199</v>
      </c>
      <c r="D499" s="78"/>
      <c r="E499" s="78"/>
      <c r="F499" s="78"/>
    </row>
    <row r="500" spans="1:6" x14ac:dyDescent="0.25">
      <c r="A500" s="90" t="s">
        <v>1985</v>
      </c>
      <c r="B500" s="91" t="s">
        <v>2138</v>
      </c>
      <c r="C500" s="106">
        <v>95.576814892578099</v>
      </c>
      <c r="D500" s="78"/>
      <c r="E500" s="78"/>
      <c r="F500" s="78"/>
    </row>
    <row r="501" spans="1:6" x14ac:dyDescent="0.25">
      <c r="A501" s="90" t="s">
        <v>1986</v>
      </c>
      <c r="B501" s="91" t="s">
        <v>2138</v>
      </c>
      <c r="C501" s="106">
        <v>95.7417246930803</v>
      </c>
      <c r="D501" s="78"/>
      <c r="E501" s="78"/>
      <c r="F501" s="78"/>
    </row>
    <row r="502" spans="1:6" x14ac:dyDescent="0.25">
      <c r="A502" s="90" t="s">
        <v>1987</v>
      </c>
      <c r="B502" s="91" t="s">
        <v>2138</v>
      </c>
      <c r="C502" s="106">
        <v>95.838111092122304</v>
      </c>
      <c r="D502" s="78"/>
      <c r="E502" s="78"/>
      <c r="F502" s="78"/>
    </row>
    <row r="503" spans="1:6" x14ac:dyDescent="0.25">
      <c r="A503" s="90" t="s">
        <v>1988</v>
      </c>
      <c r="B503" s="91" t="s">
        <v>2138</v>
      </c>
      <c r="C503" s="106">
        <v>95.901364143880201</v>
      </c>
      <c r="D503" s="78"/>
      <c r="E503" s="78"/>
      <c r="F503" s="78"/>
    </row>
    <row r="504" spans="1:6" x14ac:dyDescent="0.25">
      <c r="A504" s="90" t="s">
        <v>1989</v>
      </c>
      <c r="B504" s="91" t="s">
        <v>2138</v>
      </c>
      <c r="C504" s="106">
        <v>99.778878257533407</v>
      </c>
      <c r="D504" s="78"/>
      <c r="E504" s="78"/>
      <c r="F504" s="78"/>
    </row>
    <row r="505" spans="1:6" x14ac:dyDescent="0.25">
      <c r="A505" s="90" t="s">
        <v>1990</v>
      </c>
      <c r="B505" s="91" t="s">
        <v>2138</v>
      </c>
      <c r="C505" s="106">
        <v>96.393950976562493</v>
      </c>
      <c r="D505" s="78"/>
      <c r="E505" s="78"/>
      <c r="F505" s="78"/>
    </row>
    <row r="506" spans="1:6" x14ac:dyDescent="0.25">
      <c r="A506" s="90" t="s">
        <v>1991</v>
      </c>
      <c r="B506" s="91" t="s">
        <v>2138</v>
      </c>
      <c r="C506" s="106">
        <v>93.252807840401701</v>
      </c>
      <c r="D506" s="78"/>
      <c r="E506" s="78"/>
      <c r="F506" s="78"/>
    </row>
    <row r="507" spans="1:6" x14ac:dyDescent="0.25">
      <c r="A507" s="90" t="s">
        <v>1992</v>
      </c>
      <c r="B507" s="91" t="s">
        <v>2138</v>
      </c>
      <c r="C507" s="106">
        <v>90.220097460937495</v>
      </c>
      <c r="D507" s="78"/>
      <c r="E507" s="78"/>
      <c r="F507" s="78"/>
    </row>
    <row r="508" spans="1:6" x14ac:dyDescent="0.25">
      <c r="A508" s="90" t="s">
        <v>1993</v>
      </c>
      <c r="B508" s="91" t="s">
        <v>2138</v>
      </c>
      <c r="C508" s="106">
        <v>87.368085091145801</v>
      </c>
      <c r="D508" s="78"/>
      <c r="E508" s="78"/>
      <c r="F508" s="78"/>
    </row>
    <row r="509" spans="1:6" x14ac:dyDescent="0.25">
      <c r="A509" s="90" t="s">
        <v>1994</v>
      </c>
      <c r="B509" s="91" t="s">
        <v>2138</v>
      </c>
      <c r="C509" s="106">
        <v>84.574802539062503</v>
      </c>
      <c r="D509" s="78"/>
      <c r="E509" s="78"/>
      <c r="F509" s="78"/>
    </row>
    <row r="510" spans="1:6" x14ac:dyDescent="0.25">
      <c r="A510" s="90" t="s">
        <v>1995</v>
      </c>
      <c r="B510" s="91" t="s">
        <v>2138</v>
      </c>
      <c r="C510" s="106">
        <v>81.866051123046802</v>
      </c>
      <c r="D510" s="78"/>
      <c r="E510" s="78"/>
      <c r="F510" s="78"/>
    </row>
    <row r="511" spans="1:6" x14ac:dyDescent="0.25">
      <c r="A511" s="90" t="s">
        <v>1996</v>
      </c>
      <c r="B511" s="91" t="s">
        <v>2138</v>
      </c>
      <c r="C511" s="106">
        <v>79.169037109374997</v>
      </c>
      <c r="D511" s="78"/>
      <c r="E511" s="78"/>
      <c r="F511" s="78"/>
    </row>
    <row r="512" spans="1:6" x14ac:dyDescent="0.25">
      <c r="A512" s="90" t="s">
        <v>1997</v>
      </c>
      <c r="B512" s="91" t="s">
        <v>2138</v>
      </c>
      <c r="C512" s="106">
        <v>76.548141080729096</v>
      </c>
      <c r="D512" s="78"/>
      <c r="E512" s="78"/>
      <c r="F512" s="78"/>
    </row>
    <row r="513" spans="1:6" x14ac:dyDescent="0.25">
      <c r="A513" s="90" t="s">
        <v>1998</v>
      </c>
      <c r="B513" s="91" t="s">
        <v>2138</v>
      </c>
      <c r="C513" s="106">
        <v>73.902506584821396</v>
      </c>
      <c r="D513" s="78"/>
      <c r="E513" s="78"/>
      <c r="F513" s="78"/>
    </row>
    <row r="514" spans="1:6" x14ac:dyDescent="0.25">
      <c r="A514" s="90" t="s">
        <v>1999</v>
      </c>
      <c r="B514" s="91" t="s">
        <v>2138</v>
      </c>
      <c r="C514" s="106">
        <v>71.251248942057202</v>
      </c>
      <c r="D514" s="78"/>
      <c r="E514" s="78"/>
      <c r="F514" s="78"/>
    </row>
    <row r="515" spans="1:6" x14ac:dyDescent="0.25">
      <c r="A515" s="90" t="s">
        <v>2000</v>
      </c>
      <c r="B515" s="91" t="s">
        <v>2138</v>
      </c>
      <c r="C515" s="106">
        <v>68.582765039062494</v>
      </c>
      <c r="D515" s="78"/>
      <c r="E515" s="78"/>
      <c r="F515" s="78"/>
    </row>
    <row r="516" spans="1:6" x14ac:dyDescent="0.25">
      <c r="A516" s="90" t="s">
        <v>2001</v>
      </c>
      <c r="B516" s="91" t="s">
        <v>2138</v>
      </c>
      <c r="C516" s="106">
        <v>68.582765039062494</v>
      </c>
      <c r="D516" s="78"/>
      <c r="E516" s="78"/>
      <c r="F516" s="78"/>
    </row>
    <row r="517" spans="1:6" x14ac:dyDescent="0.25">
      <c r="A517" s="90" t="s">
        <v>2002</v>
      </c>
      <c r="B517" s="91" t="s">
        <v>2138</v>
      </c>
      <c r="C517" s="106">
        <v>105.80752217599999</v>
      </c>
      <c r="D517" s="78"/>
      <c r="E517" s="78"/>
      <c r="F517" s="78"/>
    </row>
    <row r="518" spans="1:6" x14ac:dyDescent="0.25">
      <c r="A518" s="90" t="s">
        <v>2003</v>
      </c>
      <c r="B518" s="91" t="s">
        <v>2138</v>
      </c>
      <c r="C518" s="106">
        <v>106.530171884</v>
      </c>
      <c r="D518" s="78"/>
      <c r="E518" s="78"/>
      <c r="F518" s="78"/>
    </row>
    <row r="519" spans="1:6" x14ac:dyDescent="0.25">
      <c r="A519" s="90" t="s">
        <v>2004</v>
      </c>
      <c r="B519" s="91" t="s">
        <v>2138</v>
      </c>
      <c r="C519" s="106">
        <v>107.236114528</v>
      </c>
      <c r="D519" s="78"/>
      <c r="E519" s="78"/>
      <c r="F519" s="78"/>
    </row>
    <row r="520" spans="1:6" x14ac:dyDescent="0.25">
      <c r="A520" s="90" t="s">
        <v>2005</v>
      </c>
      <c r="B520" s="91" t="s">
        <v>2138</v>
      </c>
      <c r="C520" s="106">
        <v>107.9255345</v>
      </c>
      <c r="D520" s="78"/>
      <c r="E520" s="78"/>
      <c r="F520" s="78"/>
    </row>
    <row r="521" spans="1:6" x14ac:dyDescent="0.25">
      <c r="A521" s="90" t="s">
        <v>2006</v>
      </c>
      <c r="B521" s="91" t="s">
        <v>2138</v>
      </c>
      <c r="C521" s="106">
        <v>108.59861619199999</v>
      </c>
      <c r="D521" s="78"/>
      <c r="E521" s="78"/>
      <c r="F521" s="78"/>
    </row>
    <row r="522" spans="1:6" x14ac:dyDescent="0.25">
      <c r="A522" s="90" t="s">
        <v>2007</v>
      </c>
      <c r="B522" s="91" t="s">
        <v>2138</v>
      </c>
      <c r="C522" s="106">
        <v>109.255543996</v>
      </c>
      <c r="D522" s="78"/>
      <c r="E522" s="78"/>
      <c r="F522" s="78"/>
    </row>
    <row r="523" spans="1:6" x14ac:dyDescent="0.25">
      <c r="A523" s="90" t="s">
        <v>2008</v>
      </c>
      <c r="B523" s="91" t="s">
        <v>2138</v>
      </c>
      <c r="C523" s="106">
        <v>109.89650230399999</v>
      </c>
      <c r="D523" s="78"/>
      <c r="E523" s="78"/>
      <c r="F523" s="78"/>
    </row>
    <row r="524" spans="1:6" x14ac:dyDescent="0.25">
      <c r="A524" s="90" t="s">
        <v>2009</v>
      </c>
      <c r="B524" s="91" t="s">
        <v>2138</v>
      </c>
      <c r="C524" s="106">
        <v>110.52167550799999</v>
      </c>
      <c r="D524" s="78"/>
      <c r="E524" s="78"/>
      <c r="F524" s="78"/>
    </row>
    <row r="525" spans="1:6" x14ac:dyDescent="0.25">
      <c r="A525" s="90" t="s">
        <v>2010</v>
      </c>
      <c r="B525" s="91" t="s">
        <v>2138</v>
      </c>
      <c r="C525" s="106">
        <v>111.131248</v>
      </c>
      <c r="D525" s="78"/>
      <c r="E525" s="78"/>
      <c r="F525" s="78"/>
    </row>
    <row r="526" spans="1:6" x14ac:dyDescent="0.25">
      <c r="A526" s="90" t="s">
        <v>2011</v>
      </c>
      <c r="B526" s="91" t="s">
        <v>2138</v>
      </c>
      <c r="C526" s="106">
        <v>111.725404172</v>
      </c>
      <c r="D526" s="78"/>
      <c r="E526" s="78"/>
      <c r="F526" s="78"/>
    </row>
    <row r="527" spans="1:6" x14ac:dyDescent="0.25">
      <c r="A527" s="90" t="s">
        <v>2012</v>
      </c>
      <c r="B527" s="91" t="s">
        <v>2138</v>
      </c>
      <c r="C527" s="106">
        <v>112.304328416</v>
      </c>
      <c r="D527" s="78"/>
      <c r="E527" s="78"/>
      <c r="F527" s="78"/>
    </row>
    <row r="528" spans="1:6" x14ac:dyDescent="0.25">
      <c r="A528" s="90" t="s">
        <v>2013</v>
      </c>
      <c r="B528" s="91" t="s">
        <v>2138</v>
      </c>
      <c r="C528" s="106">
        <v>112.86820512399999</v>
      </c>
      <c r="D528" s="78"/>
      <c r="E528" s="78"/>
      <c r="F528" s="78"/>
    </row>
    <row r="529" spans="1:6" x14ac:dyDescent="0.25">
      <c r="A529" s="90" t="s">
        <v>2014</v>
      </c>
      <c r="B529" s="91" t="s">
        <v>2138</v>
      </c>
      <c r="C529" s="106">
        <v>113.41721868799999</v>
      </c>
      <c r="D529" s="78"/>
      <c r="E529" s="78"/>
      <c r="F529" s="78"/>
    </row>
    <row r="530" spans="1:6" x14ac:dyDescent="0.25">
      <c r="A530" s="90" t="s">
        <v>2015</v>
      </c>
      <c r="B530" s="91" t="s">
        <v>2138</v>
      </c>
      <c r="C530" s="106">
        <v>113.95155349999999</v>
      </c>
      <c r="D530" s="78"/>
      <c r="E530" s="78"/>
      <c r="F530" s="78"/>
    </row>
    <row r="531" spans="1:6" x14ac:dyDescent="0.25">
      <c r="A531" s="90" t="s">
        <v>2016</v>
      </c>
      <c r="B531" s="91" t="s">
        <v>2138</v>
      </c>
      <c r="C531" s="106">
        <v>114.471393952</v>
      </c>
      <c r="D531" s="78"/>
      <c r="E531" s="78"/>
      <c r="F531" s="78"/>
    </row>
    <row r="532" spans="1:6" x14ac:dyDescent="0.25">
      <c r="A532" s="90" t="s">
        <v>2017</v>
      </c>
      <c r="B532" s="91" t="s">
        <v>2138</v>
      </c>
      <c r="C532" s="106">
        <v>114.97692443599999</v>
      </c>
      <c r="D532" s="78"/>
      <c r="E532" s="78"/>
      <c r="F532" s="78"/>
    </row>
    <row r="533" spans="1:6" x14ac:dyDescent="0.25">
      <c r="A533" s="90" t="s">
        <v>2018</v>
      </c>
      <c r="B533" s="91" t="s">
        <v>2138</v>
      </c>
      <c r="C533" s="106">
        <v>115.468329344</v>
      </c>
      <c r="D533" s="78"/>
      <c r="E533" s="78"/>
      <c r="F533" s="78"/>
    </row>
    <row r="534" spans="1:6" x14ac:dyDescent="0.25">
      <c r="A534" s="90" t="s">
        <v>2019</v>
      </c>
      <c r="B534" s="91" t="s">
        <v>2138</v>
      </c>
      <c r="C534" s="106">
        <v>115.94579306799999</v>
      </c>
      <c r="D534" s="78"/>
      <c r="E534" s="78"/>
      <c r="F534" s="78"/>
    </row>
    <row r="535" spans="1:6" x14ac:dyDescent="0.25">
      <c r="A535" s="90" t="s">
        <v>2020</v>
      </c>
      <c r="B535" s="91" t="s">
        <v>2138</v>
      </c>
      <c r="C535" s="106">
        <v>116.40949999999998</v>
      </c>
      <c r="D535" s="78"/>
      <c r="E535" s="78"/>
      <c r="F535" s="78"/>
    </row>
    <row r="536" spans="1:6" x14ac:dyDescent="0.25">
      <c r="A536" s="90" t="s">
        <v>2021</v>
      </c>
      <c r="B536" s="91" t="s">
        <v>2138</v>
      </c>
      <c r="C536" s="106">
        <v>116.859634532</v>
      </c>
      <c r="D536" s="78"/>
      <c r="E536" s="78"/>
      <c r="F536" s="78"/>
    </row>
    <row r="537" spans="1:6" x14ac:dyDescent="0.25">
      <c r="A537" s="90" t="s">
        <v>2022</v>
      </c>
      <c r="B537" s="91" t="s">
        <v>2138</v>
      </c>
      <c r="C537" s="106">
        <v>117.296381056</v>
      </c>
      <c r="D537" s="78"/>
      <c r="E537" s="78"/>
      <c r="F537" s="78"/>
    </row>
    <row r="538" spans="1:6" x14ac:dyDescent="0.25">
      <c r="A538" s="90" t="s">
        <v>2023</v>
      </c>
      <c r="B538" s="91" t="s">
        <v>2138</v>
      </c>
      <c r="C538" s="106">
        <v>117.71992396399999</v>
      </c>
      <c r="D538" s="78"/>
      <c r="E538" s="78"/>
      <c r="F538" s="78"/>
    </row>
    <row r="539" spans="1:6" x14ac:dyDescent="0.25">
      <c r="A539" s="90" t="s">
        <v>2024</v>
      </c>
      <c r="B539" s="91" t="s">
        <v>2138</v>
      </c>
      <c r="C539" s="106">
        <v>118.13044764799999</v>
      </c>
      <c r="D539" s="78"/>
      <c r="E539" s="78"/>
      <c r="F539" s="78"/>
    </row>
    <row r="540" spans="1:6" x14ac:dyDescent="0.25">
      <c r="A540" s="90" t="s">
        <v>2025</v>
      </c>
      <c r="B540" s="91" t="s">
        <v>2138</v>
      </c>
      <c r="C540" s="106">
        <v>118.52813649999999</v>
      </c>
      <c r="D540" s="78"/>
      <c r="E540" s="78"/>
      <c r="F540" s="78"/>
    </row>
    <row r="541" spans="1:6" x14ac:dyDescent="0.25">
      <c r="A541" s="90" t="s">
        <v>2026</v>
      </c>
      <c r="B541" s="91" t="s">
        <v>2138</v>
      </c>
      <c r="C541" s="106">
        <v>118.91317491199999</v>
      </c>
      <c r="D541" s="78"/>
      <c r="E541" s="78"/>
      <c r="F541" s="78"/>
    </row>
    <row r="542" spans="1:6" x14ac:dyDescent="0.25">
      <c r="A542" s="90" t="s">
        <v>2027</v>
      </c>
      <c r="B542" s="91" t="s">
        <v>2138</v>
      </c>
      <c r="C542" s="106">
        <v>119.285747276</v>
      </c>
      <c r="D542" s="78"/>
      <c r="E542" s="78"/>
      <c r="F542" s="78"/>
    </row>
    <row r="543" spans="1:6" x14ac:dyDescent="0.25">
      <c r="A543" s="90" t="s">
        <v>2028</v>
      </c>
      <c r="B543" s="91" t="s">
        <v>2138</v>
      </c>
      <c r="C543" s="106">
        <v>119.646037984</v>
      </c>
      <c r="D543" s="78"/>
      <c r="E543" s="78"/>
      <c r="F543" s="78"/>
    </row>
    <row r="544" spans="1:6" x14ac:dyDescent="0.25">
      <c r="A544" s="90" t="s">
        <v>2029</v>
      </c>
      <c r="B544" s="91" t="s">
        <v>2138</v>
      </c>
      <c r="C544" s="106">
        <v>119.99423142799999</v>
      </c>
      <c r="D544" s="78"/>
      <c r="E544" s="78"/>
      <c r="F544" s="78"/>
    </row>
    <row r="545" spans="1:6" x14ac:dyDescent="0.25">
      <c r="A545" s="90" t="s">
        <v>2030</v>
      </c>
      <c r="B545" s="91" t="s">
        <v>2138</v>
      </c>
      <c r="C545" s="106">
        <v>120.330512</v>
      </c>
      <c r="D545" s="78"/>
      <c r="E545" s="78"/>
      <c r="F545" s="78"/>
    </row>
    <row r="546" spans="1:6" x14ac:dyDescent="0.25">
      <c r="A546" s="90" t="s">
        <v>2031</v>
      </c>
      <c r="B546" s="91" t="s">
        <v>2138</v>
      </c>
      <c r="C546" s="106">
        <v>120.65506409199999</v>
      </c>
      <c r="D546" s="78"/>
      <c r="E546" s="78"/>
      <c r="F546" s="78"/>
    </row>
    <row r="547" spans="1:6" x14ac:dyDescent="0.25">
      <c r="A547" s="90" t="s">
        <v>2032</v>
      </c>
      <c r="B547" s="91" t="s">
        <v>2138</v>
      </c>
      <c r="C547" s="106">
        <v>120.96807209599999</v>
      </c>
      <c r="D547" s="78"/>
      <c r="E547" s="78"/>
      <c r="F547" s="78"/>
    </row>
    <row r="548" spans="1:6" x14ac:dyDescent="0.25">
      <c r="A548" s="90" t="s">
        <v>2033</v>
      </c>
      <c r="B548" s="91" t="s">
        <v>2138</v>
      </c>
      <c r="C548" s="106">
        <v>121.269720404</v>
      </c>
      <c r="D548" s="78"/>
      <c r="E548" s="78"/>
      <c r="F548" s="78"/>
    </row>
    <row r="549" spans="1:6" x14ac:dyDescent="0.25">
      <c r="A549" s="90" t="s">
        <v>2034</v>
      </c>
      <c r="B549" s="91" t="s">
        <v>2138</v>
      </c>
      <c r="C549" s="106">
        <v>121.560193408</v>
      </c>
      <c r="D549" s="78"/>
      <c r="E549" s="78"/>
      <c r="F549" s="78"/>
    </row>
    <row r="550" spans="1:6" x14ac:dyDescent="0.25">
      <c r="A550" s="90" t="s">
        <v>2035</v>
      </c>
      <c r="B550" s="91" t="s">
        <v>2138</v>
      </c>
      <c r="C550" s="106">
        <v>121.8396755</v>
      </c>
      <c r="D550" s="78"/>
      <c r="E550" s="78"/>
      <c r="F550" s="78"/>
    </row>
    <row r="551" spans="1:6" x14ac:dyDescent="0.25">
      <c r="A551" s="90" t="s">
        <v>2036</v>
      </c>
      <c r="B551" s="91" t="s">
        <v>2138</v>
      </c>
      <c r="C551" s="106">
        <v>122.10835107199999</v>
      </c>
      <c r="D551" s="78"/>
      <c r="E551" s="78"/>
      <c r="F551" s="78"/>
    </row>
    <row r="552" spans="1:6" x14ac:dyDescent="0.25">
      <c r="A552" s="90" t="s">
        <v>2037</v>
      </c>
      <c r="B552" s="91" t="s">
        <v>2138</v>
      </c>
      <c r="C552" s="106">
        <v>122.36640451599999</v>
      </c>
      <c r="D552" s="78"/>
      <c r="E552" s="78"/>
      <c r="F552" s="78"/>
    </row>
    <row r="553" spans="1:6" x14ac:dyDescent="0.25">
      <c r="A553" s="90" t="s">
        <v>2038</v>
      </c>
      <c r="B553" s="91" t="s">
        <v>2138</v>
      </c>
      <c r="C553" s="106">
        <v>122.614020224</v>
      </c>
      <c r="D553" s="78"/>
      <c r="E553" s="78"/>
      <c r="F553" s="78"/>
    </row>
    <row r="554" spans="1:6" x14ac:dyDescent="0.25">
      <c r="A554" s="90" t="s">
        <v>2039</v>
      </c>
      <c r="B554" s="91" t="s">
        <v>2138</v>
      </c>
      <c r="C554" s="106">
        <v>122.85138258800001</v>
      </c>
      <c r="D554" s="78"/>
      <c r="E554" s="78"/>
      <c r="F554" s="78"/>
    </row>
    <row r="555" spans="1:6" x14ac:dyDescent="0.25">
      <c r="A555" s="90" t="s">
        <v>2040</v>
      </c>
      <c r="B555" s="91" t="s">
        <v>2138</v>
      </c>
      <c r="C555" s="106">
        <v>123.078676</v>
      </c>
      <c r="D555" s="78"/>
      <c r="E555" s="78"/>
      <c r="F555" s="78"/>
    </row>
    <row r="556" spans="1:6" x14ac:dyDescent="0.25">
      <c r="A556" s="90" t="s">
        <v>2041</v>
      </c>
      <c r="B556" s="91" t="s">
        <v>2138</v>
      </c>
      <c r="C556" s="106">
        <v>123.29608485199998</v>
      </c>
      <c r="D556" s="78"/>
      <c r="E556" s="78"/>
      <c r="F556" s="78"/>
    </row>
    <row r="557" spans="1:6" x14ac:dyDescent="0.25">
      <c r="A557" s="90" t="s">
        <v>2042</v>
      </c>
      <c r="B557" s="91" t="s">
        <v>2138</v>
      </c>
      <c r="C557" s="106">
        <v>123.50379353599999</v>
      </c>
      <c r="D557" s="78"/>
      <c r="E557" s="78"/>
      <c r="F557" s="78"/>
    </row>
    <row r="558" spans="1:6" x14ac:dyDescent="0.25">
      <c r="A558" s="90" t="s">
        <v>2043</v>
      </c>
      <c r="B558" s="91" t="s">
        <v>2138</v>
      </c>
      <c r="C558" s="106">
        <v>123.701986444</v>
      </c>
      <c r="D558" s="78"/>
      <c r="E558" s="78"/>
      <c r="F558" s="78"/>
    </row>
    <row r="559" spans="1:6" x14ac:dyDescent="0.25">
      <c r="A559" s="90" t="s">
        <v>2044</v>
      </c>
      <c r="B559" s="91" t="s">
        <v>2138</v>
      </c>
      <c r="C559" s="106">
        <v>123.890847968</v>
      </c>
      <c r="D559" s="78"/>
      <c r="E559" s="78"/>
      <c r="F559" s="78"/>
    </row>
    <row r="560" spans="1:6" x14ac:dyDescent="0.25">
      <c r="A560" s="90" t="s">
        <v>2045</v>
      </c>
      <c r="B560" s="91" t="s">
        <v>2138</v>
      </c>
      <c r="C560" s="106">
        <v>124.07056250000001</v>
      </c>
      <c r="D560" s="78"/>
      <c r="E560" s="78"/>
      <c r="F560" s="78"/>
    </row>
    <row r="561" spans="1:6" x14ac:dyDescent="0.25">
      <c r="A561" s="90" t="s">
        <v>2046</v>
      </c>
      <c r="B561" s="91" t="s">
        <v>2138</v>
      </c>
      <c r="C561" s="106">
        <v>124.241314432</v>
      </c>
      <c r="D561" s="78"/>
      <c r="E561" s="78"/>
      <c r="F561" s="78"/>
    </row>
    <row r="562" spans="1:6" x14ac:dyDescent="0.25">
      <c r="A562" s="90" t="s">
        <v>2047</v>
      </c>
      <c r="B562" s="91" t="s">
        <v>2138</v>
      </c>
      <c r="C562" s="106">
        <v>124.403288156</v>
      </c>
      <c r="D562" s="78"/>
      <c r="E562" s="78"/>
      <c r="F562" s="78"/>
    </row>
    <row r="563" spans="1:6" x14ac:dyDescent="0.25">
      <c r="A563" s="90" t="s">
        <v>2048</v>
      </c>
      <c r="B563" s="91" t="s">
        <v>2138</v>
      </c>
      <c r="C563" s="106">
        <v>124.55666806399999</v>
      </c>
      <c r="D563" s="78"/>
      <c r="E563" s="78"/>
      <c r="F563" s="78"/>
    </row>
    <row r="564" spans="1:6" x14ac:dyDescent="0.25">
      <c r="A564" s="90" t="s">
        <v>2049</v>
      </c>
      <c r="B564" s="91" t="s">
        <v>2138</v>
      </c>
      <c r="C564" s="106">
        <v>124.70163854800001</v>
      </c>
      <c r="D564" s="78"/>
      <c r="E564" s="78"/>
      <c r="F564" s="78"/>
    </row>
    <row r="565" spans="1:6" x14ac:dyDescent="0.25">
      <c r="A565" s="90" t="s">
        <v>2050</v>
      </c>
      <c r="B565" s="91" t="s">
        <v>2138</v>
      </c>
      <c r="C565" s="106">
        <v>124.838384</v>
      </c>
      <c r="D565" s="78"/>
      <c r="E565" s="78"/>
      <c r="F565" s="78"/>
    </row>
    <row r="566" spans="1:6" x14ac:dyDescent="0.25">
      <c r="A566" s="90" t="s">
        <v>2051</v>
      </c>
      <c r="B566" s="91" t="s">
        <v>2138</v>
      </c>
      <c r="C566" s="106">
        <v>124.967088812</v>
      </c>
      <c r="D566" s="78"/>
      <c r="E566" s="78"/>
      <c r="F566" s="78"/>
    </row>
    <row r="567" spans="1:6" x14ac:dyDescent="0.25">
      <c r="A567" s="90" t="s">
        <v>2052</v>
      </c>
      <c r="B567" s="91" t="s">
        <v>2138</v>
      </c>
      <c r="C567" s="106">
        <v>125.087937376</v>
      </c>
      <c r="D567" s="78"/>
      <c r="E567" s="78"/>
      <c r="F567" s="78"/>
    </row>
    <row r="568" spans="1:6" x14ac:dyDescent="0.25">
      <c r="A568" s="90" t="s">
        <v>2053</v>
      </c>
      <c r="B568" s="91" t="s">
        <v>2138</v>
      </c>
      <c r="C568" s="106">
        <v>125.201114084</v>
      </c>
      <c r="D568" s="78"/>
      <c r="E568" s="78"/>
      <c r="F568" s="78"/>
    </row>
    <row r="569" spans="1:6" x14ac:dyDescent="0.25">
      <c r="A569" s="90" t="s">
        <v>2054</v>
      </c>
      <c r="B569" s="91" t="s">
        <v>2138</v>
      </c>
      <c r="C569" s="106">
        <v>125.306803328</v>
      </c>
      <c r="D569" s="78"/>
      <c r="E569" s="78"/>
      <c r="F569" s="78"/>
    </row>
    <row r="570" spans="1:6" x14ac:dyDescent="0.25">
      <c r="A570" s="90" t="s">
        <v>2055</v>
      </c>
      <c r="B570" s="91" t="s">
        <v>2138</v>
      </c>
      <c r="C570" s="106">
        <v>125.40518950000001</v>
      </c>
      <c r="D570" s="78"/>
      <c r="E570" s="78"/>
      <c r="F570" s="78"/>
    </row>
    <row r="571" spans="1:6" x14ac:dyDescent="0.25">
      <c r="A571" s="90" t="s">
        <v>2056</v>
      </c>
      <c r="B571" s="91" t="s">
        <v>2138</v>
      </c>
      <c r="C571" s="106">
        <v>125.49645699199999</v>
      </c>
      <c r="D571" s="78"/>
      <c r="E571" s="78"/>
      <c r="F571" s="78"/>
    </row>
    <row r="572" spans="1:6" x14ac:dyDescent="0.25">
      <c r="A572" s="90" t="s">
        <v>2057</v>
      </c>
      <c r="B572" s="91" t="s">
        <v>2138</v>
      </c>
      <c r="C572" s="106">
        <v>125.580790196</v>
      </c>
      <c r="D572" s="78"/>
      <c r="E572" s="78"/>
      <c r="F572" s="78"/>
    </row>
    <row r="573" spans="1:6" x14ac:dyDescent="0.25">
      <c r="A573" s="90" t="s">
        <v>2058</v>
      </c>
      <c r="B573" s="91" t="s">
        <v>2138</v>
      </c>
      <c r="C573" s="106">
        <v>125.65837350400001</v>
      </c>
      <c r="D573" s="78"/>
      <c r="E573" s="78"/>
      <c r="F573" s="78"/>
    </row>
    <row r="574" spans="1:6" x14ac:dyDescent="0.25">
      <c r="A574" s="90" t="s">
        <v>2059</v>
      </c>
      <c r="B574" s="91" t="s">
        <v>2138</v>
      </c>
      <c r="C574" s="106">
        <v>125.729391308</v>
      </c>
      <c r="D574" s="78"/>
      <c r="E574" s="78"/>
      <c r="F574" s="78"/>
    </row>
    <row r="575" spans="1:6" x14ac:dyDescent="0.25">
      <c r="A575" s="90" t="s">
        <v>2060</v>
      </c>
      <c r="B575" s="91" t="s">
        <v>2138</v>
      </c>
      <c r="C575" s="106">
        <v>125.794028</v>
      </c>
      <c r="D575" s="78"/>
      <c r="E575" s="78"/>
      <c r="F575" s="78"/>
    </row>
    <row r="576" spans="1:6" x14ac:dyDescent="0.25">
      <c r="A576" s="90" t="s">
        <v>2061</v>
      </c>
      <c r="B576" s="91" t="s">
        <v>2138</v>
      </c>
      <c r="C576" s="106">
        <v>125.85246797199999</v>
      </c>
      <c r="D576" s="78"/>
      <c r="E576" s="78"/>
      <c r="F576" s="78"/>
    </row>
    <row r="577" spans="1:6" x14ac:dyDescent="0.25">
      <c r="A577" s="90" t="s">
        <v>2062</v>
      </c>
      <c r="B577" s="91" t="s">
        <v>2138</v>
      </c>
      <c r="C577" s="106">
        <v>125.90489561599999</v>
      </c>
      <c r="D577" s="78"/>
      <c r="E577" s="78"/>
      <c r="F577" s="78"/>
    </row>
    <row r="578" spans="1:6" x14ac:dyDescent="0.25">
      <c r="A578" s="90" t="s">
        <v>2063</v>
      </c>
      <c r="B578" s="91" t="s">
        <v>2138</v>
      </c>
      <c r="C578" s="106">
        <v>125.95149532399998</v>
      </c>
      <c r="D578" s="78"/>
      <c r="E578" s="78"/>
      <c r="F578" s="78"/>
    </row>
    <row r="579" spans="1:6" x14ac:dyDescent="0.25">
      <c r="A579" s="90" t="s">
        <v>2064</v>
      </c>
      <c r="B579" s="91" t="s">
        <v>2138</v>
      </c>
      <c r="C579" s="106">
        <v>125.99245148799999</v>
      </c>
      <c r="D579" s="78"/>
      <c r="E579" s="78"/>
      <c r="F579" s="78"/>
    </row>
    <row r="580" spans="1:6" x14ac:dyDescent="0.25">
      <c r="A580" s="90" t="s">
        <v>2065</v>
      </c>
      <c r="B580" s="91" t="s">
        <v>2138</v>
      </c>
      <c r="C580" s="106">
        <v>126.02794850000001</v>
      </c>
      <c r="D580" s="78"/>
      <c r="E580" s="78"/>
      <c r="F580" s="78"/>
    </row>
    <row r="581" spans="1:6" x14ac:dyDescent="0.25">
      <c r="A581" s="90" t="s">
        <v>2066</v>
      </c>
      <c r="B581" s="91" t="s">
        <v>2138</v>
      </c>
      <c r="C581" s="106">
        <v>126.05817075199998</v>
      </c>
      <c r="D581" s="78"/>
      <c r="E581" s="78"/>
      <c r="F581" s="78"/>
    </row>
    <row r="582" spans="1:6" x14ac:dyDescent="0.25">
      <c r="A582" s="90" t="s">
        <v>2067</v>
      </c>
      <c r="B582" s="91" t="s">
        <v>2138</v>
      </c>
      <c r="C582" s="106">
        <v>126.083302636</v>
      </c>
      <c r="D582" s="78"/>
      <c r="E582" s="78"/>
      <c r="F582" s="78"/>
    </row>
    <row r="583" spans="1:6" x14ac:dyDescent="0.25">
      <c r="A583" s="90" t="s">
        <v>2068</v>
      </c>
      <c r="B583" s="91" t="s">
        <v>2138</v>
      </c>
      <c r="C583" s="106">
        <v>126.10352854399997</v>
      </c>
      <c r="D583" s="78"/>
      <c r="E583" s="78"/>
      <c r="F583" s="78"/>
    </row>
    <row r="584" spans="1:6" x14ac:dyDescent="0.25">
      <c r="A584" s="90" t="s">
        <v>2069</v>
      </c>
      <c r="B584" s="91" t="s">
        <v>2138</v>
      </c>
      <c r="C584" s="106">
        <v>126.11903286799999</v>
      </c>
      <c r="D584" s="78"/>
      <c r="E584" s="78"/>
      <c r="F584" s="78"/>
    </row>
    <row r="585" spans="1:6" x14ac:dyDescent="0.25">
      <c r="A585" s="90" t="s">
        <v>2070</v>
      </c>
      <c r="B585" s="91" t="s">
        <v>2138</v>
      </c>
      <c r="C585" s="106">
        <v>126.12999999999998</v>
      </c>
      <c r="D585" s="78"/>
      <c r="E585" s="78"/>
      <c r="F585" s="78"/>
    </row>
    <row r="586" spans="1:6" x14ac:dyDescent="0.25">
      <c r="A586" s="90" t="s">
        <v>2071</v>
      </c>
      <c r="B586" s="91" t="s">
        <v>2138</v>
      </c>
      <c r="C586" s="106">
        <v>126.13661433199999</v>
      </c>
      <c r="D586" s="78"/>
      <c r="E586" s="78"/>
      <c r="F586" s="78"/>
    </row>
    <row r="587" spans="1:6" x14ac:dyDescent="0.25">
      <c r="A587" s="90" t="s">
        <v>2072</v>
      </c>
      <c r="B587" s="91" t="s">
        <v>2138</v>
      </c>
      <c r="C587" s="106">
        <v>126.13906025600001</v>
      </c>
      <c r="D587" s="78"/>
      <c r="E587" s="78"/>
      <c r="F587" s="78"/>
    </row>
    <row r="588" spans="1:6" x14ac:dyDescent="0.25">
      <c r="A588" s="90" t="s">
        <v>2073</v>
      </c>
      <c r="B588" s="91" t="s">
        <v>2138</v>
      </c>
      <c r="C588" s="106">
        <v>126.13752216399998</v>
      </c>
      <c r="D588" s="78"/>
      <c r="E588" s="78"/>
      <c r="F588" s="78"/>
    </row>
    <row r="589" spans="1:6" x14ac:dyDescent="0.25">
      <c r="A589" s="90" t="s">
        <v>2074</v>
      </c>
      <c r="B589" s="91" t="s">
        <v>2138</v>
      </c>
      <c r="C589" s="106">
        <v>126.13218444799999</v>
      </c>
      <c r="D589" s="78"/>
      <c r="E589" s="78"/>
      <c r="F589" s="78"/>
    </row>
    <row r="590" spans="1:6" x14ac:dyDescent="0.25">
      <c r="A590" s="90" t="s">
        <v>2075</v>
      </c>
      <c r="B590" s="91" t="s">
        <v>2138</v>
      </c>
      <c r="C590" s="106">
        <v>126.12323150000002</v>
      </c>
      <c r="D590" s="78"/>
      <c r="E590" s="78"/>
      <c r="F590" s="78"/>
    </row>
    <row r="591" spans="1:6" x14ac:dyDescent="0.25">
      <c r="A591" s="90" t="s">
        <v>2076</v>
      </c>
      <c r="B591" s="91" t="s">
        <v>2138</v>
      </c>
      <c r="C591" s="106">
        <v>126.11084771199998</v>
      </c>
      <c r="D591" s="78"/>
      <c r="E591" s="78"/>
      <c r="F591" s="78"/>
    </row>
    <row r="592" spans="1:6" x14ac:dyDescent="0.25">
      <c r="A592" s="90" t="s">
        <v>2077</v>
      </c>
      <c r="B592" s="91" t="s">
        <v>2138</v>
      </c>
      <c r="C592" s="106">
        <v>126.095217476</v>
      </c>
      <c r="D592" s="78"/>
      <c r="E592" s="78"/>
      <c r="F592" s="78"/>
    </row>
    <row r="593" spans="1:6" x14ac:dyDescent="0.25">
      <c r="A593" s="90" t="s">
        <v>2078</v>
      </c>
      <c r="B593" s="91" t="s">
        <v>2138</v>
      </c>
      <c r="C593" s="106">
        <v>126.07652518399998</v>
      </c>
      <c r="D593" s="78"/>
      <c r="E593" s="78"/>
      <c r="F593" s="78"/>
    </row>
    <row r="594" spans="1:6" x14ac:dyDescent="0.25">
      <c r="A594" s="90" t="s">
        <v>2079</v>
      </c>
      <c r="B594" s="91" t="s">
        <v>2138</v>
      </c>
      <c r="C594" s="106">
        <v>126.05495522800001</v>
      </c>
      <c r="D594" s="78"/>
      <c r="E594" s="78"/>
      <c r="F594" s="78"/>
    </row>
    <row r="595" spans="1:6" x14ac:dyDescent="0.25">
      <c r="A595" s="90" t="s">
        <v>2080</v>
      </c>
      <c r="B595" s="91" t="s">
        <v>2138</v>
      </c>
      <c r="C595" s="106">
        <v>126.030692</v>
      </c>
      <c r="D595" s="78"/>
      <c r="E595" s="78"/>
      <c r="F595" s="78"/>
    </row>
    <row r="596" spans="1:6" x14ac:dyDescent="0.25">
      <c r="A596" s="90" t="s">
        <v>2081</v>
      </c>
      <c r="B596" s="91" t="s">
        <v>2138</v>
      </c>
      <c r="C596" s="106">
        <v>126.00391989199998</v>
      </c>
      <c r="D596" s="78"/>
      <c r="E596" s="78"/>
      <c r="F596" s="78"/>
    </row>
    <row r="597" spans="1:6" x14ac:dyDescent="0.25">
      <c r="A597" s="90" t="s">
        <v>2082</v>
      </c>
      <c r="B597" s="91" t="s">
        <v>2138</v>
      </c>
      <c r="C597" s="106">
        <v>125.974823296</v>
      </c>
      <c r="D597" s="78"/>
      <c r="E597" s="78"/>
      <c r="F597" s="78"/>
    </row>
    <row r="598" spans="1:6" x14ac:dyDescent="0.25">
      <c r="A598" s="90" t="s">
        <v>2083</v>
      </c>
      <c r="B598" s="91" t="s">
        <v>2138</v>
      </c>
      <c r="C598" s="106">
        <v>125.943586604</v>
      </c>
      <c r="D598" s="78"/>
      <c r="E598" s="78"/>
      <c r="F598" s="78"/>
    </row>
    <row r="599" spans="1:6" x14ac:dyDescent="0.25">
      <c r="A599" s="90" t="s">
        <v>2084</v>
      </c>
      <c r="B599" s="91" t="s">
        <v>2138</v>
      </c>
      <c r="C599" s="106">
        <v>125.91039420800001</v>
      </c>
      <c r="D599" s="78"/>
      <c r="E599" s="78"/>
      <c r="F599" s="78"/>
    </row>
    <row r="600" spans="1:6" x14ac:dyDescent="0.25">
      <c r="A600" s="90" t="s">
        <v>2085</v>
      </c>
      <c r="B600" s="91" t="s">
        <v>2138</v>
      </c>
      <c r="C600" s="106">
        <v>125.87543049999998</v>
      </c>
      <c r="D600" s="78"/>
      <c r="E600" s="78"/>
      <c r="F600" s="78"/>
    </row>
    <row r="601" spans="1:6" x14ac:dyDescent="0.25">
      <c r="A601" s="90" t="s">
        <v>2086</v>
      </c>
      <c r="B601" s="91" t="s">
        <v>2138</v>
      </c>
      <c r="C601" s="106">
        <v>125.83887987199999</v>
      </c>
      <c r="D601" s="78"/>
      <c r="E601" s="78"/>
      <c r="F601" s="78"/>
    </row>
    <row r="602" spans="1:6" x14ac:dyDescent="0.25">
      <c r="A602" s="90" t="s">
        <v>2087</v>
      </c>
      <c r="B602" s="91" t="s">
        <v>2138</v>
      </c>
      <c r="C602" s="106">
        <v>125.80092671599998</v>
      </c>
      <c r="D602" s="78"/>
      <c r="E602" s="78"/>
      <c r="F602" s="78"/>
    </row>
    <row r="603" spans="1:6" x14ac:dyDescent="0.25">
      <c r="A603" s="90" t="s">
        <v>2088</v>
      </c>
      <c r="B603" s="91" t="s">
        <v>2138</v>
      </c>
      <c r="C603" s="106">
        <v>125.76175542399999</v>
      </c>
      <c r="D603" s="78"/>
      <c r="E603" s="78"/>
      <c r="F603" s="78"/>
    </row>
    <row r="604" spans="1:6" x14ac:dyDescent="0.25">
      <c r="A604" s="90" t="s">
        <v>2089</v>
      </c>
      <c r="B604" s="91" t="s">
        <v>2138</v>
      </c>
      <c r="C604" s="106">
        <v>125.72155038800001</v>
      </c>
      <c r="D604" s="78"/>
      <c r="E604" s="78"/>
      <c r="F604" s="78"/>
    </row>
    <row r="605" spans="1:6" x14ac:dyDescent="0.25">
      <c r="A605" s="90" t="s">
        <v>2090</v>
      </c>
      <c r="B605" s="91" t="s">
        <v>2138</v>
      </c>
      <c r="C605" s="106">
        <v>125.68049599999999</v>
      </c>
      <c r="D605" s="78"/>
      <c r="E605" s="78"/>
      <c r="F605" s="78"/>
    </row>
    <row r="606" spans="1:6" x14ac:dyDescent="0.25">
      <c r="A606" s="90" t="s">
        <v>2091</v>
      </c>
      <c r="B606" s="91" t="s">
        <v>2138</v>
      </c>
      <c r="C606" s="106">
        <v>125.63877665199998</v>
      </c>
      <c r="D606" s="78"/>
      <c r="E606" s="78"/>
      <c r="F606" s="78"/>
    </row>
    <row r="607" spans="1:6" x14ac:dyDescent="0.25">
      <c r="A607" s="90" t="s">
        <v>2092</v>
      </c>
      <c r="B607" s="91" t="s">
        <v>2138</v>
      </c>
      <c r="C607" s="106">
        <v>125.59657673599997</v>
      </c>
      <c r="D607" s="78"/>
      <c r="E607" s="78"/>
      <c r="F607" s="78"/>
    </row>
    <row r="608" spans="1:6" x14ac:dyDescent="0.25">
      <c r="A608" s="90" t="s">
        <v>2093</v>
      </c>
      <c r="B608" s="91" t="s">
        <v>2138</v>
      </c>
      <c r="C608" s="106">
        <v>125.55408064399998</v>
      </c>
      <c r="D608" s="78"/>
      <c r="E608" s="78"/>
      <c r="F608" s="78"/>
    </row>
    <row r="609" spans="1:6" x14ac:dyDescent="0.25">
      <c r="A609" s="90" t="s">
        <v>2094</v>
      </c>
      <c r="B609" s="91" t="s">
        <v>2138</v>
      </c>
      <c r="C609" s="106">
        <v>125.51147276799998</v>
      </c>
      <c r="D609" s="78"/>
      <c r="E609" s="78"/>
      <c r="F609" s="78"/>
    </row>
    <row r="610" spans="1:6" x14ac:dyDescent="0.25">
      <c r="A610" s="90" t="s">
        <v>2095</v>
      </c>
      <c r="B610" s="91" t="s">
        <v>2138</v>
      </c>
      <c r="C610" s="106">
        <v>125.4689375</v>
      </c>
      <c r="D610" s="78"/>
      <c r="E610" s="78"/>
      <c r="F610" s="78"/>
    </row>
    <row r="611" spans="1:6" x14ac:dyDescent="0.25">
      <c r="A611" s="90" t="s">
        <v>2096</v>
      </c>
      <c r="B611" s="91" t="s">
        <v>2138</v>
      </c>
      <c r="C611" s="106">
        <v>125.42665923200001</v>
      </c>
      <c r="D611" s="78"/>
      <c r="E611" s="78"/>
      <c r="F611" s="78"/>
    </row>
    <row r="612" spans="1:6" x14ac:dyDescent="0.25">
      <c r="A612" s="90" t="s">
        <v>2097</v>
      </c>
      <c r="B612" s="91" t="s">
        <v>2138</v>
      </c>
      <c r="C612" s="106">
        <v>125.38482235599999</v>
      </c>
      <c r="D612" s="78"/>
      <c r="E612" s="78"/>
      <c r="F612" s="78"/>
    </row>
    <row r="613" spans="1:6" x14ac:dyDescent="0.25">
      <c r="A613" s="90" t="s">
        <v>2098</v>
      </c>
      <c r="B613" s="91" t="s">
        <v>2138</v>
      </c>
      <c r="C613" s="106">
        <v>125.34361126400002</v>
      </c>
      <c r="D613" s="78"/>
      <c r="E613" s="78"/>
      <c r="F613" s="78"/>
    </row>
    <row r="614" spans="1:6" x14ac:dyDescent="0.25">
      <c r="A614" s="90" t="s">
        <v>2099</v>
      </c>
      <c r="B614" s="91" t="s">
        <v>2138</v>
      </c>
      <c r="C614" s="106">
        <v>125.30321034799998</v>
      </c>
      <c r="D614" s="78"/>
      <c r="E614" s="78"/>
      <c r="F614" s="78"/>
    </row>
    <row r="615" spans="1:6" x14ac:dyDescent="0.25">
      <c r="A615" s="90" t="s">
        <v>2100</v>
      </c>
      <c r="B615" s="91" t="s">
        <v>2138</v>
      </c>
      <c r="C615" s="106">
        <v>125.26380399999999</v>
      </c>
      <c r="D615" s="78"/>
      <c r="E615" s="78"/>
      <c r="F615" s="78"/>
    </row>
    <row r="616" spans="1:6" x14ac:dyDescent="0.25">
      <c r="A616" s="90" t="s">
        <v>2101</v>
      </c>
      <c r="B616" s="91" t="s">
        <v>2138</v>
      </c>
      <c r="C616" s="106">
        <v>125.22557661199997</v>
      </c>
      <c r="D616" s="78"/>
      <c r="E616" s="78"/>
      <c r="F616" s="78"/>
    </row>
    <row r="617" spans="1:6" x14ac:dyDescent="0.25">
      <c r="A617" s="90" t="s">
        <v>2102</v>
      </c>
      <c r="B617" s="91" t="s">
        <v>2138</v>
      </c>
      <c r="C617" s="106">
        <v>125.18871257599999</v>
      </c>
      <c r="D617" s="78"/>
      <c r="E617" s="78"/>
      <c r="F617" s="78"/>
    </row>
    <row r="618" spans="1:6" x14ac:dyDescent="0.25">
      <c r="A618" s="90" t="s">
        <v>2103</v>
      </c>
      <c r="B618" s="91" t="s">
        <v>2138</v>
      </c>
      <c r="C618" s="106">
        <v>125.15339628399998</v>
      </c>
      <c r="D618" s="78"/>
      <c r="E618" s="78"/>
      <c r="F618" s="78"/>
    </row>
    <row r="619" spans="1:6" x14ac:dyDescent="0.25">
      <c r="A619" s="90" t="s">
        <v>2104</v>
      </c>
      <c r="B619" s="91" t="s">
        <v>2138</v>
      </c>
      <c r="C619" s="106">
        <v>125.11981212799999</v>
      </c>
      <c r="D619" s="78"/>
      <c r="E619" s="78"/>
      <c r="F619" s="78"/>
    </row>
    <row r="620" spans="1:6" x14ac:dyDescent="0.25">
      <c r="A620" s="90" t="s">
        <v>2105</v>
      </c>
      <c r="B620" s="91" t="s">
        <v>2138</v>
      </c>
      <c r="C620" s="106">
        <v>125.08814450000001</v>
      </c>
      <c r="D620" s="78"/>
      <c r="E620" s="78"/>
      <c r="F620" s="78"/>
    </row>
    <row r="621" spans="1:6" x14ac:dyDescent="0.25">
      <c r="A621" s="90" t="s">
        <v>2106</v>
      </c>
      <c r="B621" s="91" t="s">
        <v>2138</v>
      </c>
      <c r="C621" s="106">
        <v>125.05857779200001</v>
      </c>
      <c r="D621" s="78"/>
      <c r="E621" s="78"/>
      <c r="F621" s="78"/>
    </row>
    <row r="622" spans="1:6" x14ac:dyDescent="0.25">
      <c r="A622" s="90" t="s">
        <v>2107</v>
      </c>
      <c r="B622" s="91" t="s">
        <v>2138</v>
      </c>
      <c r="C622" s="106">
        <v>125.03129639599997</v>
      </c>
      <c r="D622" s="78"/>
      <c r="E622" s="78"/>
      <c r="F622" s="78"/>
    </row>
    <row r="623" spans="1:6" x14ac:dyDescent="0.25">
      <c r="A623" s="90" t="s">
        <v>2108</v>
      </c>
      <c r="B623" s="91" t="s">
        <v>2138</v>
      </c>
      <c r="C623" s="106">
        <v>125.00648470399999</v>
      </c>
      <c r="D623" s="78"/>
      <c r="E623" s="78"/>
      <c r="F623" s="78"/>
    </row>
    <row r="624" spans="1:6" x14ac:dyDescent="0.25">
      <c r="A624" s="90" t="s">
        <v>2109</v>
      </c>
      <c r="B624" s="91" t="s">
        <v>2138</v>
      </c>
      <c r="C624" s="106">
        <v>124.98432710799999</v>
      </c>
      <c r="D624" s="78"/>
      <c r="E624" s="78"/>
      <c r="F624" s="78"/>
    </row>
    <row r="625" spans="1:6" x14ac:dyDescent="0.25">
      <c r="A625" s="90" t="s">
        <v>2110</v>
      </c>
      <c r="B625" s="91" t="s">
        <v>2138</v>
      </c>
      <c r="C625" s="106">
        <v>124.96500799999997</v>
      </c>
      <c r="D625" s="78"/>
      <c r="E625" s="78"/>
      <c r="F625" s="78"/>
    </row>
    <row r="626" spans="1:6" x14ac:dyDescent="0.25">
      <c r="A626" s="90" t="s">
        <v>2111</v>
      </c>
      <c r="B626" s="91" t="s">
        <v>2138</v>
      </c>
      <c r="C626" s="106">
        <v>124.94871177199998</v>
      </c>
      <c r="D626" s="78"/>
      <c r="E626" s="78"/>
      <c r="F626" s="78"/>
    </row>
    <row r="627" spans="1:6" x14ac:dyDescent="0.25">
      <c r="A627" s="90" t="s">
        <v>2112</v>
      </c>
      <c r="B627" s="91" t="s">
        <v>2138</v>
      </c>
      <c r="C627" s="106">
        <v>124.93562281599999</v>
      </c>
      <c r="D627" s="78"/>
      <c r="E627" s="78"/>
      <c r="F627" s="78"/>
    </row>
    <row r="628" spans="1:6" x14ac:dyDescent="0.25">
      <c r="A628" s="90" t="s">
        <v>2113</v>
      </c>
      <c r="B628" s="91" t="s">
        <v>2138</v>
      </c>
      <c r="C628" s="106">
        <v>124.92592552400002</v>
      </c>
      <c r="D628" s="78"/>
      <c r="E628" s="78"/>
      <c r="F628" s="78"/>
    </row>
    <row r="629" spans="1:6" x14ac:dyDescent="0.25">
      <c r="A629" s="90" t="s">
        <v>2114</v>
      </c>
      <c r="B629" s="91" t="s">
        <v>2138</v>
      </c>
      <c r="C629" s="106">
        <v>124.91980428799998</v>
      </c>
      <c r="D629" s="78"/>
      <c r="E629" s="78"/>
      <c r="F629" s="78"/>
    </row>
    <row r="630" spans="1:6" x14ac:dyDescent="0.25">
      <c r="A630" s="90" t="s">
        <v>2115</v>
      </c>
      <c r="B630" s="91" t="s">
        <v>2138</v>
      </c>
      <c r="C630" s="106">
        <v>124.9174435</v>
      </c>
      <c r="D630" s="78"/>
      <c r="E630" s="78"/>
      <c r="F630" s="78"/>
    </row>
    <row r="631" spans="1:6" x14ac:dyDescent="0.25">
      <c r="A631" s="90" t="s">
        <v>2116</v>
      </c>
      <c r="B631" s="91" t="s">
        <v>2138</v>
      </c>
      <c r="C631" s="106">
        <v>124.919027552</v>
      </c>
      <c r="D631" s="78"/>
      <c r="E631" s="78"/>
      <c r="F631" s="78"/>
    </row>
    <row r="632" spans="1:6" x14ac:dyDescent="0.25">
      <c r="A632" s="90" t="s">
        <v>2117</v>
      </c>
      <c r="B632" s="91" t="s">
        <v>2138</v>
      </c>
      <c r="C632" s="106">
        <v>124.924740836</v>
      </c>
      <c r="D632" s="78"/>
      <c r="E632" s="78"/>
      <c r="F632" s="78"/>
    </row>
    <row r="633" spans="1:6" x14ac:dyDescent="0.25">
      <c r="A633" s="90" t="s">
        <v>2118</v>
      </c>
      <c r="B633" s="91" t="s">
        <v>2138</v>
      </c>
      <c r="C633" s="106">
        <v>124.93476774399998</v>
      </c>
      <c r="D633" s="78"/>
      <c r="E633" s="78"/>
      <c r="F633" s="78"/>
    </row>
    <row r="634" spans="1:6" x14ac:dyDescent="0.25">
      <c r="A634" s="90" t="s">
        <v>2119</v>
      </c>
      <c r="B634" s="91" t="s">
        <v>2138</v>
      </c>
      <c r="C634" s="106">
        <v>124.94929266800001</v>
      </c>
      <c r="D634" s="78"/>
      <c r="E634" s="78"/>
      <c r="F634" s="78"/>
    </row>
    <row r="635" spans="1:6" x14ac:dyDescent="0.25">
      <c r="A635" s="90" t="s">
        <v>2120</v>
      </c>
      <c r="B635" s="91" t="s">
        <v>2138</v>
      </c>
      <c r="C635" s="106">
        <v>124.96850000000005</v>
      </c>
      <c r="D635" s="78"/>
      <c r="E635" s="78"/>
      <c r="F635" s="78"/>
    </row>
    <row r="636" spans="1:6" x14ac:dyDescent="0.25">
      <c r="A636" s="90" t="s">
        <v>2121</v>
      </c>
      <c r="B636" s="91" t="s">
        <v>2138</v>
      </c>
      <c r="C636" s="106">
        <v>124.992574132</v>
      </c>
      <c r="D636" s="78"/>
      <c r="E636" s="78"/>
      <c r="F636" s="78"/>
    </row>
    <row r="637" spans="1:6" x14ac:dyDescent="0.25">
      <c r="A637" s="90" t="s">
        <v>2122</v>
      </c>
      <c r="B637" s="91" t="s">
        <v>2138</v>
      </c>
      <c r="C637" s="106">
        <v>125.02169945600001</v>
      </c>
      <c r="D637" s="78"/>
      <c r="E637" s="78"/>
      <c r="F637" s="78"/>
    </row>
    <row r="638" spans="1:6" x14ac:dyDescent="0.25">
      <c r="A638" s="90" t="s">
        <v>2123</v>
      </c>
      <c r="B638" s="91" t="s">
        <v>2138</v>
      </c>
      <c r="C638" s="106">
        <v>125.056060364</v>
      </c>
      <c r="D638" s="78"/>
      <c r="E638" s="78"/>
      <c r="F638" s="78"/>
    </row>
    <row r="639" spans="1:6" x14ac:dyDescent="0.25">
      <c r="A639" s="90" t="s">
        <v>2124</v>
      </c>
      <c r="B639" s="91" t="s">
        <v>2138</v>
      </c>
      <c r="C639" s="106">
        <v>125.09584124799999</v>
      </c>
      <c r="D639" s="78"/>
      <c r="E639" s="78"/>
      <c r="F639" s="78"/>
    </row>
    <row r="640" spans="1:6" x14ac:dyDescent="0.25">
      <c r="A640" s="90" t="s">
        <v>2125</v>
      </c>
      <c r="B640" s="91" t="s">
        <v>2138</v>
      </c>
      <c r="C640" s="106">
        <v>125.14122649999997</v>
      </c>
      <c r="D640" s="78"/>
      <c r="E640" s="78"/>
      <c r="F640" s="78"/>
    </row>
    <row r="641" spans="1:6" x14ac:dyDescent="0.25">
      <c r="A641" s="90" t="s">
        <v>2126</v>
      </c>
      <c r="B641" s="91" t="s">
        <v>2138</v>
      </c>
      <c r="C641" s="106">
        <v>125.19240051199999</v>
      </c>
      <c r="D641" s="78"/>
      <c r="E641" s="78"/>
      <c r="F641" s="78"/>
    </row>
    <row r="642" spans="1:6" x14ac:dyDescent="0.25">
      <c r="A642" s="90" t="s">
        <v>2127</v>
      </c>
      <c r="B642" s="91" t="s">
        <v>2138</v>
      </c>
      <c r="C642" s="106">
        <v>125.24954767599998</v>
      </c>
      <c r="D642" s="78"/>
      <c r="E642" s="78"/>
      <c r="F642" s="78"/>
    </row>
    <row r="643" spans="1:6" x14ac:dyDescent="0.25">
      <c r="A643" s="90" t="s">
        <v>2128</v>
      </c>
      <c r="B643" s="91" t="s">
        <v>2138</v>
      </c>
      <c r="C643" s="106">
        <v>125.31285238400004</v>
      </c>
      <c r="D643" s="78"/>
      <c r="E643" s="78"/>
      <c r="F643" s="78"/>
    </row>
    <row r="644" spans="1:6" x14ac:dyDescent="0.25">
      <c r="A644" s="90" t="s">
        <v>2129</v>
      </c>
      <c r="B644" s="91" t="s">
        <v>2138</v>
      </c>
      <c r="C644" s="106">
        <v>125.382499028</v>
      </c>
      <c r="D644" s="78"/>
      <c r="E644" s="78"/>
      <c r="F644" s="78"/>
    </row>
    <row r="645" spans="1:6" x14ac:dyDescent="0.25">
      <c r="A645" s="90" t="s">
        <v>2130</v>
      </c>
      <c r="B645" s="91" t="s">
        <v>2138</v>
      </c>
      <c r="C645" s="106">
        <v>125.45867200000005</v>
      </c>
      <c r="D645" s="78"/>
      <c r="E645" s="78"/>
      <c r="F645" s="78"/>
    </row>
    <row r="646" spans="1:6" x14ac:dyDescent="0.25">
      <c r="A646" s="90" t="s">
        <v>2131</v>
      </c>
      <c r="B646" s="91" t="s">
        <v>2138</v>
      </c>
      <c r="C646" s="106">
        <v>125.54155569199999</v>
      </c>
      <c r="D646" s="78"/>
      <c r="E646" s="78"/>
      <c r="F646" s="78"/>
    </row>
    <row r="647" spans="1:6" x14ac:dyDescent="0.25">
      <c r="A647" s="90" t="s">
        <v>2132</v>
      </c>
      <c r="B647" s="91" t="s">
        <v>2138</v>
      </c>
      <c r="C647" s="106">
        <v>125.63133449600001</v>
      </c>
      <c r="D647" s="78"/>
      <c r="E647" s="78"/>
      <c r="F647" s="78"/>
    </row>
    <row r="648" spans="1:6" x14ac:dyDescent="0.25">
      <c r="A648" s="90" t="s">
        <v>2133</v>
      </c>
      <c r="B648" s="91" t="s">
        <v>2138</v>
      </c>
      <c r="C648" s="106">
        <v>125.72819280400002</v>
      </c>
      <c r="D648" s="78"/>
      <c r="E648" s="78"/>
      <c r="F648" s="78"/>
    </row>
    <row r="649" spans="1:6" x14ac:dyDescent="0.25">
      <c r="A649" s="90" t="s">
        <v>2134</v>
      </c>
      <c r="B649" s="91" t="s">
        <v>2138</v>
      </c>
      <c r="C649" s="106">
        <v>125.83231500800001</v>
      </c>
      <c r="D649" s="78"/>
      <c r="E649" s="78"/>
      <c r="F649" s="78"/>
    </row>
    <row r="650" spans="1:6" x14ac:dyDescent="0.25">
      <c r="A650" s="90" t="s">
        <v>2135</v>
      </c>
      <c r="B650" s="91" t="s">
        <v>2138</v>
      </c>
      <c r="C650" s="106">
        <v>125.94388550000001</v>
      </c>
      <c r="D650" s="78"/>
      <c r="E650" s="78"/>
      <c r="F650" s="78"/>
    </row>
    <row r="651" spans="1:6" x14ac:dyDescent="0.25">
      <c r="A651" s="90" t="s">
        <v>2136</v>
      </c>
      <c r="B651" s="91" t="s">
        <v>2138</v>
      </c>
      <c r="C651" s="106">
        <v>126.06308867200001</v>
      </c>
      <c r="D651" s="78"/>
      <c r="E651" s="78"/>
      <c r="F651" s="78"/>
    </row>
    <row r="652" spans="1:6" x14ac:dyDescent="0.25">
      <c r="A652" s="90" t="s">
        <v>2137</v>
      </c>
      <c r="B652" s="91" t="s">
        <v>2138</v>
      </c>
      <c r="C652" s="106">
        <v>126.06308867200001</v>
      </c>
      <c r="D652" s="78"/>
      <c r="E652" s="78"/>
      <c r="F652" s="78"/>
    </row>
  </sheetData>
  <mergeCells count="2">
    <mergeCell ref="A1:F1"/>
    <mergeCell ref="A167:F16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4" t="s">
        <v>1092</v>
      </c>
      <c r="D1" s="114"/>
      <c r="E1" s="114"/>
      <c r="F1" s="114"/>
      <c r="G1" s="114"/>
      <c r="H1" s="114"/>
      <c r="I1" s="114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5" t="s">
        <v>194</v>
      </c>
      <c r="D3" s="115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196</v>
      </c>
      <c r="B5" s="23"/>
      <c r="C5" s="41" t="s">
        <v>16</v>
      </c>
      <c r="D5" s="24" t="s">
        <v>193</v>
      </c>
      <c r="E5" s="24" t="s">
        <v>192</v>
      </c>
      <c r="F5" s="24" t="s">
        <v>17</v>
      </c>
      <c r="G5" s="27"/>
      <c r="H5" s="27" t="s">
        <v>1094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1091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1093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1095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1091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1095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8"/>
  <sheetViews>
    <sheetView tabSelected="1" zoomScale="85" zoomScaleNormal="85" workbookViewId="0">
      <pane ySplit="5" topLeftCell="A15" activePane="bottomLeft" state="frozen"/>
      <selection activeCell="A285" sqref="A285"/>
      <selection pane="bottomLeft" activeCell="E12" sqref="E12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4" t="s">
        <v>744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5" t="s">
        <v>194</v>
      </c>
      <c r="C3" s="115"/>
      <c r="D3" s="24">
        <f>SUM(D7:D1608)</f>
        <v>536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9" t="s">
        <v>206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s="9" customFormat="1" ht="15" customHeight="1" x14ac:dyDescent="0.25">
      <c r="A8" s="22">
        <f>IF(I8&lt;&gt;"",MAX(A$1:A7)+1,"")</f>
        <v>1</v>
      </c>
      <c r="B8" s="70" t="s">
        <v>1109</v>
      </c>
      <c r="C8" t="s">
        <v>63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207</v>
      </c>
      <c r="G8" s="9">
        <f>MCL_INPUT_CALL_RATE_HZ</f>
        <v>8000</v>
      </c>
      <c r="H8" s="9" t="str">
        <f>IF(G8&lt;&gt;"",IF(C8="float32",FLOAT2HEX(G8),DEC2HEX(G8,8)),"")</f>
        <v>00001F40</v>
      </c>
      <c r="I8" s="9">
        <f t="shared" ref="I8:I90" si="0">IF(G8&lt;&gt;"",HEX2DEC(H8),"")</f>
        <v>8000</v>
      </c>
      <c r="J8" s="15"/>
      <c r="K8" s="15"/>
      <c r="L8" s="15"/>
      <c r="M8" s="13"/>
      <c r="N8" s="13"/>
      <c r="O8" s="13"/>
      <c r="P8" s="13"/>
      <c r="Q8" s="13"/>
      <c r="R8" s="13"/>
      <c r="S8" s="13"/>
      <c r="T8" s="13"/>
      <c r="U8" s="13"/>
    </row>
    <row r="9" spans="1:21" ht="15" customHeight="1" x14ac:dyDescent="0.25">
      <c r="A9" s="81" t="str">
        <f>IF(I9&lt;&gt;"",MAX(A$1:A8)+1,"")</f>
        <v/>
      </c>
      <c r="B9" s="45"/>
      <c r="D9" t="str">
        <f>IF(OR(C9="sint64",C9="uint64",C9="double64"), 8, IF(OR(C9="sint32",C9="uint32",C9="float32"),4,IF(OR(C9="sint16",C9="uint16"),2,  IF(OR(C9="sint8",C9="uint8"),1,""))))</f>
        <v/>
      </c>
      <c r="F9" s="9"/>
      <c r="G9" s="9"/>
      <c r="H9" s="9" t="str">
        <f>IF(G9&lt;&gt;"",IF(C9="float32",FLOAT2HEX(G9),DEC2HEX(G9,8)),"")</f>
        <v/>
      </c>
      <c r="I9" s="9" t="str">
        <f t="shared" si="0"/>
        <v/>
      </c>
    </row>
    <row r="10" spans="1:21" s="9" customFormat="1" ht="20.100000000000001" customHeight="1" x14ac:dyDescent="0.25">
      <c r="A10" s="81" t="str">
        <f>IF(I10&lt;&gt;"",MAX(A$1:A9)+1,"")</f>
        <v/>
      </c>
      <c r="B10" s="44" t="s">
        <v>70</v>
      </c>
      <c r="C10" s="21"/>
      <c r="D10" s="21"/>
      <c r="E10" s="21"/>
      <c r="F10" s="21"/>
      <c r="G10" s="21"/>
      <c r="H10" s="21" t="str">
        <f>IF(G10&lt;&gt;"",DEC2HEX(G10,4),"")</f>
        <v/>
      </c>
      <c r="I10" s="21"/>
      <c r="J10" s="16"/>
      <c r="K10" s="16"/>
      <c r="L10" s="16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81">
        <f>IF(I11&lt;&gt;"",MAX(A$1:A10)+1,"")</f>
        <v>2</v>
      </c>
      <c r="B11" s="97" t="s">
        <v>27</v>
      </c>
      <c r="C11" t="s">
        <v>57</v>
      </c>
      <c r="D11">
        <f t="shared" ref="D11:D26" si="1">IF(OR(C11="sint64",C11="uint64",C11="double64"), 8, IF(OR(C11="sint32",C11="uint32",C11="float32"),4,IF(OR(C11="sint16",C11="uint16"),2,  IF(OR(C11="sint8",C11="uint8"),1,""))))</f>
        <v>4</v>
      </c>
      <c r="E11" s="89" t="s">
        <v>604</v>
      </c>
      <c r="G11" s="9">
        <f>ROUND(( (32768 * STATOR_RESISTANCE)/BASE_Z),0)</f>
        <v>2946</v>
      </c>
      <c r="H11" s="9" t="str">
        <f>IF(G11&lt;&gt;"",IF(C11="float32",FLOAT2HEX(G11),DEC2HEX(G11,8)),"")</f>
        <v>00000B82</v>
      </c>
      <c r="I11" s="9">
        <f t="shared" si="0"/>
        <v>2946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s="9" customFormat="1" ht="15" customHeight="1" x14ac:dyDescent="0.25">
      <c r="A12" s="81">
        <f>IF(I12&lt;&gt;"",MAX(A$1:A11)+1,"")</f>
        <v>3</v>
      </c>
      <c r="B12" s="47" t="s">
        <v>1105</v>
      </c>
      <c r="C12" t="s">
        <v>57</v>
      </c>
      <c r="D12">
        <f t="shared" si="1"/>
        <v>4</v>
      </c>
      <c r="E12" s="59" t="s">
        <v>1106</v>
      </c>
      <c r="G12" s="9">
        <v>0</v>
      </c>
      <c r="H12" s="9" t="str">
        <f>IF(G12&lt;&gt;"",IF(C12="float32",FLOAT2HEX(G12),DEC2HEX(G12,8)),"")</f>
        <v>00000000</v>
      </c>
      <c r="I12" s="9">
        <f>IF(G12&lt;&gt;"",HEX2DEC(H12),"")</f>
        <v>0</v>
      </c>
      <c r="J12" s="15"/>
      <c r="K12" s="15"/>
      <c r="L12" s="15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5" customHeight="1" x14ac:dyDescent="0.25">
      <c r="A13" s="81">
        <f>IF(I13&lt;&gt;"",MAX(A$1:A12)+1,"")</f>
        <v>4</v>
      </c>
      <c r="B13" s="45" t="s">
        <v>28</v>
      </c>
      <c r="C13" t="s">
        <v>57</v>
      </c>
      <c r="D13">
        <f t="shared" si="1"/>
        <v>4</v>
      </c>
      <c r="E13" s="2" t="s">
        <v>605</v>
      </c>
      <c r="F13" s="9"/>
      <c r="G13" s="9">
        <f>( ((OBSERVER_G_INTEG_GAIN * BASE_Z * OBSERVER_TS * (2^30)) / BASE_FLUX))</f>
        <v>0</v>
      </c>
      <c r="H13" s="9" t="str">
        <f>IF(G13&lt;&gt;"",IF(C13="float32",FLOAT2HEX(G13),DEC2HEX(G13,8)),"")</f>
        <v>00000000</v>
      </c>
      <c r="I13" s="9">
        <f t="shared" si="0"/>
        <v>0</v>
      </c>
    </row>
    <row r="14" spans="1:21" ht="15" customHeight="1" x14ac:dyDescent="0.25">
      <c r="A14" s="81">
        <f>IF(I14&lt;&gt;"",MAX(A$1:A13)+1,"")</f>
        <v>5</v>
      </c>
      <c r="B14" s="45" t="s">
        <v>29</v>
      </c>
      <c r="C14" t="s">
        <v>57</v>
      </c>
      <c r="D14">
        <f t="shared" si="1"/>
        <v>4</v>
      </c>
      <c r="E14" s="2" t="s">
        <v>606</v>
      </c>
      <c r="F14" s="9"/>
      <c r="G14" s="9">
        <f>ROUND((OBS_RESIS_ADAPT_CURRENT_THRES * 32768 / BASE_CURRENT),0)</f>
        <v>2790</v>
      </c>
      <c r="H14" s="9" t="str">
        <f>IF(G14&lt;&gt;"",IF(C14="float32",FLOAT2HEX(G14),DEC2HEX(G14,8)),"")</f>
        <v>00000AE6</v>
      </c>
      <c r="I14" s="9">
        <f t="shared" si="0"/>
        <v>2790</v>
      </c>
    </row>
    <row r="15" spans="1:21" ht="15" customHeight="1" x14ac:dyDescent="0.25">
      <c r="A15" s="81">
        <f>IF(I15&lt;&gt;"",MAX(A$1:A14)+1,"")</f>
        <v>6</v>
      </c>
      <c r="B15" s="45" t="s">
        <v>30</v>
      </c>
      <c r="C15" t="s">
        <v>57</v>
      </c>
      <c r="D15">
        <f t="shared" si="1"/>
        <v>4</v>
      </c>
      <c r="E15" s="2" t="s">
        <v>607</v>
      </c>
      <c r="F15" s="9"/>
      <c r="G15" s="9">
        <f>ROUND((OBS_RESIS_ADAPT_SPEED_THRES*32768/BASE_SPEED_RPM),0)</f>
        <v>1199</v>
      </c>
      <c r="H15" s="9" t="str">
        <f>IF(G15&lt;&gt;"",IF(C15="float32",FLOAT2HEX(G15),DEC2HEX(G15,8)),"")</f>
        <v>000004AF</v>
      </c>
      <c r="I15" s="9">
        <f t="shared" si="0"/>
        <v>1199</v>
      </c>
    </row>
    <row r="16" spans="1:21" ht="15" customHeight="1" x14ac:dyDescent="0.25">
      <c r="A16" s="81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608</v>
      </c>
      <c r="F16" s="9"/>
      <c r="G16" s="9">
        <f>ROUND(((ROTOR_LAMBDAM * 32768)/BASE_FLUX),0)</f>
        <v>9907</v>
      </c>
      <c r="H16" s="9" t="str">
        <f>IF(G16&lt;&gt;"",IF(C16="float32",FLOAT2HEX(G16),DEC2HEX(G16,8)),"")</f>
        <v>000026B3</v>
      </c>
      <c r="I16" s="9">
        <f t="shared" si="0"/>
        <v>9907</v>
      </c>
    </row>
    <row r="17" spans="1:21" ht="15" customHeight="1" x14ac:dyDescent="0.25">
      <c r="A17" s="81">
        <f>IF(I17&lt;&gt;"",MAX(A$1:A16)+1,"")</f>
        <v>8</v>
      </c>
      <c r="B17" s="97" t="s">
        <v>32</v>
      </c>
      <c r="C17" t="s">
        <v>57</v>
      </c>
      <c r="D17">
        <f t="shared" si="1"/>
        <v>4</v>
      </c>
      <c r="E17" s="61" t="s">
        <v>609</v>
      </c>
      <c r="F17" s="9"/>
      <c r="G17" s="50">
        <f>ROUND(((OBSERVER_G_GAIN * BASE_FLUX * 32768) / BASE_VOLTAGE),0)</f>
        <v>2147</v>
      </c>
      <c r="H17" s="9" t="str">
        <f>IF(G17&lt;&gt;"",IF(C17="float32",FLOAT2HEX(G17),DEC2HEX(G17,8)),"")</f>
        <v>00000863</v>
      </c>
      <c r="I17" s="9">
        <f t="shared" si="0"/>
        <v>2147</v>
      </c>
    </row>
    <row r="18" spans="1:21" ht="15" customHeight="1" x14ac:dyDescent="0.25">
      <c r="A18" s="81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610</v>
      </c>
      <c r="F18" s="9"/>
      <c r="G18" s="9">
        <f>ROUND(((0.5 * BASE_VOLTAGE * OBSERVER_TS * (2^30)) / BASE_FLUX),0)</f>
        <v>61466437</v>
      </c>
      <c r="H18" s="9" t="str">
        <f>IF(G18&lt;&gt;"",IF(C18="float32",FLOAT2HEX(G18),DEC2HEX(G18,8)),"")</f>
        <v>03A9E745</v>
      </c>
      <c r="I18" s="9">
        <f t="shared" si="0"/>
        <v>61466437</v>
      </c>
    </row>
    <row r="19" spans="1:21" ht="15" customHeight="1" x14ac:dyDescent="0.25">
      <c r="A19" s="81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611</v>
      </c>
      <c r="F19" s="9"/>
      <c r="G19" s="9">
        <f>ROUND(((OBSERVER_MIN_FLUX_ZERO_SPEED * 32768)/BASE_FLUX),0)</f>
        <v>1172</v>
      </c>
      <c r="H19" s="9" t="str">
        <f>IF(G19&lt;&gt;"",IF(C19="float32",FLOAT2HEX(G19),DEC2HEX(G19,8)),"")</f>
        <v>00000494</v>
      </c>
      <c r="I19" s="9">
        <f t="shared" si="0"/>
        <v>1172</v>
      </c>
    </row>
    <row r="20" spans="1:21" ht="15" customHeight="1" x14ac:dyDescent="0.25">
      <c r="A20" s="81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612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81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613</v>
      </c>
      <c r="G21" s="11">
        <f>ROUND((  (1/OBSERVER_TS) * (2^15))/BASE_OMEGA,0)</f>
        <v>286208</v>
      </c>
      <c r="H21" s="9" t="str">
        <f>IF(G21&lt;&gt;"",IF(C21="float32",FLOAT2HEX(G21),DEC2HEX(G21,8)),"")</f>
        <v>00045E00</v>
      </c>
      <c r="I21" s="9">
        <f t="shared" si="0"/>
        <v>286208</v>
      </c>
    </row>
    <row r="22" spans="1:21" ht="15" customHeight="1" x14ac:dyDescent="0.25">
      <c r="A22" s="81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2" t="s">
        <v>614</v>
      </c>
      <c r="G22" s="11">
        <f>(OBSERVER_STARTING_THRESHOLD/OBSERVER_TS)</f>
        <v>4000</v>
      </c>
      <c r="H22" s="9" t="str">
        <f>IF(G22&lt;&gt;"",IF(C22="float32",FLOAT2HEX(G22),DEC2HEX(G22,8)),"")</f>
        <v>00000FA0</v>
      </c>
      <c r="I22" s="9">
        <f t="shared" si="0"/>
        <v>4000</v>
      </c>
    </row>
    <row r="23" spans="1:21" ht="15" customHeight="1" x14ac:dyDescent="0.25">
      <c r="A23" s="81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421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81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615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81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422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81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423</v>
      </c>
      <c r="G26" s="11">
        <f>(32768 / (BASE_SPEED_RPM * POLE_PAIRS * 2 * PI() / 60))</f>
        <v>35.776000000000003</v>
      </c>
      <c r="H26" s="9" t="str">
        <f>IF(G26&lt;&gt;"",IF(C26="float32",FLOAT2HEX(G26),DEC2HEX(G26,8)),"")</f>
        <v>420F1AA0</v>
      </c>
      <c r="I26" s="9">
        <f t="shared" si="0"/>
        <v>1108286112</v>
      </c>
    </row>
    <row r="27" spans="1:21" s="60" customFormat="1" ht="15" customHeight="1" x14ac:dyDescent="0.25">
      <c r="A27" s="81" t="str">
        <f>IF(I27&lt;&gt;"",MAX(A$1:A26)+1,"")</f>
        <v/>
      </c>
      <c r="B27" s="70"/>
      <c r="E27" s="61"/>
      <c r="G27" s="66"/>
      <c r="H27" s="65"/>
      <c r="I27" s="65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</row>
    <row r="28" spans="1:21" s="9" customFormat="1" ht="20.100000000000001" customHeight="1" x14ac:dyDescent="0.25">
      <c r="A28" s="81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81">
        <f>IF(I29&lt;&gt;"",MAX(A$1:A28)+1,"")</f>
        <v>18</v>
      </c>
      <c r="B29" s="97" t="s">
        <v>92</v>
      </c>
      <c r="C29" t="s">
        <v>57</v>
      </c>
      <c r="D29">
        <f t="shared" ref="D29:D50" si="2">IF(OR(C29="sint64",C29="uint64",C29="double64"), 8, IF(OR(C29="sint32",C29="uint32",C29="float32"),4,IF(OR(C29="sint16",C29="uint16"),2,  IF(OR(C29="sint8",C29="uint8"),1,""))))</f>
        <v>4</v>
      </c>
      <c r="E29" s="100" t="s">
        <v>1162</v>
      </c>
      <c r="F29" s="104"/>
      <c r="G29" s="101">
        <f>ROUND((((STATOR_RESISTANCE * 1.5) * MAX_PHASE_CURR + PI_VOLT_MARGIN) * 32768/BASE_VOLTAGE),0)</f>
        <v>21683</v>
      </c>
      <c r="H29" s="9" t="str">
        <f>IF(G29&lt;&gt;"",IF(C29="float32",FLOAT2HEX(G29),DEC2HEX(G29,8)),"")</f>
        <v>000054B3</v>
      </c>
      <c r="I29" s="9">
        <f t="shared" si="0"/>
        <v>21683</v>
      </c>
    </row>
    <row r="30" spans="1:21" ht="15" customHeight="1" x14ac:dyDescent="0.25">
      <c r="A30" s="81">
        <f>IF(I30&lt;&gt;"",MAX(A$1:A29)+1,"")</f>
        <v>19</v>
      </c>
      <c r="B30" s="45" t="s">
        <v>91</v>
      </c>
      <c r="C30" t="s">
        <v>63</v>
      </c>
      <c r="D30">
        <f t="shared" si="2"/>
        <v>4</v>
      </c>
      <c r="E30" s="61" t="s">
        <v>680</v>
      </c>
      <c r="G30" s="55">
        <f>(((1/OBSERVER_TS) * TIME_DQ_FORCE_GAINS_STARTING))</f>
        <v>8000</v>
      </c>
      <c r="H30" s="9" t="str">
        <f>IF(G30&lt;&gt;"",IF(C30="float32",FLOAT2HEX(G30),DEC2HEX(G30,8)),"")</f>
        <v>00001F40</v>
      </c>
      <c r="I30" s="9">
        <f t="shared" si="0"/>
        <v>8000</v>
      </c>
    </row>
    <row r="31" spans="1:21" ht="15" customHeight="1" x14ac:dyDescent="0.25">
      <c r="A31" s="81">
        <f>IF(I31&lt;&gt;"",MAX(A$1:A30)+1,"")</f>
        <v>20</v>
      </c>
      <c r="B31" s="45" t="s">
        <v>93</v>
      </c>
      <c r="C31" t="s">
        <v>57</v>
      </c>
      <c r="D31">
        <f t="shared" si="2"/>
        <v>4</v>
      </c>
      <c r="E31" s="100" t="s">
        <v>1164</v>
      </c>
      <c r="F31" s="104"/>
      <c r="G31" s="101">
        <f>ROUND(PHASE_ADVANCE_COEFF * (OBSERVER_TS*32768)/BASE_TIME,0)</f>
        <v>1194</v>
      </c>
      <c r="H31" s="9" t="str">
        <f>IF(G31&lt;&gt;"",IF(C31="float32",FLOAT2HEX(G31),DEC2HEX(G31,8)),"")</f>
        <v>000004AA</v>
      </c>
      <c r="I31" s="9">
        <f t="shared" si="0"/>
        <v>1194</v>
      </c>
    </row>
    <row r="32" spans="1:21" s="103" customFormat="1" ht="15" customHeight="1" x14ac:dyDescent="0.25">
      <c r="A32" s="96">
        <f>IF(I32&lt;&gt;"",MAX(A$1:A31)+1,"")</f>
        <v>21</v>
      </c>
      <c r="B32" s="98" t="s">
        <v>3131</v>
      </c>
      <c r="C32" s="103" t="s">
        <v>57</v>
      </c>
      <c r="D32" s="84">
        <f>IF(OR(C32="sint64",C32="uint64",C32="double64"), 8, IF(OR(C32="sint32",C32="uint32",C32="float32"),4,IF(OR(C32="sint16",C32="uint16"),2,  IF(OR(C32="sint8",C32="uint8"),1,""))))</f>
        <v>4</v>
      </c>
      <c r="E32" s="89" t="s">
        <v>3133</v>
      </c>
      <c r="G32" s="95">
        <f>ROUND((M_INDEX_CTRL/100 * 32768),0)</f>
        <v>37683</v>
      </c>
      <c r="H32" s="94" t="str">
        <f>IF(G32&lt;&gt;"",IF(C32="float32",FLOAT2HEX(G32),DEC2HEX(G32,8)),"")</f>
        <v>00009333</v>
      </c>
      <c r="I32" s="94">
        <f t="shared" si="0"/>
        <v>37683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</row>
    <row r="33" spans="1:9" ht="15" customHeight="1" x14ac:dyDescent="0.25">
      <c r="A33" s="81">
        <f>IF(I33&lt;&gt;"",MAX(A$1:A32)+1,"")</f>
        <v>22</v>
      </c>
      <c r="B33" s="45" t="s">
        <v>76</v>
      </c>
      <c r="C33" t="s">
        <v>57</v>
      </c>
      <c r="D33">
        <f t="shared" si="2"/>
        <v>4</v>
      </c>
      <c r="E33" s="2" t="s">
        <v>681</v>
      </c>
      <c r="G33" s="55">
        <f>ROUND(((DQ_TORQUE_KP_REGION_0 * BASE_TORQ * (2^15)) / BASE_VOLTAGE),0)</f>
        <v>17645</v>
      </c>
      <c r="H33" s="9" t="str">
        <f>IF(G33&lt;&gt;"",IF(C33="float32",FLOAT2HEX(G33),DEC2HEX(G33,8)),"")</f>
        <v>000044ED</v>
      </c>
      <c r="I33" s="9">
        <f t="shared" si="0"/>
        <v>17645</v>
      </c>
    </row>
    <row r="34" spans="1:9" ht="15" customHeight="1" x14ac:dyDescent="0.25">
      <c r="A34" s="81">
        <f>IF(I34&lt;&gt;"",MAX(A$1:A33)+1,"")</f>
        <v>23</v>
      </c>
      <c r="B34" s="45" t="s">
        <v>77</v>
      </c>
      <c r="C34" t="s">
        <v>57</v>
      </c>
      <c r="D34">
        <f t="shared" si="2"/>
        <v>4</v>
      </c>
      <c r="E34" s="2" t="s">
        <v>682</v>
      </c>
      <c r="G34" s="55">
        <f>ROUND(((DQ_TORQUE_KI_REGION_0 * BASE_TORQ * OBSERVER_TS * (2^15)) / BASE_VOLTAGE),0)</f>
        <v>441</v>
      </c>
      <c r="H34" s="9" t="str">
        <f>IF(G34&lt;&gt;"",IF(C34="float32",FLOAT2HEX(G34),DEC2HEX(G34,8)),"")</f>
        <v>000001B9</v>
      </c>
      <c r="I34" s="9">
        <f t="shared" si="0"/>
        <v>441</v>
      </c>
    </row>
    <row r="35" spans="1:9" ht="15" customHeight="1" x14ac:dyDescent="0.25">
      <c r="A35" s="81">
        <f>IF(I35&lt;&gt;"",MAX(A$1:A34)+1,"")</f>
        <v>24</v>
      </c>
      <c r="B35" s="45" t="s">
        <v>78</v>
      </c>
      <c r="C35" t="s">
        <v>57</v>
      </c>
      <c r="D35">
        <f t="shared" si="2"/>
        <v>4</v>
      </c>
      <c r="E35" s="2" t="s">
        <v>683</v>
      </c>
      <c r="G35" s="55">
        <f>ROUND(((DQ_FLUX_KP_REGION_0 * BASE_FLUX * (2^15)) / BASE_VOLTAGE),0)</f>
        <v>5366</v>
      </c>
      <c r="H35" s="9" t="str">
        <f>IF(G35&lt;&gt;"",IF(C35="float32",FLOAT2HEX(G35),DEC2HEX(G35,8)),"")</f>
        <v>000014F6</v>
      </c>
      <c r="I35" s="9">
        <f t="shared" si="0"/>
        <v>5366</v>
      </c>
    </row>
    <row r="36" spans="1:9" ht="15" customHeight="1" x14ac:dyDescent="0.25">
      <c r="A36" s="81">
        <f>IF(I36&lt;&gt;"",MAX(A$1:A35)+1,"")</f>
        <v>25</v>
      </c>
      <c r="B36" s="45" t="s">
        <v>79</v>
      </c>
      <c r="C36" t="s">
        <v>57</v>
      </c>
      <c r="D36">
        <f t="shared" si="2"/>
        <v>4</v>
      </c>
      <c r="E36" s="2" t="s">
        <v>684</v>
      </c>
      <c r="G36" s="55">
        <f>ROUND(((DQ_FLUX_KI_REGION_0  * BASE_FLUX * OBSERVER_TS * (2^15)) / BASE_VOLTAGE),0)</f>
        <v>67</v>
      </c>
      <c r="H36" s="9" t="str">
        <f>IF(G36&lt;&gt;"",IF(C36="float32",FLOAT2HEX(G36),DEC2HEX(G36,8)),"")</f>
        <v>00000043</v>
      </c>
      <c r="I36" s="9">
        <f t="shared" si="0"/>
        <v>67</v>
      </c>
    </row>
    <row r="37" spans="1:9" ht="15" customHeight="1" x14ac:dyDescent="0.25">
      <c r="A37" s="81">
        <f>IF(I37&lt;&gt;"",MAX(A$1:A36)+1,"")</f>
        <v>26</v>
      </c>
      <c r="B37" s="45" t="s">
        <v>80</v>
      </c>
      <c r="C37" t="s">
        <v>57</v>
      </c>
      <c r="D37">
        <f t="shared" si="2"/>
        <v>4</v>
      </c>
      <c r="E37" s="2" t="s">
        <v>685</v>
      </c>
      <c r="G37" s="55">
        <f>ROUND((DQ_SPEED_THRESHOLD_REGION_0 * (32768/BASE_SPEED_RPM)),0)</f>
        <v>28548</v>
      </c>
      <c r="H37" s="9" t="str">
        <f>IF(G37&lt;&gt;"",IF(C37="float32",FLOAT2HEX(G37),DEC2HEX(G37,8)),"")</f>
        <v>00006F84</v>
      </c>
      <c r="I37" s="9">
        <f t="shared" si="0"/>
        <v>28548</v>
      </c>
    </row>
    <row r="38" spans="1:9" ht="15" customHeight="1" x14ac:dyDescent="0.25">
      <c r="A38" s="81">
        <f>IF(I38&lt;&gt;"",MAX(A$1:A37)+1,"")</f>
        <v>27</v>
      </c>
      <c r="B38" s="45" t="s">
        <v>72</v>
      </c>
      <c r="C38" t="s">
        <v>57</v>
      </c>
      <c r="D38">
        <f t="shared" si="2"/>
        <v>4</v>
      </c>
      <c r="E38" s="2" t="s">
        <v>686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81">
        <f>IF(I39&lt;&gt;"",MAX(A$1:A38)+1,"")</f>
        <v>28</v>
      </c>
      <c r="B39" s="45" t="s">
        <v>81</v>
      </c>
      <c r="C39" t="s">
        <v>57</v>
      </c>
      <c r="D39">
        <f t="shared" si="2"/>
        <v>4</v>
      </c>
      <c r="E39" s="2" t="s">
        <v>687</v>
      </c>
      <c r="G39" s="55">
        <f>ROUND(((DQ_TORQUE_KP_REGION_1 * BASE_TORQ * (2^15)) / BASE_VOLTAGE),0)</f>
        <v>264671</v>
      </c>
      <c r="H39" s="9" t="str">
        <f>IF(G39&lt;&gt;"",IF(C39="float32",FLOAT2HEX(G39),DEC2HEX(G39,8)),"")</f>
        <v>000409DF</v>
      </c>
      <c r="I39" s="9">
        <f t="shared" si="0"/>
        <v>264671</v>
      </c>
    </row>
    <row r="40" spans="1:9" ht="15" customHeight="1" x14ac:dyDescent="0.25">
      <c r="A40" s="81">
        <f>IF(I40&lt;&gt;"",MAX(A$1:A39)+1,"")</f>
        <v>29</v>
      </c>
      <c r="B40" s="45" t="s">
        <v>82</v>
      </c>
      <c r="C40" t="s">
        <v>57</v>
      </c>
      <c r="D40">
        <f t="shared" si="2"/>
        <v>4</v>
      </c>
      <c r="E40" s="2" t="s">
        <v>688</v>
      </c>
      <c r="G40" s="55">
        <f>ROUND(((DQ_TORQUE_KI_REGION_1 * BASE_TORQ * OBSERVER_TS * (2^15)) / BASE_VOLTAGE),0)</f>
        <v>2647</v>
      </c>
      <c r="H40" s="9" t="str">
        <f>IF(G40&lt;&gt;"",IF(C40="float32",FLOAT2HEX(G40),DEC2HEX(G40,8)),"")</f>
        <v>00000A57</v>
      </c>
      <c r="I40" s="9">
        <f t="shared" si="0"/>
        <v>2647</v>
      </c>
    </row>
    <row r="41" spans="1:9" ht="15" customHeight="1" x14ac:dyDescent="0.25">
      <c r="A41" s="81">
        <f>IF(I41&lt;&gt;"",MAX(A$1:A40)+1,"")</f>
        <v>30</v>
      </c>
      <c r="B41" s="45" t="s">
        <v>83</v>
      </c>
      <c r="C41" t="s">
        <v>57</v>
      </c>
      <c r="D41">
        <f t="shared" si="2"/>
        <v>4</v>
      </c>
      <c r="E41" s="2" t="s">
        <v>689</v>
      </c>
      <c r="G41" s="55">
        <f>ROUND(((DQ_FLUX_KP_REGION_1 * BASE_FLUX * (2^15)) / BASE_VOLTAGE),0)</f>
        <v>286208</v>
      </c>
      <c r="H41" s="9" t="str">
        <f>IF(G41&lt;&gt;"",IF(C41="float32",FLOAT2HEX(G41),DEC2HEX(G41,8)),"")</f>
        <v>00045E00</v>
      </c>
      <c r="I41" s="9">
        <f t="shared" si="0"/>
        <v>286208</v>
      </c>
    </row>
    <row r="42" spans="1:9" ht="15" customHeight="1" x14ac:dyDescent="0.25">
      <c r="A42" s="81">
        <f>IF(I42&lt;&gt;"",MAX(A$1:A41)+1,"")</f>
        <v>31</v>
      </c>
      <c r="B42" s="45" t="s">
        <v>84</v>
      </c>
      <c r="C42" t="s">
        <v>57</v>
      </c>
      <c r="D42">
        <f t="shared" si="2"/>
        <v>4</v>
      </c>
      <c r="E42" s="2" t="s">
        <v>690</v>
      </c>
      <c r="G42" s="55">
        <f>ROUND(((DQ_FLUX_KI_REGION_1  * BASE_FLUX * OBSERVER_TS * (2^15)) / BASE_VOLTAGE),0)</f>
        <v>4025</v>
      </c>
      <c r="H42" s="9" t="str">
        <f>IF(G42&lt;&gt;"",IF(C42="float32",FLOAT2HEX(G42),DEC2HEX(G42,8)),"")</f>
        <v>00000FB9</v>
      </c>
      <c r="I42" s="9">
        <f t="shared" si="0"/>
        <v>4025</v>
      </c>
    </row>
    <row r="43" spans="1:9" ht="15" customHeight="1" x14ac:dyDescent="0.25">
      <c r="A43" s="81">
        <f>IF(I43&lt;&gt;"",MAX(A$1:A42)+1,"")</f>
        <v>32</v>
      </c>
      <c r="B43" s="45" t="s">
        <v>85</v>
      </c>
      <c r="C43" t="s">
        <v>57</v>
      </c>
      <c r="D43">
        <f t="shared" si="2"/>
        <v>4</v>
      </c>
      <c r="E43" s="2" t="s">
        <v>691</v>
      </c>
      <c r="G43" s="55">
        <f>ROUND((DQ_SPEED_THRESHOLD_REGION_1 * (32768/BASE_SPEED_RPM)),0)</f>
        <v>209801</v>
      </c>
      <c r="H43" s="9" t="str">
        <f>IF(G43&lt;&gt;"",IF(C43="float32",FLOAT2HEX(G43),DEC2HEX(G43,8)),"")</f>
        <v>00033389</v>
      </c>
      <c r="I43" s="9">
        <f t="shared" si="0"/>
        <v>209801</v>
      </c>
    </row>
    <row r="44" spans="1:9" ht="15" customHeight="1" x14ac:dyDescent="0.25">
      <c r="A44" s="81">
        <f>IF(I44&lt;&gt;"",MAX(A$1:A43)+1,"")</f>
        <v>33</v>
      </c>
      <c r="B44" s="45" t="s">
        <v>73</v>
      </c>
      <c r="C44" t="s">
        <v>57</v>
      </c>
      <c r="D44">
        <f t="shared" si="2"/>
        <v>4</v>
      </c>
      <c r="E44" s="2" t="s">
        <v>692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81">
        <f>IF(I45&lt;&gt;"",MAX(A$1:A44)+1,"")</f>
        <v>34</v>
      </c>
      <c r="B45" s="45" t="s">
        <v>86</v>
      </c>
      <c r="C45" t="s">
        <v>57</v>
      </c>
      <c r="D45">
        <f t="shared" si="2"/>
        <v>4</v>
      </c>
      <c r="E45" s="61" t="s">
        <v>693</v>
      </c>
      <c r="G45" s="55">
        <f>ROUND(((DQ_TORQUE_KP_REGION_2 * BASE_TORQ * (2^15)) / BASE_VOLTAGE),0)</f>
        <v>264671</v>
      </c>
      <c r="H45" s="9" t="str">
        <f>IF(G45&lt;&gt;"",IF(C45="float32",FLOAT2HEX(G45),DEC2HEX(G45,8)),"")</f>
        <v>000409DF</v>
      </c>
      <c r="I45" s="9">
        <f t="shared" si="0"/>
        <v>264671</v>
      </c>
    </row>
    <row r="46" spans="1:9" ht="15" customHeight="1" x14ac:dyDescent="0.25">
      <c r="A46" s="81">
        <f>IF(I46&lt;&gt;"",MAX(A$1:A45)+1,"")</f>
        <v>35</v>
      </c>
      <c r="B46" s="45" t="s">
        <v>87</v>
      </c>
      <c r="C46" t="s">
        <v>57</v>
      </c>
      <c r="D46">
        <f t="shared" si="2"/>
        <v>4</v>
      </c>
      <c r="E46" s="2" t="s">
        <v>694</v>
      </c>
      <c r="G46" s="55">
        <f>ROUND(((DQ_TORQUE_KI_REGION_2 * BASE_TORQ * OBSERVER_TS * (2^15)) / BASE_VOLTAGE),0)</f>
        <v>2647</v>
      </c>
      <c r="H46" s="9" t="str">
        <f>IF(G46&lt;&gt;"",IF(C46="float32",FLOAT2HEX(G46),DEC2HEX(G46,8)),"")</f>
        <v>00000A57</v>
      </c>
      <c r="I46" s="9">
        <f t="shared" si="0"/>
        <v>2647</v>
      </c>
    </row>
    <row r="47" spans="1:9" ht="15" customHeight="1" x14ac:dyDescent="0.25">
      <c r="A47" s="81">
        <f>IF(I47&lt;&gt;"",MAX(A$1:A46)+1,"")</f>
        <v>36</v>
      </c>
      <c r="B47" s="45" t="s">
        <v>88</v>
      </c>
      <c r="C47" t="s">
        <v>57</v>
      </c>
      <c r="D47">
        <f t="shared" si="2"/>
        <v>4</v>
      </c>
      <c r="E47" s="2" t="s">
        <v>695</v>
      </c>
      <c r="G47" s="55">
        <f>ROUND(((DQ_FLUX_KP_REGION_2 * BASE_FLUX * (2^15)) / BASE_VOLTAGE),0)</f>
        <v>286208</v>
      </c>
      <c r="H47" s="9" t="str">
        <f>IF(G47&lt;&gt;"",IF(C47="float32",FLOAT2HEX(G47),DEC2HEX(G47,8)),"")</f>
        <v>00045E00</v>
      </c>
      <c r="I47" s="9">
        <f t="shared" si="0"/>
        <v>286208</v>
      </c>
    </row>
    <row r="48" spans="1:9" ht="15" customHeight="1" x14ac:dyDescent="0.25">
      <c r="A48" s="81">
        <f>IF(I48&lt;&gt;"",MAX(A$1:A47)+1,"")</f>
        <v>37</v>
      </c>
      <c r="B48" s="45" t="s">
        <v>89</v>
      </c>
      <c r="C48" t="s">
        <v>57</v>
      </c>
      <c r="D48">
        <f t="shared" si="2"/>
        <v>4</v>
      </c>
      <c r="E48" s="2" t="s">
        <v>696</v>
      </c>
      <c r="G48" s="55">
        <f>ROUND(((DQ_FLUX_KI_REGION_2  * BASE_FLUX * OBSERVER_TS * (2^15)) / BASE_VOLTAGE),0)</f>
        <v>4025</v>
      </c>
      <c r="H48" s="9" t="str">
        <f>IF(G48&lt;&gt;"",IF(C48="float32",FLOAT2HEX(G48),DEC2HEX(G48,8)),"")</f>
        <v>00000FB9</v>
      </c>
      <c r="I48" s="9">
        <f t="shared" si="0"/>
        <v>4025</v>
      </c>
    </row>
    <row r="49" spans="1:21" ht="15" customHeight="1" x14ac:dyDescent="0.25">
      <c r="A49" s="81">
        <f>IF(I49&lt;&gt;"",MAX(A$1:A48)+1,"")</f>
        <v>38</v>
      </c>
      <c r="B49" s="45" t="s">
        <v>90</v>
      </c>
      <c r="C49" t="s">
        <v>57</v>
      </c>
      <c r="D49">
        <f t="shared" si="2"/>
        <v>4</v>
      </c>
      <c r="E49" s="2" t="s">
        <v>697</v>
      </c>
      <c r="G49" s="55">
        <f>ROUND((DQ_SPEED_THRESHOLD_REGION_2 * (32768/BASE_SPEED_RPM)),0)</f>
        <v>299716</v>
      </c>
      <c r="H49" s="9" t="str">
        <f>IF(G49&lt;&gt;"",IF(C49="float32",FLOAT2HEX(G49),DEC2HEX(G49,8)),"")</f>
        <v>000492C4</v>
      </c>
      <c r="I49" s="9">
        <f t="shared" si="0"/>
        <v>299716</v>
      </c>
    </row>
    <row r="50" spans="1:21" ht="15" customHeight="1" x14ac:dyDescent="0.25">
      <c r="A50" s="81">
        <f>IF(I50&lt;&gt;"",MAX(A$1:A49)+1,"")</f>
        <v>39</v>
      </c>
      <c r="B50" s="45" t="s">
        <v>74</v>
      </c>
      <c r="C50" t="s">
        <v>57</v>
      </c>
      <c r="D50">
        <f t="shared" si="2"/>
        <v>4</v>
      </c>
      <c r="E50" s="2" t="s">
        <v>698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81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81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81">
        <f>IF(I53&lt;&gt;"",MAX(A$1:A52)+1,"")</f>
        <v>40</v>
      </c>
      <c r="B53" s="45" t="s">
        <v>96</v>
      </c>
      <c r="C53" t="s">
        <v>57</v>
      </c>
      <c r="D53">
        <f t="shared" ref="D53:D63" si="3">IF(OR(C53="sint64",C53="uint64",C53="double64"), 8, IF(OR(C53="sint32",C53="uint32",C53="float32"),4,IF(OR(C53="sint16",C53="uint16"),2,  IF(OR(C53="sint8",C53="uint8"),1,""))))</f>
        <v>4</v>
      </c>
      <c r="E53" s="2" t="s">
        <v>608</v>
      </c>
      <c r="G53" s="11">
        <f>ROUND(((ROTOR_LAMBDAM * 32768)/BASE_FLUX),0)</f>
        <v>9907</v>
      </c>
      <c r="H53" s="9" t="str">
        <f>IF(G53&lt;&gt;"",IF(C53="float32",FLOAT2HEX(G53),DEC2HEX(G53,8)),"")</f>
        <v>000026B3</v>
      </c>
      <c r="I53" s="9">
        <f t="shared" si="0"/>
        <v>9907</v>
      </c>
    </row>
    <row r="54" spans="1:21" ht="15" customHeight="1" x14ac:dyDescent="0.25">
      <c r="A54" s="96">
        <f>IF(I54&lt;&gt;"",MAX(A$1:A53)+1,"")</f>
        <v>41</v>
      </c>
      <c r="B54" s="45" t="s">
        <v>97</v>
      </c>
      <c r="C54" t="s">
        <v>57</v>
      </c>
      <c r="D54">
        <f t="shared" si="3"/>
        <v>4</v>
      </c>
      <c r="E54" s="2" t="s">
        <v>699</v>
      </c>
      <c r="G54" s="11">
        <f>ROUND((DQ_CONTROLLER_MAX_FLUX/100*32768),0)</f>
        <v>31130</v>
      </c>
      <c r="H54" s="94" t="str">
        <f>IF(G54&lt;&gt;"",IF(C54="float32",FLOAT2HEX(G54),DEC2HEX(G54,8)),"")</f>
        <v>0000799A</v>
      </c>
      <c r="I54" s="94">
        <f t="shared" si="0"/>
        <v>31130</v>
      </c>
    </row>
    <row r="55" spans="1:21" ht="15" customHeight="1" x14ac:dyDescent="0.25">
      <c r="A55" s="96">
        <f>IF(I55&lt;&gt;"",MAX(A$1:A54)+1,"")</f>
        <v>42</v>
      </c>
      <c r="B55" s="45" t="s">
        <v>98</v>
      </c>
      <c r="C55" t="s">
        <v>63</v>
      </c>
      <c r="D55">
        <f t="shared" si="3"/>
        <v>4</v>
      </c>
      <c r="E55" s="2" t="s">
        <v>700</v>
      </c>
      <c r="G55" s="11">
        <f>((DQ_STARTING_TIME / DQ_CONTROLLER_TS))</f>
        <v>8000</v>
      </c>
      <c r="H55" s="94" t="str">
        <f>IF(G55&lt;&gt;"",IF(C55="float32",FLOAT2HEX(G55),DEC2HEX(G55,8)),"")</f>
        <v>00001F40</v>
      </c>
      <c r="I55" s="94">
        <f t="shared" si="0"/>
        <v>8000</v>
      </c>
    </row>
    <row r="56" spans="1:21" ht="15" customHeight="1" x14ac:dyDescent="0.25">
      <c r="A56" s="96">
        <f>IF(I56&lt;&gt;"",MAX(A$1:A55)+1,"")</f>
        <v>43</v>
      </c>
      <c r="B56" s="45" t="s">
        <v>95</v>
      </c>
      <c r="C56" s="60" t="s">
        <v>63</v>
      </c>
      <c r="D56">
        <f t="shared" si="3"/>
        <v>4</v>
      </c>
      <c r="E56" s="89" t="s">
        <v>701</v>
      </c>
      <c r="G56" s="11">
        <f>(DQ_CONTROLLER_OVER_FLUX_DECREMENT/BASE_FLUX*32768)</f>
        <v>2</v>
      </c>
      <c r="H56" s="94" t="str">
        <f>IF(G56&lt;&gt;"",IF(C56="float32",FLOAT2HEX(G56),DEC2HEX(G56,8)),"")</f>
        <v>00000002</v>
      </c>
      <c r="I56" s="94">
        <f t="shared" si="0"/>
        <v>2</v>
      </c>
    </row>
    <row r="57" spans="1:21" s="75" customFormat="1" ht="15" customHeight="1" x14ac:dyDescent="0.25">
      <c r="A57" s="96">
        <f>IF(I57&lt;&gt;"",MAX(A$1:A56)+1,"")</f>
        <v>44</v>
      </c>
      <c r="B57" s="85" t="s">
        <v>1136</v>
      </c>
      <c r="C57" s="83" t="s">
        <v>57</v>
      </c>
      <c r="D57" s="75">
        <f t="shared" si="3"/>
        <v>4</v>
      </c>
      <c r="E57" s="89" t="s">
        <v>1142</v>
      </c>
      <c r="G57" s="77">
        <f>ROUND(SPEED_OVERFLUX_THRESHOLD * 32768/BASE_SPEED_RPM,0)</f>
        <v>525</v>
      </c>
      <c r="H57" s="94" t="str">
        <f>IF(G57&lt;&gt;"",IF(C57="float32",FLOAT2HEX(G57),DEC2HEX(G57,8)),"")</f>
        <v>0000020D</v>
      </c>
      <c r="I57" s="94">
        <f t="shared" si="0"/>
        <v>525</v>
      </c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</row>
    <row r="58" spans="1:21" s="75" customFormat="1" ht="15" customHeight="1" x14ac:dyDescent="0.25">
      <c r="A58" s="96">
        <f>IF(I58&lt;&gt;"",MAX(A$1:A57)+1,"")</f>
        <v>45</v>
      </c>
      <c r="B58" s="86" t="s">
        <v>1137</v>
      </c>
      <c r="C58" s="83" t="s">
        <v>57</v>
      </c>
      <c r="D58" s="75">
        <f t="shared" si="3"/>
        <v>4</v>
      </c>
      <c r="E58" s="89" t="s">
        <v>1145</v>
      </c>
      <c r="G58" s="77">
        <f>ROUND(OVERFLUX_FACTOR/100 * 32768,0)</f>
        <v>36700</v>
      </c>
      <c r="H58" s="94" t="str">
        <f>IF(G58&lt;&gt;"",IF(C58="float32",FLOAT2HEX(G58),DEC2HEX(G58,8)),"")</f>
        <v>00008F5C</v>
      </c>
      <c r="I58" s="94">
        <f t="shared" si="0"/>
        <v>36700</v>
      </c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</row>
    <row r="59" spans="1:21" ht="15" customHeight="1" x14ac:dyDescent="0.25">
      <c r="A59" s="96">
        <f>IF(I59&lt;&gt;"",MAX(A$1:A58)+1,"")</f>
        <v>46</v>
      </c>
      <c r="B59" s="73" t="s">
        <v>99</v>
      </c>
      <c r="C59" t="s">
        <v>57</v>
      </c>
      <c r="D59">
        <f t="shared" si="3"/>
        <v>4</v>
      </c>
      <c r="E59" s="61" t="s">
        <v>702</v>
      </c>
      <c r="G59" s="11">
        <f>ROUND((DQ_CONTROLLER_MAX_INPUT_VOLT_FACTOR/100*32768),0)</f>
        <v>30802</v>
      </c>
      <c r="H59" s="94" t="str">
        <f>IF(G59&lt;&gt;"",IF(C59="float32",FLOAT2HEX(G59),DEC2HEX(G59,8)),"")</f>
        <v>00007852</v>
      </c>
      <c r="I59" s="94">
        <f t="shared" si="0"/>
        <v>30802</v>
      </c>
    </row>
    <row r="60" spans="1:21" s="88" customFormat="1" ht="15" customHeight="1" x14ac:dyDescent="0.25">
      <c r="A60" s="96">
        <f>IF(I60&lt;&gt;"",MAX(A$1:A59)+1,"")</f>
        <v>47</v>
      </c>
      <c r="B60" s="97" t="s">
        <v>1149</v>
      </c>
      <c r="C60" s="88" t="s">
        <v>57</v>
      </c>
      <c r="D60" s="88">
        <f t="shared" si="3"/>
        <v>4</v>
      </c>
      <c r="E60" s="89" t="s">
        <v>1151</v>
      </c>
      <c r="G60" s="95">
        <f>ROUND(DQREF_MAX_SPEED_DROP_FACTOR,0)</f>
        <v>15490</v>
      </c>
      <c r="H60" s="94" t="str">
        <f>IF(G60&lt;&gt;"",IF(C60="float32",FLOAT2HEX(G60),DEC2HEX(G60,8)),"")</f>
        <v>00003C82</v>
      </c>
      <c r="I60" s="94">
        <f t="shared" ref="I60:I71" si="4">IF(G60&lt;&gt;"",HEX2DEC(H60),"")</f>
        <v>15490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</row>
    <row r="61" spans="1:21" s="88" customFormat="1" ht="15" customHeight="1" x14ac:dyDescent="0.25">
      <c r="A61" s="96">
        <f>IF(I61&lt;&gt;"",MAX(A$1:A60)+1,"")</f>
        <v>48</v>
      </c>
      <c r="B61" s="97" t="s">
        <v>1150</v>
      </c>
      <c r="C61" s="88" t="s">
        <v>57</v>
      </c>
      <c r="D61" s="88">
        <f t="shared" si="3"/>
        <v>4</v>
      </c>
      <c r="E61" s="89" t="s">
        <v>1155</v>
      </c>
      <c r="G61" s="95">
        <f>ROUND(DQREF_MIN_AVAILABLE_VOLT_FACTOR/100*32768,0)</f>
        <v>30802</v>
      </c>
      <c r="H61" s="94" t="str">
        <f>IF(G61&lt;&gt;"",IF(C61="float32",FLOAT2HEX(G61),DEC2HEX(G61,8)),"")</f>
        <v>00007852</v>
      </c>
      <c r="I61" s="94">
        <f t="shared" si="4"/>
        <v>30802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</row>
    <row r="62" spans="1:21" s="75" customFormat="1" ht="15" customHeight="1" x14ac:dyDescent="0.25">
      <c r="A62" s="96">
        <f>IF(I62&lt;&gt;"",MAX(A$1:A61)+1,"")</f>
        <v>49</v>
      </c>
      <c r="B62" s="87" t="s">
        <v>1138</v>
      </c>
      <c r="C62" s="83" t="s">
        <v>57</v>
      </c>
      <c r="D62" s="75">
        <f t="shared" si="3"/>
        <v>4</v>
      </c>
      <c r="E62" s="89" t="s">
        <v>1156</v>
      </c>
      <c r="G62" s="77">
        <f>ROUND(DQREF_SPEED_DROP_FACTOR,0)</f>
        <v>15488</v>
      </c>
      <c r="H62" s="94" t="str">
        <f>IF(G62&lt;&gt;"",IF(C62="float32",FLOAT2HEX(G62),DEC2HEX(G62,8)),"")</f>
        <v>00003C80</v>
      </c>
      <c r="I62" s="94">
        <f t="shared" si="4"/>
        <v>15488</v>
      </c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</row>
    <row r="63" spans="1:21" ht="15" customHeight="1" x14ac:dyDescent="0.25">
      <c r="A63" s="96">
        <f>IF(I63&lt;&gt;"",MAX(A$1:A62)+1,"")</f>
        <v>50</v>
      </c>
      <c r="B63" s="73" t="s">
        <v>1110</v>
      </c>
      <c r="C63" t="s">
        <v>57</v>
      </c>
      <c r="D63" s="20">
        <f t="shared" si="3"/>
        <v>4</v>
      </c>
      <c r="E63" s="2" t="s">
        <v>608</v>
      </c>
      <c r="G63" s="11">
        <f>ROUND((((ROTOR_LAMBDAM * 32768)/BASE_FLUX)),0)</f>
        <v>9907</v>
      </c>
      <c r="H63" s="94" t="str">
        <f>IF(G63&lt;&gt;"",IF(C63="float32",FLOAT2HEX(G63),DEC2HEX(G63,8)),"")</f>
        <v>000026B3</v>
      </c>
      <c r="I63" s="94">
        <f t="shared" si="4"/>
        <v>9907</v>
      </c>
    </row>
    <row r="64" spans="1:21" s="60" customFormat="1" ht="15" customHeight="1" x14ac:dyDescent="0.25">
      <c r="A64" s="96">
        <f>IF(I64&lt;&gt;"",MAX(A$1:A63)+1,"")</f>
        <v>51</v>
      </c>
      <c r="B64" s="73" t="s">
        <v>1113</v>
      </c>
      <c r="C64" s="60" t="s">
        <v>57</v>
      </c>
      <c r="D64" s="68">
        <f t="shared" ref="D64:D70" si="5">IF(OR(C64="sint64",C64="uint64",C64="double64"), 8, IF(OR(C64="sint32",C64="uint32",C64="float32"),4,IF(OR(C64="sint16",C64="uint16"),2,  IF(OR(C64="sint8",C64="uint8"),1,""))))</f>
        <v>4</v>
      </c>
      <c r="E64" s="61" t="s">
        <v>1114</v>
      </c>
      <c r="G64" s="66">
        <f>ROUND((1/OBSERVER_TS)*FLUX_REF_SCALE_TIME,0)</f>
        <v>12000</v>
      </c>
      <c r="H64" s="94" t="str">
        <f>IF(G64&lt;&gt;"",IF(C64="float32",FLOAT2HEX(G64),DEC2HEX(G64,8)),"")</f>
        <v>00002EE0</v>
      </c>
      <c r="I64" s="94">
        <f t="shared" si="4"/>
        <v>12000</v>
      </c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</row>
    <row r="65" spans="1:21" s="75" customFormat="1" ht="15" customHeight="1" x14ac:dyDescent="0.25">
      <c r="A65" s="96">
        <f>IF(I65&lt;&gt;"",MAX(A$1:A64)+1,"")</f>
        <v>52</v>
      </c>
      <c r="B65" s="98" t="s">
        <v>1139</v>
      </c>
      <c r="C65" s="83" t="s">
        <v>57</v>
      </c>
      <c r="D65" s="84">
        <f t="shared" si="5"/>
        <v>4</v>
      </c>
      <c r="E65" s="89" t="s">
        <v>1146</v>
      </c>
      <c r="F65" s="88"/>
      <c r="G65" s="95">
        <f>ROUND(SBPM_SPEED_OVERFULX_THRESHOLD * 32768 / BASE_SPEED_RPM,0)</f>
        <v>5620</v>
      </c>
      <c r="H65" s="94" t="str">
        <f>IF(G65&lt;&gt;"",IF(C65="float32",FLOAT2HEX(G65),DEC2HEX(G65,8)),"")</f>
        <v>000015F4</v>
      </c>
      <c r="I65" s="94">
        <f t="shared" si="4"/>
        <v>5620</v>
      </c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</row>
    <row r="66" spans="1:21" s="75" customFormat="1" ht="15" customHeight="1" x14ac:dyDescent="0.25">
      <c r="A66" s="96">
        <f>IF(I66&lt;&gt;"",MAX(A$1:A65)+1,"")</f>
        <v>53</v>
      </c>
      <c r="B66" s="98" t="s">
        <v>1140</v>
      </c>
      <c r="C66" s="83" t="s">
        <v>57</v>
      </c>
      <c r="D66" s="84">
        <f t="shared" si="5"/>
        <v>4</v>
      </c>
      <c r="E66" s="89" t="s">
        <v>1147</v>
      </c>
      <c r="F66" s="88"/>
      <c r="G66" s="95">
        <f>ROUND(SBPM_OVERFLUX_FACTOR/100 * 32768,0)</f>
        <v>3277</v>
      </c>
      <c r="H66" s="94" t="str">
        <f>IF(G66&lt;&gt;"",IF(C66="float32",FLOAT2HEX(G66),DEC2HEX(G66,8)),"")</f>
        <v>00000CCD</v>
      </c>
      <c r="I66" s="94">
        <f t="shared" si="4"/>
        <v>3277</v>
      </c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</row>
    <row r="67" spans="1:21" s="75" customFormat="1" ht="15" customHeight="1" x14ac:dyDescent="0.25">
      <c r="A67" s="96">
        <f>IF(I67&lt;&gt;"",MAX(A$1:A66)+1,"")</f>
        <v>54</v>
      </c>
      <c r="B67" s="98" t="s">
        <v>1141</v>
      </c>
      <c r="C67" s="83" t="s">
        <v>57</v>
      </c>
      <c r="D67" s="84">
        <f t="shared" si="5"/>
        <v>4</v>
      </c>
      <c r="E67" s="89" t="s">
        <v>1148</v>
      </c>
      <c r="G67" s="77">
        <f>ROUND((SBPM_MIN_OVERFLUX_FACTOR/100 * 32768),0)</f>
        <v>3277</v>
      </c>
      <c r="H67" s="94" t="str">
        <f>IF(G67&lt;&gt;"",IF(C67="float32",FLOAT2HEX(G67),DEC2HEX(G67,8)),"")</f>
        <v>00000CCD</v>
      </c>
      <c r="I67" s="94">
        <f t="shared" si="4"/>
        <v>3277</v>
      </c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</row>
    <row r="68" spans="1:21" s="103" customFormat="1" ht="15" customHeight="1" x14ac:dyDescent="0.25">
      <c r="A68" s="96">
        <f>IF(I68&lt;&gt;"",MAX(A$1:A67)+1,"")</f>
        <v>55</v>
      </c>
      <c r="B68" s="98" t="s">
        <v>3138</v>
      </c>
      <c r="C68" s="103" t="s">
        <v>57</v>
      </c>
      <c r="D68" s="84">
        <f t="shared" si="5"/>
        <v>4</v>
      </c>
      <c r="E68" s="89" t="s">
        <v>3141</v>
      </c>
      <c r="G68" s="95">
        <f>ROUND((K_TORQUE_ERROR * BASE_TORQ * 32768),0)</f>
        <v>261989</v>
      </c>
      <c r="H68" s="94" t="str">
        <f>IF(G68&lt;&gt;"",IF(C68="float32",FLOAT2HEX(G68),DEC2HEX(G68,8)),"")</f>
        <v>0003FF65</v>
      </c>
      <c r="I68" s="94">
        <f t="shared" ref="I68" si="6">IF(G68&lt;&gt;"",HEX2DEC(H68),"")</f>
        <v>261989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</row>
    <row r="69" spans="1:21" s="103" customFormat="1" ht="15" customHeight="1" x14ac:dyDescent="0.25">
      <c r="A69" s="96">
        <f>IF(I69&lt;&gt;"",MAX(A$1:A68)+1,"")</f>
        <v>56</v>
      </c>
      <c r="B69" s="98" t="s">
        <v>3139</v>
      </c>
      <c r="C69" s="103" t="s">
        <v>57</v>
      </c>
      <c r="D69" s="84">
        <f t="shared" si="5"/>
        <v>4</v>
      </c>
      <c r="E69" s="89" t="s">
        <v>3140</v>
      </c>
      <c r="G69" s="95">
        <f>ROUND((TORQUE_ERROR_SAT * 32768),0)</f>
        <v>16384</v>
      </c>
      <c r="H69" s="94" t="str">
        <f>IF(G69&lt;&gt;"",IF(C69="float32",FLOAT2HEX(G69),DEC2HEX(G69,8)),"")</f>
        <v>00004000</v>
      </c>
      <c r="I69" s="94">
        <f t="shared" ref="I69:I70" si="7">IF(G69&lt;&gt;"",HEX2DEC(H69),"")</f>
        <v>16384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</row>
    <row r="70" spans="1:21" s="103" customFormat="1" ht="15" customHeight="1" x14ac:dyDescent="0.25">
      <c r="A70" s="96">
        <f>IF(I70&lt;&gt;"",MAX(A$1:A69)+1,"")</f>
        <v>57</v>
      </c>
      <c r="B70" s="98" t="s">
        <v>3131</v>
      </c>
      <c r="C70" s="103" t="s">
        <v>57</v>
      </c>
      <c r="D70" s="84">
        <f t="shared" si="5"/>
        <v>4</v>
      </c>
      <c r="E70" s="89" t="s">
        <v>3132</v>
      </c>
      <c r="G70" s="95">
        <f>ROUND((M_INDEX_REF/100 * 32768),0)</f>
        <v>32113</v>
      </c>
      <c r="H70" s="94" t="str">
        <f>IF(G70&lt;&gt;"",IF(C70="float32",FLOAT2HEX(G70),DEC2HEX(G70,8)),"")</f>
        <v>00007D71</v>
      </c>
      <c r="I70" s="94">
        <f t="shared" si="7"/>
        <v>32113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</row>
    <row r="71" spans="1:21" ht="15" customHeight="1" x14ac:dyDescent="0.25">
      <c r="A71" s="96" t="str">
        <f>IF(I71&lt;&gt;"",MAX(A$1:A70)+1,"")</f>
        <v/>
      </c>
      <c r="B71" s="45"/>
      <c r="G71" s="11"/>
      <c r="H71" s="94" t="str">
        <f>IF(G71&lt;&gt;"",IF(C71="float32",FLOAT2HEX(G71),DEC2HEX(G71,8)),"")</f>
        <v/>
      </c>
      <c r="I71" s="94" t="str">
        <f t="shared" si="4"/>
        <v/>
      </c>
    </row>
    <row r="72" spans="1:21" s="9" customFormat="1" ht="20.100000000000001" customHeight="1" x14ac:dyDescent="0.25">
      <c r="A72" s="96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 x14ac:dyDescent="0.25">
      <c r="A73" s="96">
        <f>IF(I73&lt;&gt;"",MAX(A$1:A72)+1,"")</f>
        <v>58</v>
      </c>
      <c r="B73" s="46" t="s">
        <v>432</v>
      </c>
      <c r="C73" t="s">
        <v>57</v>
      </c>
      <c r="D73">
        <f t="shared" ref="D73:D80" si="8">IF(OR(C73="sint64",C73="uint64",C73="double64"), 8, IF(OR(C73="sint32",C73="uint32",C73="float32"),4,IF(OR(C73="sint16",C73="uint16"),2,  IF(OR(C73="sint8",C73="uint8"),1,""))))</f>
        <v>4</v>
      </c>
      <c r="E73" s="2" t="s">
        <v>703</v>
      </c>
      <c r="G73" s="11">
        <f>ROUND(((ALGO_RUNNING_MIN_SPEED_2_IGBTS_OFF * 32768)/BASE_SPEED_RPM),0)</f>
        <v>10250</v>
      </c>
      <c r="H73" s="9" t="str">
        <f>IF(G73&lt;&gt;"",IF(C73="float32",FLOAT2HEX(G73),DEC2HEX(G73,8)),"")</f>
        <v>0000280A</v>
      </c>
      <c r="I73" s="9">
        <f t="shared" si="0"/>
        <v>10250</v>
      </c>
    </row>
    <row r="74" spans="1:21" ht="15" customHeight="1" x14ac:dyDescent="0.25">
      <c r="A74" s="96">
        <f>IF(I74&lt;&gt;"",MAX(A$1:A73)+1,"")</f>
        <v>59</v>
      </c>
      <c r="B74" s="46" t="s">
        <v>433</v>
      </c>
      <c r="C74" t="s">
        <v>57</v>
      </c>
      <c r="D74">
        <f t="shared" si="8"/>
        <v>4</v>
      </c>
      <c r="E74" s="2" t="s">
        <v>704</v>
      </c>
      <c r="G74" s="11">
        <f>ROUND(((ALGO_RUNNING_MIN_SPEED_BEFORE_STOPPING * 32768)/BASE_SPEED_RPM),0)</f>
        <v>3417</v>
      </c>
      <c r="H74" s="9" t="str">
        <f>IF(G74&lt;&gt;"",IF(C74="float32",FLOAT2HEX(G74),DEC2HEX(G74,8)),"")</f>
        <v>00000D59</v>
      </c>
      <c r="I74" s="9">
        <f t="shared" si="0"/>
        <v>3417</v>
      </c>
    </row>
    <row r="75" spans="1:21" ht="15" customHeight="1" x14ac:dyDescent="0.25">
      <c r="A75" s="96">
        <f>IF(I75&lt;&gt;"",MAX(A$1:A74)+1,"")</f>
        <v>60</v>
      </c>
      <c r="B75" s="45" t="s">
        <v>434</v>
      </c>
      <c r="C75" t="s">
        <v>63</v>
      </c>
      <c r="D75">
        <f t="shared" si="8"/>
        <v>4</v>
      </c>
      <c r="E75" s="2" t="s">
        <v>705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 x14ac:dyDescent="0.25">
      <c r="A76" s="96">
        <f>IF(I76&lt;&gt;"",MAX(A$1:A75)+1,"")</f>
        <v>61</v>
      </c>
      <c r="B76" s="45" t="s">
        <v>435</v>
      </c>
      <c r="C76" t="s">
        <v>63</v>
      </c>
      <c r="D76">
        <f t="shared" si="8"/>
        <v>4</v>
      </c>
      <c r="E76" s="89" t="s">
        <v>706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60" customFormat="1" ht="15" customHeight="1" x14ac:dyDescent="0.25">
      <c r="A77" s="96">
        <f>IF(I77&lt;&gt;"",MAX(A$1:A76)+1,"")</f>
        <v>62</v>
      </c>
      <c r="B77" s="70" t="s">
        <v>1116</v>
      </c>
      <c r="C77" s="60" t="s">
        <v>63</v>
      </c>
      <c r="D77" s="60">
        <f t="shared" si="8"/>
        <v>4</v>
      </c>
      <c r="E77" s="61" t="s">
        <v>1122</v>
      </c>
      <c r="G77" s="66">
        <f>ROUND((ALGO_RUNNING_LOCKED_ROTOR_START_OR_RUNNING * 2 * MCL_INPUT_CALL_RATE_HZ), 0)</f>
        <v>64000</v>
      </c>
      <c r="H77" s="65" t="str">
        <f>IF(G77&lt;&gt;"",IF(C77="float32",FLOAT2HEX(G77),DEC2HEX(G77,8)),"")</f>
        <v>0000FA00</v>
      </c>
      <c r="I77" s="65">
        <f t="shared" ref="I77:I80" si="9">IF(G77&lt;&gt;"",HEX2DEC(H77),"")</f>
        <v>64000</v>
      </c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</row>
    <row r="78" spans="1:21" s="60" customFormat="1" ht="15" customHeight="1" x14ac:dyDescent="0.25">
      <c r="A78" s="96">
        <f>IF(I78&lt;&gt;"",MAX(A$1:A77)+1,"")</f>
        <v>63</v>
      </c>
      <c r="B78" s="70" t="s">
        <v>1117</v>
      </c>
      <c r="C78" s="60" t="s">
        <v>63</v>
      </c>
      <c r="D78" s="60">
        <f t="shared" si="8"/>
        <v>4</v>
      </c>
      <c r="E78" s="61" t="s">
        <v>1129</v>
      </c>
      <c r="G78" s="66">
        <f>ROUND((ALGO_RUNNING_LOCKED_ROTOR_STARTING_THRESHOLD / 0.005), 0)</f>
        <v>600</v>
      </c>
      <c r="H78" s="65" t="str">
        <f>IF(G78&lt;&gt;"",IF(C78="float32",FLOAT2HEX(G78),DEC2HEX(G78,8)),"")</f>
        <v>00000258</v>
      </c>
      <c r="I78" s="65">
        <f t="shared" si="9"/>
        <v>600</v>
      </c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</row>
    <row r="79" spans="1:21" s="60" customFormat="1" ht="15" customHeight="1" x14ac:dyDescent="0.25">
      <c r="A79" s="96">
        <f>IF(I79&lt;&gt;"",MAX(A$1:A78)+1,"")</f>
        <v>64</v>
      </c>
      <c r="B79" s="70" t="s">
        <v>1118</v>
      </c>
      <c r="C79" s="60" t="s">
        <v>63</v>
      </c>
      <c r="D79" s="60">
        <f t="shared" si="8"/>
        <v>4</v>
      </c>
      <c r="E79" s="61" t="s">
        <v>1130</v>
      </c>
      <c r="G79" s="66">
        <f>ROUND((ALGO_RUNNING_LOCKED_ROTOR_RUNNING_THRESHOLD / 0.005), 0)</f>
        <v>2000</v>
      </c>
      <c r="H79" s="65" t="str">
        <f>IF(G79&lt;&gt;"",IF(C79="float32",FLOAT2HEX(G79),DEC2HEX(G79,8)),"")</f>
        <v>000007D0</v>
      </c>
      <c r="I79" s="65">
        <f t="shared" si="9"/>
        <v>2000</v>
      </c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</row>
    <row r="80" spans="1:21" s="60" customFormat="1" ht="15" customHeight="1" x14ac:dyDescent="0.25">
      <c r="A80" s="96">
        <f>IF(I80&lt;&gt;"",MAX(A$1:A79)+1,"")</f>
        <v>65</v>
      </c>
      <c r="B80" s="70" t="s">
        <v>1119</v>
      </c>
      <c r="C80" s="60" t="s">
        <v>57</v>
      </c>
      <c r="D80" s="60">
        <f t="shared" si="8"/>
        <v>4</v>
      </c>
      <c r="E80" s="89" t="s">
        <v>3123</v>
      </c>
      <c r="G80" s="66">
        <f>ROUND(((ALGO_RUNNING_LOCKED_ROTOR_CURRENT_THRESHOLD*ALGO_RUNNING_LOCKED_ROTOR_CURRENT_THRESHOLD*32768*32768)/(BASE_CURRENT*BASE_CURRENT))*3/2, 0)</f>
        <v>810185756</v>
      </c>
      <c r="H80" s="65" t="str">
        <f>IF(G80&lt;&gt;"",IF(C80="float32",FLOAT2HEX(G80),DEC2HEX(G80,8)),"")</f>
        <v>304A741C</v>
      </c>
      <c r="I80" s="65">
        <f t="shared" si="9"/>
        <v>810185756</v>
      </c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</row>
    <row r="81" spans="1:21" ht="15" customHeight="1" x14ac:dyDescent="0.25">
      <c r="A81" s="96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 x14ac:dyDescent="0.25">
      <c r="A82" s="81" t="str">
        <f>IF(I82&lt;&gt;"",MAX(A$1:A81)+1,"")</f>
        <v/>
      </c>
      <c r="B82" s="44" t="s">
        <v>427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 x14ac:dyDescent="0.25">
      <c r="A83" s="81">
        <f>IF(I83&lt;&gt;"",MAX(A$1:A82)+1,"")</f>
        <v>66</v>
      </c>
      <c r="B83" s="45" t="s">
        <v>429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9" t="s">
        <v>707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 x14ac:dyDescent="0.25">
      <c r="A84" s="81">
        <f>IF(I84&lt;&gt;"",MAX(A$1:A83)+1,"")</f>
        <v>67</v>
      </c>
      <c r="B84" s="45" t="s">
        <v>430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708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81">
        <f>IF(I85&lt;&gt;"",MAX(A$1:A84)+1,"")</f>
        <v>68</v>
      </c>
      <c r="B85" s="45" t="s">
        <v>428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709</v>
      </c>
      <c r="G85">
        <f>ROUND(((ALGO_BUILD_FLUX_RATIO_2_FORCE_FLUX/100)*ROTOR_LAMBDAM)*(32768/BASE_FLUX),0)</f>
        <v>11095</v>
      </c>
      <c r="H85" s="9" t="str">
        <f>IF(G85&lt;&gt;"",IF(C85="float32",FLOAT2HEX(G85),DEC2HEX(G85,8)),"")</f>
        <v>00002B57</v>
      </c>
      <c r="I85" s="9">
        <f t="shared" si="0"/>
        <v>11095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81">
        <f>IF(I86&lt;&gt;"",MAX(A$1:A85)+1,"")</f>
        <v>69</v>
      </c>
      <c r="B86" s="45" t="s">
        <v>431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710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81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 x14ac:dyDescent="0.25">
      <c r="A88" s="81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 x14ac:dyDescent="0.25">
      <c r="A89" s="81">
        <f>IF(I89&lt;&gt;"",MAX(A$1:A88)+1,"")</f>
        <v>70</v>
      </c>
      <c r="B89" s="45" t="s">
        <v>105</v>
      </c>
      <c r="C89" t="s">
        <v>57</v>
      </c>
      <c r="D89">
        <f t="shared" ref="D89:D118" si="10">IF(OR(C89="sint64",C89="uint64",C89="double64"), 8, IF(OR(C89="sint32",C89="uint32",C89="float32"),4,IF(OR(C89="sint16",C89="uint16"),2,  IF(OR(C89="sint8",C89="uint8"),1,""))))</f>
        <v>4</v>
      </c>
      <c r="E89" s="89" t="s">
        <v>711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 x14ac:dyDescent="0.25">
      <c r="A90" s="81">
        <f>IF(I90&lt;&gt;"",MAX(A$1:A89)+1,"")</f>
        <v>71</v>
      </c>
      <c r="B90" s="45" t="s">
        <v>106</v>
      </c>
      <c r="C90" t="s">
        <v>57</v>
      </c>
      <c r="D90">
        <f t="shared" si="10"/>
        <v>4</v>
      </c>
      <c r="E90" s="2" t="s">
        <v>712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 x14ac:dyDescent="0.25">
      <c r="A91" s="81">
        <f>IF(I91&lt;&gt;"",MAX(A$1:A90)+1,"")</f>
        <v>72</v>
      </c>
      <c r="B91" s="45" t="s">
        <v>107</v>
      </c>
      <c r="C91" t="s">
        <v>57</v>
      </c>
      <c r="D91">
        <f t="shared" si="10"/>
        <v>4</v>
      </c>
      <c r="E91" s="2" t="s">
        <v>713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1">IF(G91&lt;&gt;"",HEX2DEC(H91),"")</f>
        <v>19932</v>
      </c>
    </row>
    <row r="92" spans="1:21" ht="15" customHeight="1" x14ac:dyDescent="0.25">
      <c r="A92" s="81">
        <f>IF(I92&lt;&gt;"",MAX(A$1:A91)+1,"")</f>
        <v>73</v>
      </c>
      <c r="B92" s="45" t="s">
        <v>108</v>
      </c>
      <c r="C92" t="s">
        <v>57</v>
      </c>
      <c r="D92">
        <f t="shared" si="10"/>
        <v>4</v>
      </c>
      <c r="E92" s="2" t="s">
        <v>714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1"/>
        <v>3986</v>
      </c>
    </row>
    <row r="93" spans="1:21" ht="15" customHeight="1" x14ac:dyDescent="0.25">
      <c r="A93" s="81">
        <f>IF(I93&lt;&gt;"",MAX(A$1:A92)+1,"")</f>
        <v>74</v>
      </c>
      <c r="B93" s="45" t="s">
        <v>109</v>
      </c>
      <c r="C93" t="s">
        <v>57</v>
      </c>
      <c r="D93">
        <f t="shared" si="10"/>
        <v>4</v>
      </c>
      <c r="E93" s="2" t="s">
        <v>715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1"/>
        <v>600</v>
      </c>
    </row>
    <row r="94" spans="1:21" ht="15" customHeight="1" x14ac:dyDescent="0.25">
      <c r="A94" s="81">
        <f>IF(I94&lt;&gt;"",MAX(A$1:A93)+1,"")</f>
        <v>75</v>
      </c>
      <c r="B94" s="45" t="s">
        <v>110</v>
      </c>
      <c r="C94" t="s">
        <v>57</v>
      </c>
      <c r="D94">
        <f t="shared" si="10"/>
        <v>4</v>
      </c>
      <c r="E94" s="2" t="s">
        <v>716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1"/>
        <v>600</v>
      </c>
    </row>
    <row r="95" spans="1:21" ht="15" customHeight="1" x14ac:dyDescent="0.25">
      <c r="A95" s="81">
        <f>IF(I95&lt;&gt;"",MAX(A$1:A94)+1,"")</f>
        <v>76</v>
      </c>
      <c r="B95" s="45" t="s">
        <v>111</v>
      </c>
      <c r="C95" t="s">
        <v>57</v>
      </c>
      <c r="D95">
        <f t="shared" si="10"/>
        <v>4</v>
      </c>
      <c r="E95" s="2" t="s">
        <v>717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1"/>
        <v>400</v>
      </c>
    </row>
    <row r="96" spans="1:21" ht="15" customHeight="1" x14ac:dyDescent="0.25">
      <c r="A96" s="81">
        <f>IF(I96&lt;&gt;"",MAX(A$1:A95)+1,"")</f>
        <v>77</v>
      </c>
      <c r="B96" s="45" t="s">
        <v>112</v>
      </c>
      <c r="C96" t="s">
        <v>57</v>
      </c>
      <c r="D96">
        <f t="shared" si="10"/>
        <v>4</v>
      </c>
      <c r="E96" s="2" t="s">
        <v>718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1"/>
        <v>10</v>
      </c>
    </row>
    <row r="97" spans="1:21" ht="15" customHeight="1" x14ac:dyDescent="0.25">
      <c r="A97" s="81">
        <f>IF(I97&lt;&gt;"",MAX(A$1:A96)+1,"")</f>
        <v>78</v>
      </c>
      <c r="B97" s="45" t="s">
        <v>113</v>
      </c>
      <c r="C97" t="s">
        <v>57</v>
      </c>
      <c r="D97">
        <f t="shared" si="10"/>
        <v>4</v>
      </c>
      <c r="E97" s="2" t="s">
        <v>719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1"/>
        <v>10</v>
      </c>
    </row>
    <row r="98" spans="1:21" ht="15" customHeight="1" x14ac:dyDescent="0.25">
      <c r="A98" s="81">
        <f>IF(I98&lt;&gt;"",MAX(A$1:A97)+1,"")</f>
        <v>79</v>
      </c>
      <c r="B98" s="45" t="s">
        <v>114</v>
      </c>
      <c r="C98" t="s">
        <v>57</v>
      </c>
      <c r="D98">
        <f t="shared" si="10"/>
        <v>4</v>
      </c>
      <c r="E98" s="2" t="s">
        <v>720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1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81">
        <f>IF(I99&lt;&gt;"",MAX(A$1:A98)+1,"")</f>
        <v>80</v>
      </c>
      <c r="B99" s="45" t="s">
        <v>115</v>
      </c>
      <c r="C99" t="s">
        <v>57</v>
      </c>
      <c r="D99">
        <f t="shared" si="10"/>
        <v>4</v>
      </c>
      <c r="E99" s="2" t="s">
        <v>721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1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81">
        <f>IF(I100&lt;&gt;"",MAX(A$1:A99)+1,"")</f>
        <v>81</v>
      </c>
      <c r="B100" s="45" t="s">
        <v>116</v>
      </c>
      <c r="C100" t="s">
        <v>57</v>
      </c>
      <c r="D100">
        <f t="shared" si="10"/>
        <v>4</v>
      </c>
      <c r="E100" s="2" t="s">
        <v>722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1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81">
        <f>IF(I101&lt;&gt;"",MAX(A$1:A100)+1,"")</f>
        <v>82</v>
      </c>
      <c r="B101" s="45" t="s">
        <v>117</v>
      </c>
      <c r="C101" t="s">
        <v>57</v>
      </c>
      <c r="D101">
        <f t="shared" si="10"/>
        <v>4</v>
      </c>
      <c r="E101" s="2" t="s">
        <v>723</v>
      </c>
      <c r="G101">
        <f>ROUND((ALGO_RES_EST_STATOR_RESISTANCE/BASE_Z)*32768,0)</f>
        <v>2946</v>
      </c>
      <c r="H101" s="9" t="str">
        <f>IF(G101&lt;&gt;"",IF(C101="float32",FLOAT2HEX(G101),DEC2HEX(G101,8)),"")</f>
        <v>00000B82</v>
      </c>
      <c r="I101" s="9">
        <f t="shared" si="11"/>
        <v>2946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81">
        <f>IF(I102&lt;&gt;"",MAX(A$1:A101)+1,"")</f>
        <v>83</v>
      </c>
      <c r="B102" s="45" t="s">
        <v>118</v>
      </c>
      <c r="C102" t="s">
        <v>63</v>
      </c>
      <c r="D102">
        <f t="shared" si="10"/>
        <v>4</v>
      </c>
      <c r="E102" s="2" t="s">
        <v>724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1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81">
        <f>IF(I103&lt;&gt;"",MAX(A$1:A102)+1,"")</f>
        <v>84</v>
      </c>
      <c r="B103" s="45" t="s">
        <v>119</v>
      </c>
      <c r="C103" t="s">
        <v>63</v>
      </c>
      <c r="D103">
        <f t="shared" si="10"/>
        <v>4</v>
      </c>
      <c r="E103" s="2" t="s">
        <v>725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1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81">
        <f>IF(I104&lt;&gt;"",MAX(A$1:A103)+1,"")</f>
        <v>85</v>
      </c>
      <c r="B104" s="45" t="s">
        <v>120</v>
      </c>
      <c r="C104" t="s">
        <v>57</v>
      </c>
      <c r="D104">
        <f t="shared" si="10"/>
        <v>4</v>
      </c>
      <c r="E104" s="2" t="s">
        <v>726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1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81">
        <f>IF(I105&lt;&gt;"",MAX(A$1:A104)+1,"")</f>
        <v>86</v>
      </c>
      <c r="B105" s="45" t="s">
        <v>121</v>
      </c>
      <c r="C105" t="s">
        <v>63</v>
      </c>
      <c r="D105">
        <f t="shared" si="10"/>
        <v>4</v>
      </c>
      <c r="E105" s="2" t="s">
        <v>727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1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81">
        <f>IF(I106&lt;&gt;"",MAX(A$1:A105)+1,"")</f>
        <v>87</v>
      </c>
      <c r="B106" s="45" t="s">
        <v>122</v>
      </c>
      <c r="C106" t="s">
        <v>63</v>
      </c>
      <c r="D106">
        <f t="shared" si="10"/>
        <v>4</v>
      </c>
      <c r="E106" s="89" t="s">
        <v>728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1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81">
        <f>IF(I107&lt;&gt;"",MAX(A$1:A106)+1,"")</f>
        <v>88</v>
      </c>
      <c r="B107" s="97" t="s">
        <v>123</v>
      </c>
      <c r="C107" t="s">
        <v>57</v>
      </c>
      <c r="D107">
        <f t="shared" si="10"/>
        <v>4</v>
      </c>
      <c r="E107" s="52" t="s">
        <v>1111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1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81">
        <f>IF(I108&lt;&gt;"",MAX(A$1:A107)+1,"")</f>
        <v>89</v>
      </c>
      <c r="B108" s="45" t="s">
        <v>124</v>
      </c>
      <c r="C108" t="s">
        <v>63</v>
      </c>
      <c r="D108">
        <f t="shared" si="10"/>
        <v>4</v>
      </c>
      <c r="E108" s="2" t="s">
        <v>729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1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81">
        <f>IF(I109&lt;&gt;"",MAX(A$1:A108)+1,"")</f>
        <v>90</v>
      </c>
      <c r="B109" s="45" t="s">
        <v>125</v>
      </c>
      <c r="C109" t="s">
        <v>63</v>
      </c>
      <c r="D109">
        <f t="shared" si="10"/>
        <v>4</v>
      </c>
      <c r="E109" s="2" t="s">
        <v>730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1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81">
        <f>IF(I110&lt;&gt;"",MAX(A$1:A109)+1,"")</f>
        <v>91</v>
      </c>
      <c r="B110" s="58" t="s">
        <v>1112</v>
      </c>
      <c r="C110" t="s">
        <v>63</v>
      </c>
      <c r="D110">
        <f t="shared" si="10"/>
        <v>4</v>
      </c>
      <c r="E110" s="89" t="s">
        <v>731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1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81">
        <f>IF(I111&lt;&gt;"",MAX(A$1:A110)+1,"")</f>
        <v>92</v>
      </c>
      <c r="B111" s="45" t="s">
        <v>126</v>
      </c>
      <c r="C111" t="s">
        <v>63</v>
      </c>
      <c r="D111">
        <f t="shared" si="10"/>
        <v>4</v>
      </c>
      <c r="E111" s="2" t="s">
        <v>732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1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81"/>
      <c r="B112" s="47"/>
      <c r="E112" s="59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81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81">
        <f>IF(I114&lt;&gt;"",MAX(A$1:A113)+1,"")</f>
        <v>93</v>
      </c>
      <c r="B114" s="45" t="s">
        <v>437</v>
      </c>
      <c r="C114" t="s">
        <v>57</v>
      </c>
      <c r="D114">
        <f t="shared" si="10"/>
        <v>4</v>
      </c>
      <c r="E114" s="2" t="s">
        <v>733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81">
        <f>IF(I115&lt;&gt;"",MAX(A$1:A114)+1,"")</f>
        <v>94</v>
      </c>
      <c r="B115" s="45" t="s">
        <v>438</v>
      </c>
      <c r="C115" t="s">
        <v>57</v>
      </c>
      <c r="D115">
        <f t="shared" si="10"/>
        <v>4</v>
      </c>
      <c r="E115" s="2" t="s">
        <v>734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1"/>
        <v>30422</v>
      </c>
    </row>
    <row r="116" spans="1:21" ht="15" customHeight="1" x14ac:dyDescent="0.25">
      <c r="A116" s="81">
        <f>IF(I116&lt;&gt;"",MAX(A$1:A115)+1,"")</f>
        <v>95</v>
      </c>
      <c r="B116" s="45" t="s">
        <v>439</v>
      </c>
      <c r="C116" t="s">
        <v>57</v>
      </c>
      <c r="D116">
        <f t="shared" si="10"/>
        <v>4</v>
      </c>
      <c r="E116" s="2" t="s">
        <v>735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1"/>
        <v>250</v>
      </c>
    </row>
    <row r="117" spans="1:21" ht="15" customHeight="1" x14ac:dyDescent="0.25">
      <c r="A117" s="81">
        <f>IF(I117&lt;&gt;"",MAX(A$1:A116)+1,"")</f>
        <v>96</v>
      </c>
      <c r="B117" s="45" t="s">
        <v>440</v>
      </c>
      <c r="C117" t="s">
        <v>57</v>
      </c>
      <c r="D117">
        <f t="shared" si="10"/>
        <v>4</v>
      </c>
      <c r="E117" s="2" t="s">
        <v>736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1"/>
        <v>25</v>
      </c>
    </row>
    <row r="118" spans="1:21" s="72" customFormat="1" ht="15" customHeight="1" x14ac:dyDescent="0.25">
      <c r="A118" s="81">
        <f>IF(I118&lt;&gt;"",MAX(A$1:A117)+1,"")</f>
        <v>97</v>
      </c>
      <c r="B118" s="70" t="s">
        <v>1131</v>
      </c>
      <c r="C118" s="72" t="s">
        <v>57</v>
      </c>
      <c r="D118" s="72">
        <f t="shared" si="10"/>
        <v>4</v>
      </c>
      <c r="E118" s="61" t="s">
        <v>1133</v>
      </c>
      <c r="G118" s="66">
        <f>SAMPLES_NUMBER</f>
        <v>10</v>
      </c>
      <c r="H118" s="65" t="str">
        <f>IF(G118&lt;&gt;"",IF(C118="float32",FLOAT2HEX(G118),DEC2HEX(G118,8)),"")</f>
        <v>0000000A</v>
      </c>
      <c r="I118" s="65">
        <f t="shared" ref="I118" si="12">IF(G118&lt;&gt;"",HEX2DEC(H118),"")</f>
        <v>10</v>
      </c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</row>
    <row r="119" spans="1:21" ht="15" customHeight="1" x14ac:dyDescent="0.25">
      <c r="A119" s="81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1"/>
        <v/>
      </c>
    </row>
    <row r="120" spans="1:21" s="9" customFormat="1" ht="20.100000000000001" customHeight="1" x14ac:dyDescent="0.25">
      <c r="A120" s="81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 x14ac:dyDescent="0.25">
      <c r="A121" s="81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737</v>
      </c>
      <c r="G121" s="11">
        <f>((2^25)/BASE_SPEED_RPM)</f>
        <v>15345.475416723246</v>
      </c>
      <c r="H121" s="9" t="str">
        <f>IF(G121&lt;&gt;"",IF(C121="float32",FLOAT2HEX(G121),DEC2HEX(G121,8)),"")</f>
        <v>466FC5E7</v>
      </c>
      <c r="I121" s="9">
        <f t="shared" si="11"/>
        <v>1181730279</v>
      </c>
    </row>
    <row r="122" spans="1:21" ht="15" customHeight="1" x14ac:dyDescent="0.25">
      <c r="A122" s="81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738</v>
      </c>
      <c r="G122" s="11">
        <f>((2^25)/BASE_SPEED_RPM*OBSERVER_TS)</f>
        <v>1.9181844270904058</v>
      </c>
      <c r="H122" s="9" t="str">
        <f>IF(G122&lt;&gt;"",IF(C122="float32",FLOAT2HEX(G122),DEC2HEX(G122,8)),"")</f>
        <v>3FF58711</v>
      </c>
      <c r="I122" s="9">
        <f t="shared" si="11"/>
        <v>1073055505</v>
      </c>
    </row>
    <row r="123" spans="1:21" ht="15" customHeight="1" x14ac:dyDescent="0.25">
      <c r="A123" s="81">
        <f>IF(I123&lt;&gt;"",MAX(A$1:A122)+1,"")</f>
        <v>100</v>
      </c>
      <c r="B123" s="47" t="s">
        <v>1107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1" t="s">
        <v>1127</v>
      </c>
      <c r="G123" s="11">
        <f>ROUND(((((2^25) / BASE_SPEED_RPM) * OBSERVER_TS) * SPEED_REF_DEFAULT_ACCEL),0)</f>
        <v>144</v>
      </c>
      <c r="H123" s="9" t="str">
        <f>IF(G123&lt;&gt;"",IF(C123="float32",FLOAT2HEX(G123),DEC2HEX(G123,8)),"")</f>
        <v>00000090</v>
      </c>
      <c r="I123" s="9">
        <f t="shared" si="11"/>
        <v>144</v>
      </c>
    </row>
    <row r="124" spans="1:21" ht="15" customHeight="1" x14ac:dyDescent="0.25">
      <c r="A124" s="81">
        <f>IF(I124&lt;&gt;"",MAX(A$1:A123)+1,"")</f>
        <v>101</v>
      </c>
      <c r="B124" s="47" t="s">
        <v>1108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9" t="s">
        <v>1128</v>
      </c>
      <c r="G124" s="11">
        <f>ROUND((SPEED_REF_MIN_SPEED_DEFAULT_ACCEL * 32768/BASE_SPEED_RPM),0)</f>
        <v>225</v>
      </c>
      <c r="H124" s="9" t="str">
        <f>IF(G124&lt;&gt;"",IF(C124="float32",FLOAT2HEX(G124),DEC2HEX(G124,8)),"")</f>
        <v>000000E1</v>
      </c>
      <c r="I124" s="9">
        <f t="shared" si="11"/>
        <v>225</v>
      </c>
    </row>
    <row r="125" spans="1:21" ht="15" customHeight="1" x14ac:dyDescent="0.25">
      <c r="A125" s="81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1"/>
        <v/>
      </c>
    </row>
    <row r="126" spans="1:21" s="9" customFormat="1" ht="20.100000000000001" customHeight="1" x14ac:dyDescent="0.25">
      <c r="A126" s="81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 x14ac:dyDescent="0.25">
      <c r="A127" s="81">
        <f>IF(I127&lt;&gt;"",MAX(A$1:A126)+1,"")</f>
        <v>102</v>
      </c>
      <c r="B127" s="45" t="s">
        <v>448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445</v>
      </c>
      <c r="G127" s="11">
        <f>BASE_SPEED_RPM</f>
        <v>2186.6010070585976</v>
      </c>
      <c r="H127" s="9" t="str">
        <f>IF(G127&lt;&gt;"",IF(C127="float32",FLOAT2HEX(G127),DEC2HEX(G127,8)),"")</f>
        <v>4508A99E</v>
      </c>
      <c r="I127" s="9">
        <f t="shared" si="11"/>
        <v>1158195614</v>
      </c>
    </row>
    <row r="128" spans="1:21" ht="15" customHeight="1" x14ac:dyDescent="0.25">
      <c r="A128" s="96">
        <f>IF(I128&lt;&gt;"",MAX(A$1:A127)+1,"")</f>
        <v>103</v>
      </c>
      <c r="B128" s="45" t="s">
        <v>449</v>
      </c>
      <c r="C128" t="s">
        <v>65</v>
      </c>
      <c r="D128">
        <f t="shared" ref="D128:D134" si="13">IF(OR(C128="sint64",C128="uint64",C128="double64"), 8, IF(OR(C128="sint32",C128="uint32",C128="float32"),4,IF(OR(C128="sint16",C128="uint16"),2,  IF(OR(C128="sint8",C128="uint8"),1,""))))</f>
        <v>4</v>
      </c>
      <c r="E128" s="2" t="s">
        <v>446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1"/>
        <v>1078530011</v>
      </c>
    </row>
    <row r="129" spans="1:21" x14ac:dyDescent="0.25">
      <c r="A129" s="96">
        <f>IF(I129&lt;&gt;"",MAX(A$1:A128)+1,"")</f>
        <v>104</v>
      </c>
      <c r="B129" s="45" t="s">
        <v>447</v>
      </c>
      <c r="C129" t="s">
        <v>65</v>
      </c>
      <c r="D129">
        <f t="shared" si="13"/>
        <v>4</v>
      </c>
      <c r="E129" s="2" t="s">
        <v>450</v>
      </c>
      <c r="G129" s="11">
        <f>BASE_TORQ</f>
        <v>13.784940000000001</v>
      </c>
      <c r="H129" s="9" t="str">
        <f>IF(G129&lt;&gt;"",IF(C129="float32",FLOAT2HEX(G129),DEC2HEX(G129,8)),"")</f>
        <v>415C8F1D</v>
      </c>
      <c r="I129" s="9">
        <f t="shared" si="11"/>
        <v>1096584989</v>
      </c>
    </row>
    <row r="130" spans="1:21" s="103" customFormat="1" x14ac:dyDescent="0.25">
      <c r="A130" s="96">
        <f>IF(I130&lt;&gt;"",MAX(A$1:A129)+1,"")</f>
        <v>105</v>
      </c>
      <c r="B130" s="97" t="s">
        <v>1165</v>
      </c>
      <c r="C130" s="103" t="s">
        <v>65</v>
      </c>
      <c r="D130" s="103">
        <f t="shared" si="13"/>
        <v>4</v>
      </c>
      <c r="E130" s="89" t="s">
        <v>1166</v>
      </c>
      <c r="G130" s="95">
        <f>BASE_FLUX</f>
        <v>0.27950000000000003</v>
      </c>
      <c r="H130" s="94" t="str">
        <f>IF(G130&lt;&gt;"",IF(C130="float32",FLOAT2HEX(G130),DEC2HEX(G130,8)),"")</f>
        <v>3E8F1AA0</v>
      </c>
      <c r="I130" s="94">
        <f t="shared" ref="I130" si="14">IF(G130&lt;&gt;"",HEX2DEC(H130),"")</f>
        <v>1049565856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</row>
    <row r="131" spans="1:21" x14ac:dyDescent="0.25">
      <c r="A131" s="96">
        <f>IF(I131&lt;&gt;"",MAX(A$1:A130)+1,"")</f>
        <v>106</v>
      </c>
      <c r="B131" s="45" t="s">
        <v>453</v>
      </c>
      <c r="C131" t="s">
        <v>65</v>
      </c>
      <c r="D131">
        <f t="shared" si="13"/>
        <v>4</v>
      </c>
      <c r="E131" s="2" t="s">
        <v>451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1"/>
        <v>1138602967</v>
      </c>
    </row>
    <row r="132" spans="1:21" x14ac:dyDescent="0.25">
      <c r="A132" s="96">
        <f>IF(I132&lt;&gt;"",MAX(A$1:A131)+1,"")</f>
        <v>107</v>
      </c>
      <c r="B132" s="45" t="s">
        <v>452</v>
      </c>
      <c r="C132" t="s">
        <v>65</v>
      </c>
      <c r="D132">
        <f t="shared" si="13"/>
        <v>4</v>
      </c>
      <c r="E132" s="2" t="s">
        <v>454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3" customFormat="1" x14ac:dyDescent="0.25">
      <c r="A133" s="96">
        <f>IF(I133&lt;&gt;"",MAX(A$1:A132)+1,"")</f>
        <v>108</v>
      </c>
      <c r="B133" s="97" t="s">
        <v>3105</v>
      </c>
      <c r="C133" s="103" t="s">
        <v>65</v>
      </c>
      <c r="D133" s="103">
        <f t="shared" si="13"/>
        <v>4</v>
      </c>
      <c r="E133" s="89" t="s">
        <v>3106</v>
      </c>
      <c r="G133" s="95">
        <f>BASE_ANGLE</f>
        <v>180</v>
      </c>
      <c r="H133" s="94" t="str">
        <f>IF(G133&lt;&gt;"",IF(C133="float32",FLOAT2HEX(G133),DEC2HEX(G133,8)),"")</f>
        <v>43340000</v>
      </c>
      <c r="I133" s="94">
        <f>IF(G133&lt;&gt;"",HEX2DEC(H133),"")</f>
        <v>1127481344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</row>
    <row r="134" spans="1:21" s="103" customFormat="1" x14ac:dyDescent="0.25">
      <c r="A134" s="96">
        <f>IF(I134&lt;&gt;"",MAX(A$1:A133)+1,"")</f>
        <v>109</v>
      </c>
      <c r="B134" s="97" t="s">
        <v>3107</v>
      </c>
      <c r="C134" s="103" t="s">
        <v>65</v>
      </c>
      <c r="D134" s="103">
        <f t="shared" si="13"/>
        <v>4</v>
      </c>
      <c r="E134" s="89" t="s">
        <v>3108</v>
      </c>
      <c r="G134" s="95">
        <f>BASE_IND</f>
        <v>34.002433090024326</v>
      </c>
      <c r="H134" s="94" t="str">
        <f>IF(G134&lt;&gt;"",IF(C134="float32",FLOAT2HEX(G134),DEC2HEX(G134,8)),"")</f>
        <v>4208027E</v>
      </c>
      <c r="I134" s="94">
        <f>IF(G134&lt;&gt;"",HEX2DEC(H134),"")</f>
        <v>1107821182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</row>
    <row r="135" spans="1:21" x14ac:dyDescent="0.25">
      <c r="A135" s="96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62" si="15">IF(G135&lt;&gt;"",HEX2DEC(H135),"")</f>
        <v/>
      </c>
    </row>
    <row r="136" spans="1:21" ht="20.100000000000001" customHeight="1" x14ac:dyDescent="0.25">
      <c r="A136" s="96" t="str">
        <f>IF(I136&lt;&gt;"",MAX(A$1:A135)+1,"")</f>
        <v/>
      </c>
      <c r="B136" s="44" t="s">
        <v>597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 x14ac:dyDescent="0.25">
      <c r="A137" s="96">
        <f>IF(I137&lt;&gt;"",MAX(A$1:A136)+1,"")</f>
        <v>110</v>
      </c>
      <c r="B137" s="48" t="s">
        <v>602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100" t="s">
        <v>1162</v>
      </c>
      <c r="F137" s="104"/>
      <c r="G137" s="101">
        <f>ROUND((((STATOR_RESISTANCE * 1.5) * MAX_PHASE_CURR + PI_VOLT_MARGIN) * 32768/BASE_VOLTAGE),0)</f>
        <v>21683</v>
      </c>
      <c r="H137" s="9" t="str">
        <f>IF(G137&lt;&gt;"",IF(C137="float32",FLOAT2HEX(G137),DEC2HEX(G137,8)),"")</f>
        <v>000054B3</v>
      </c>
      <c r="I137" s="9">
        <f t="shared" si="15"/>
        <v>21683</v>
      </c>
    </row>
    <row r="138" spans="1:21" ht="15" customHeight="1" x14ac:dyDescent="0.25">
      <c r="A138" s="96">
        <f>IF(I138&lt;&gt;"",MAX(A$1:A137)+1,"")</f>
        <v>111</v>
      </c>
      <c r="B138" s="45" t="s">
        <v>91</v>
      </c>
      <c r="C138" t="s">
        <v>63</v>
      </c>
      <c r="D138">
        <f t="shared" ref="D138:D158" si="16">IF(OR(C138="sint64",C138="uint64",C138="double64"), 8, IF(OR(C138="sint32",C138="uint32",C138="float32"),4,IF(OR(C138="sint16",C138="uint16"),2,  IF(OR(C138="sint8",C138="uint8"),1,""))))</f>
        <v>4</v>
      </c>
      <c r="E138" s="2" t="s">
        <v>1106</v>
      </c>
      <c r="G138" s="11">
        <v>0</v>
      </c>
      <c r="H138" s="9" t="str">
        <f>IF(G138&lt;&gt;"",IF(C138="float32",FLOAT2HEX(G138),DEC2HEX(G138,8)),"")</f>
        <v>00000000</v>
      </c>
      <c r="I138" s="9">
        <f t="shared" si="15"/>
        <v>0</v>
      </c>
    </row>
    <row r="139" spans="1:21" ht="15" customHeight="1" x14ac:dyDescent="0.25">
      <c r="A139" s="96">
        <f>IF(I139&lt;&gt;"",MAX(A$1:A138)+1,"")</f>
        <v>112</v>
      </c>
      <c r="B139" s="45" t="s">
        <v>93</v>
      </c>
      <c r="C139" t="s">
        <v>57</v>
      </c>
      <c r="D139">
        <f t="shared" si="16"/>
        <v>4</v>
      </c>
      <c r="E139" s="2" t="s">
        <v>1106</v>
      </c>
      <c r="G139" s="11">
        <v>0</v>
      </c>
      <c r="H139" s="9" t="str">
        <f>IF(G139&lt;&gt;"",IF(C139="float32",FLOAT2HEX(G139),DEC2HEX(G139,8)),"")</f>
        <v>00000000</v>
      </c>
      <c r="I139" s="9">
        <f t="shared" si="15"/>
        <v>0</v>
      </c>
    </row>
    <row r="140" spans="1:21" s="103" customFormat="1" ht="15" customHeight="1" x14ac:dyDescent="0.25">
      <c r="A140" s="96">
        <f>IF(I140&lt;&gt;"",MAX(A$1:A139)+1,"")</f>
        <v>113</v>
      </c>
      <c r="B140" s="98" t="s">
        <v>3131</v>
      </c>
      <c r="C140" s="103" t="s">
        <v>57</v>
      </c>
      <c r="D140" s="84">
        <f>IF(OR(C140="sint64",C140="uint64",C140="double64"), 8, IF(OR(C140="sint32",C140="uint32",C140="float32"),4,IF(OR(C140="sint16",C140="uint16"),2,  IF(OR(C140="sint8",C140="uint8"),1,""))))</f>
        <v>4</v>
      </c>
      <c r="E140" s="89" t="s">
        <v>3133</v>
      </c>
      <c r="G140" s="95">
        <f>ROUND((M_INDEX_CTRL/100 * 32768),0)</f>
        <v>37683</v>
      </c>
      <c r="H140" s="94" t="str">
        <f>IF(G140&lt;&gt;"",IF(C140="float32",FLOAT2HEX(G140),DEC2HEX(G140,8)),"")</f>
        <v>00009333</v>
      </c>
      <c r="I140" s="94">
        <f t="shared" ref="I140" si="17">IF(G140&lt;&gt;"",HEX2DEC(H140),"")</f>
        <v>37683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</row>
    <row r="141" spans="1:21" ht="15" customHeight="1" x14ac:dyDescent="0.25">
      <c r="A141" s="96">
        <f>IF(I141&lt;&gt;"",MAX(A$1:A140)+1,"")</f>
        <v>114</v>
      </c>
      <c r="B141" s="45" t="s">
        <v>598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9" t="s">
        <v>741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5"/>
        <v>200</v>
      </c>
    </row>
    <row r="142" spans="1:21" ht="15" customHeight="1" x14ac:dyDescent="0.25">
      <c r="A142" s="96">
        <f>IF(I142&lt;&gt;"",MAX(A$1:A141)+1,"")</f>
        <v>115</v>
      </c>
      <c r="B142" s="45" t="s">
        <v>599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742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5"/>
        <v>10</v>
      </c>
    </row>
    <row r="143" spans="1:21" ht="15" customHeight="1" x14ac:dyDescent="0.25">
      <c r="A143" s="96">
        <f>IF(I143&lt;&gt;"",MAX(A$1:A142)+1,"")</f>
        <v>116</v>
      </c>
      <c r="B143" s="45" t="s">
        <v>600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739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5"/>
        <v>200</v>
      </c>
    </row>
    <row r="144" spans="1:21" ht="15" customHeight="1" x14ac:dyDescent="0.25">
      <c r="A144" s="96">
        <f>IF(I144&lt;&gt;"",MAX(A$1:A143)+1,"")</f>
        <v>117</v>
      </c>
      <c r="B144" s="45" t="s">
        <v>601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740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5"/>
        <v>10</v>
      </c>
    </row>
    <row r="145" spans="1:9" ht="15" customHeight="1" x14ac:dyDescent="0.25">
      <c r="A145" s="96">
        <f>IF(I145&lt;&gt;"",MAX(A$1:A144)+1,"")</f>
        <v>118</v>
      </c>
      <c r="B145" s="45" t="s">
        <v>80</v>
      </c>
      <c r="C145" t="s">
        <v>57</v>
      </c>
      <c r="D145">
        <f t="shared" si="16"/>
        <v>4</v>
      </c>
      <c r="E145" s="2" t="s">
        <v>1106</v>
      </c>
      <c r="G145" s="11">
        <v>0</v>
      </c>
      <c r="H145" s="9" t="str">
        <f>IF(G145&lt;&gt;"",IF(C145="float32",FLOAT2HEX(G145),DEC2HEX(G145,8)),"")</f>
        <v>00000000</v>
      </c>
      <c r="I145" s="9">
        <f t="shared" si="15"/>
        <v>0</v>
      </c>
    </row>
    <row r="146" spans="1:9" ht="15" customHeight="1" x14ac:dyDescent="0.25">
      <c r="A146" s="96">
        <f>IF(I146&lt;&gt;"",MAX(A$1:A145)+1,"")</f>
        <v>119</v>
      </c>
      <c r="B146" s="45" t="s">
        <v>72</v>
      </c>
      <c r="C146" t="s">
        <v>57</v>
      </c>
      <c r="D146">
        <f t="shared" si="16"/>
        <v>4</v>
      </c>
      <c r="E146" s="2" t="s">
        <v>1106</v>
      </c>
      <c r="G146" s="11">
        <v>0</v>
      </c>
      <c r="H146" s="9" t="str">
        <f>IF(G146&lt;&gt;"",IF(C146="float32",FLOAT2HEX(G146),DEC2HEX(G146,8)),"")</f>
        <v>00000000</v>
      </c>
      <c r="I146" s="9">
        <f t="shared" si="15"/>
        <v>0</v>
      </c>
    </row>
    <row r="147" spans="1:9" ht="15" customHeight="1" x14ac:dyDescent="0.25">
      <c r="A147" s="96">
        <f>IF(I147&lt;&gt;"",MAX(A$1:A146)+1,"")</f>
        <v>120</v>
      </c>
      <c r="B147" s="45" t="s">
        <v>81</v>
      </c>
      <c r="C147" t="s">
        <v>57</v>
      </c>
      <c r="D147">
        <f t="shared" si="16"/>
        <v>4</v>
      </c>
      <c r="E147" s="2" t="s">
        <v>1106</v>
      </c>
      <c r="G147" s="11">
        <v>0</v>
      </c>
      <c r="H147" s="9" t="str">
        <f>IF(G147&lt;&gt;"",IF(C147="float32",FLOAT2HEX(G147),DEC2HEX(G147,8)),"")</f>
        <v>00000000</v>
      </c>
      <c r="I147" s="9">
        <f t="shared" si="15"/>
        <v>0</v>
      </c>
    </row>
    <row r="148" spans="1:9" ht="15" customHeight="1" x14ac:dyDescent="0.25">
      <c r="A148" s="96">
        <f>IF(I148&lt;&gt;"",MAX(A$1:A147)+1,"")</f>
        <v>121</v>
      </c>
      <c r="B148" s="45" t="s">
        <v>82</v>
      </c>
      <c r="C148" t="s">
        <v>57</v>
      </c>
      <c r="D148">
        <f t="shared" si="16"/>
        <v>4</v>
      </c>
      <c r="E148" s="2" t="s">
        <v>1106</v>
      </c>
      <c r="G148" s="11">
        <v>0</v>
      </c>
      <c r="H148" s="9" t="str">
        <f>IF(G148&lt;&gt;"",IF(C148="float32",FLOAT2HEX(G148),DEC2HEX(G148,8)),"")</f>
        <v>00000000</v>
      </c>
      <c r="I148" s="9">
        <f t="shared" si="15"/>
        <v>0</v>
      </c>
    </row>
    <row r="149" spans="1:9" ht="15" customHeight="1" x14ac:dyDescent="0.25">
      <c r="A149" s="96">
        <f>IF(I149&lt;&gt;"",MAX(A$1:A148)+1,"")</f>
        <v>122</v>
      </c>
      <c r="B149" s="45" t="s">
        <v>83</v>
      </c>
      <c r="C149" t="s">
        <v>57</v>
      </c>
      <c r="D149">
        <f t="shared" si="16"/>
        <v>4</v>
      </c>
      <c r="E149" s="89" t="s">
        <v>1106</v>
      </c>
      <c r="G149" s="11">
        <v>0</v>
      </c>
      <c r="H149" s="9" t="str">
        <f>IF(G149&lt;&gt;"",IF(C149="float32",FLOAT2HEX(G149),DEC2HEX(G149,8)),"")</f>
        <v>00000000</v>
      </c>
      <c r="I149" s="9">
        <f t="shared" si="15"/>
        <v>0</v>
      </c>
    </row>
    <row r="150" spans="1:9" ht="15" customHeight="1" x14ac:dyDescent="0.25">
      <c r="A150" s="96">
        <f>IF(I150&lt;&gt;"",MAX(A$1:A149)+1,"")</f>
        <v>123</v>
      </c>
      <c r="B150" s="45" t="s">
        <v>84</v>
      </c>
      <c r="C150" t="s">
        <v>57</v>
      </c>
      <c r="D150">
        <f t="shared" si="16"/>
        <v>4</v>
      </c>
      <c r="E150" s="2" t="s">
        <v>1106</v>
      </c>
      <c r="G150" s="11">
        <v>0</v>
      </c>
      <c r="H150" s="9" t="str">
        <f>IF(G150&lt;&gt;"",IF(C150="float32",FLOAT2HEX(G150),DEC2HEX(G150,8)),"")</f>
        <v>00000000</v>
      </c>
      <c r="I150" s="9">
        <f t="shared" si="15"/>
        <v>0</v>
      </c>
    </row>
    <row r="151" spans="1:9" ht="15" customHeight="1" x14ac:dyDescent="0.25">
      <c r="A151" s="96">
        <f>IF(I151&lt;&gt;"",MAX(A$1:A150)+1,"")</f>
        <v>124</v>
      </c>
      <c r="B151" s="45" t="s">
        <v>85</v>
      </c>
      <c r="C151" t="s">
        <v>57</v>
      </c>
      <c r="D151">
        <f t="shared" si="16"/>
        <v>4</v>
      </c>
      <c r="E151" s="2" t="s">
        <v>1106</v>
      </c>
      <c r="G151" s="11">
        <v>0</v>
      </c>
      <c r="H151" s="9" t="str">
        <f>IF(G151&lt;&gt;"",IF(C151="float32",FLOAT2HEX(G151),DEC2HEX(G151,8)),"")</f>
        <v>00000000</v>
      </c>
      <c r="I151" s="9">
        <f t="shared" si="15"/>
        <v>0</v>
      </c>
    </row>
    <row r="152" spans="1:9" ht="15" customHeight="1" x14ac:dyDescent="0.25">
      <c r="A152" s="96">
        <f>IF(I152&lt;&gt;"",MAX(A$1:A151)+1,"")</f>
        <v>125</v>
      </c>
      <c r="B152" s="45" t="s">
        <v>73</v>
      </c>
      <c r="C152" t="s">
        <v>57</v>
      </c>
      <c r="D152">
        <f t="shared" si="16"/>
        <v>4</v>
      </c>
      <c r="E152" s="2" t="s">
        <v>1106</v>
      </c>
      <c r="G152" s="11">
        <v>0</v>
      </c>
      <c r="H152" s="9" t="str">
        <f>IF(G152&lt;&gt;"",IF(C152="float32",FLOAT2HEX(G152),DEC2HEX(G152,8)),"")</f>
        <v>00000000</v>
      </c>
      <c r="I152" s="9">
        <f t="shared" si="15"/>
        <v>0</v>
      </c>
    </row>
    <row r="153" spans="1:9" ht="15" customHeight="1" x14ac:dyDescent="0.25">
      <c r="A153" s="96">
        <f>IF(I153&lt;&gt;"",MAX(A$1:A152)+1,"")</f>
        <v>126</v>
      </c>
      <c r="B153" s="45" t="s">
        <v>86</v>
      </c>
      <c r="C153" t="s">
        <v>57</v>
      </c>
      <c r="D153">
        <f t="shared" si="16"/>
        <v>4</v>
      </c>
      <c r="E153" s="2" t="s">
        <v>1106</v>
      </c>
      <c r="G153" s="11">
        <v>0</v>
      </c>
      <c r="H153" s="9" t="str">
        <f>IF(G153&lt;&gt;"",IF(C153="float32",FLOAT2HEX(G153),DEC2HEX(G153,8)),"")</f>
        <v>00000000</v>
      </c>
      <c r="I153" s="9">
        <f t="shared" si="15"/>
        <v>0</v>
      </c>
    </row>
    <row r="154" spans="1:9" ht="15" customHeight="1" x14ac:dyDescent="0.25">
      <c r="A154" s="96">
        <f>IF(I154&lt;&gt;"",MAX(A$1:A153)+1,"")</f>
        <v>127</v>
      </c>
      <c r="B154" s="45" t="s">
        <v>87</v>
      </c>
      <c r="C154" t="s">
        <v>57</v>
      </c>
      <c r="D154">
        <f t="shared" si="16"/>
        <v>4</v>
      </c>
      <c r="E154" s="2" t="s">
        <v>1106</v>
      </c>
      <c r="G154" s="11">
        <v>0</v>
      </c>
      <c r="H154" s="9" t="str">
        <f>IF(G154&lt;&gt;"",IF(C154="float32",FLOAT2HEX(G154),DEC2HEX(G154,8)),"")</f>
        <v>00000000</v>
      </c>
      <c r="I154" s="9">
        <f t="shared" si="15"/>
        <v>0</v>
      </c>
    </row>
    <row r="155" spans="1:9" ht="15" customHeight="1" x14ac:dyDescent="0.25">
      <c r="A155" s="96">
        <f>IF(I155&lt;&gt;"",MAX(A$1:A154)+1,"")</f>
        <v>128</v>
      </c>
      <c r="B155" s="45" t="s">
        <v>88</v>
      </c>
      <c r="C155" t="s">
        <v>57</v>
      </c>
      <c r="D155">
        <f t="shared" si="16"/>
        <v>4</v>
      </c>
      <c r="E155" s="2" t="s">
        <v>1106</v>
      </c>
      <c r="G155" s="11">
        <v>0</v>
      </c>
      <c r="H155" s="9" t="str">
        <f>IF(G155&lt;&gt;"",IF(C155="float32",FLOAT2HEX(G155),DEC2HEX(G155,8)),"")</f>
        <v>00000000</v>
      </c>
      <c r="I155" s="9">
        <f t="shared" si="15"/>
        <v>0</v>
      </c>
    </row>
    <row r="156" spans="1:9" ht="15" customHeight="1" x14ac:dyDescent="0.25">
      <c r="A156" s="96">
        <f>IF(I156&lt;&gt;"",MAX(A$1:A155)+1,"")</f>
        <v>129</v>
      </c>
      <c r="B156" s="45" t="s">
        <v>89</v>
      </c>
      <c r="C156" t="s">
        <v>57</v>
      </c>
      <c r="D156">
        <f t="shared" si="16"/>
        <v>4</v>
      </c>
      <c r="E156" s="2" t="s">
        <v>1106</v>
      </c>
      <c r="G156" s="11">
        <v>0</v>
      </c>
      <c r="H156" s="9" t="str">
        <f>IF(G156&lt;&gt;"",IF(C156="float32",FLOAT2HEX(G156),DEC2HEX(G156,8)),"")</f>
        <v>00000000</v>
      </c>
      <c r="I156" s="9">
        <f t="shared" si="15"/>
        <v>0</v>
      </c>
    </row>
    <row r="157" spans="1:9" ht="15" customHeight="1" x14ac:dyDescent="0.25">
      <c r="A157" s="96">
        <f>IF(I157&lt;&gt;"",MAX(A$1:A156)+1,"")</f>
        <v>130</v>
      </c>
      <c r="B157" s="45" t="s">
        <v>90</v>
      </c>
      <c r="C157" t="s">
        <v>57</v>
      </c>
      <c r="D157">
        <f t="shared" si="16"/>
        <v>4</v>
      </c>
      <c r="E157" s="2" t="s">
        <v>1106</v>
      </c>
      <c r="G157" s="11">
        <v>0</v>
      </c>
      <c r="H157" s="79" t="str">
        <f>IF(G157&lt;&gt;"",IF(C157="float32",FLOAT2HEX(G157),DEC2HEX(G157,8)),"")</f>
        <v>00000000</v>
      </c>
      <c r="I157" s="9">
        <f t="shared" si="15"/>
        <v>0</v>
      </c>
    </row>
    <row r="158" spans="1:9" ht="15" customHeight="1" x14ac:dyDescent="0.25">
      <c r="A158" s="96">
        <f>IF(I158&lt;&gt;"",MAX(A$1:A157)+1,"")</f>
        <v>131</v>
      </c>
      <c r="B158" s="45" t="s">
        <v>74</v>
      </c>
      <c r="C158" t="s">
        <v>57</v>
      </c>
      <c r="D158">
        <f t="shared" si="16"/>
        <v>4</v>
      </c>
      <c r="E158" s="2" t="s">
        <v>1106</v>
      </c>
      <c r="G158" s="11">
        <v>0</v>
      </c>
      <c r="H158" s="79" t="str">
        <f>IF(G158&lt;&gt;"",IF(C158="float32",FLOAT2HEX(G158),DEC2HEX(G158,8)),"")</f>
        <v>00000000</v>
      </c>
      <c r="I158" s="9">
        <f t="shared" si="15"/>
        <v>0</v>
      </c>
    </row>
    <row r="159" spans="1:9" x14ac:dyDescent="0.25">
      <c r="A159" s="96" t="str">
        <f>IF(I159&lt;&gt;"",MAX(A$1:A158)+1,"")</f>
        <v/>
      </c>
      <c r="C159" s="51"/>
      <c r="D159" s="51"/>
      <c r="E159" s="52"/>
      <c r="F159" s="51"/>
      <c r="G159" s="55"/>
      <c r="H159" s="79" t="str">
        <f>IF(G159&lt;&gt;"",IF(C159="float32",FLOAT2HEX(G159),DEC2HEX(G159,8)),"")</f>
        <v/>
      </c>
      <c r="I159" s="79" t="str">
        <f t="shared" si="15"/>
        <v/>
      </c>
    </row>
    <row r="160" spans="1:9" ht="20.100000000000001" customHeight="1" x14ac:dyDescent="0.25">
      <c r="A160" s="96" t="str">
        <f>IF(I160&lt;&gt;"",MAX(A$1:A159)+1,"")</f>
        <v/>
      </c>
      <c r="B160" s="44" t="s">
        <v>822</v>
      </c>
      <c r="C160" s="21"/>
      <c r="D160" s="21"/>
      <c r="E160" s="21"/>
      <c r="F160" s="21"/>
      <c r="G160" s="21" t="str">
        <f>IF(F160&lt;&gt;"",DEC2HEX(F160,4),"")</f>
        <v/>
      </c>
      <c r="H160" s="80"/>
      <c r="I160" s="80"/>
    </row>
    <row r="161" spans="1:9" x14ac:dyDescent="0.25">
      <c r="A161" s="96">
        <f>IF(I161&lt;&gt;"",MAX(A$1:A160)+1,"")</f>
        <v>132</v>
      </c>
      <c r="B161" s="97" t="s">
        <v>823</v>
      </c>
      <c r="C161" t="s">
        <v>57</v>
      </c>
      <c r="D161" s="60">
        <f>IF(OR(C161="sint64",C161="uint64",C161="double64"), 8, IF(OR(C161="sint32",C161="uint32",C161="float32"),4,IF(OR(C161="sint16",C161="uint16"),2,  IF(OR(C161="sint8",C161="uint8"),1,""))))</f>
        <v>4</v>
      </c>
      <c r="E161" s="89" t="s">
        <v>824</v>
      </c>
      <c r="G161" s="11">
        <f>(PWM_SPEED_THRESHOLD_PWM_COMP * (32768/BASE_SPEED_RPM))</f>
        <v>89914.895019862772</v>
      </c>
      <c r="H161" s="79" t="str">
        <f>IF(G161&lt;&gt;"",IF(C161="float32",FLOAT2HEX(G161),DEC2HEX(G161,8)),"")</f>
        <v>00015F3A</v>
      </c>
      <c r="I161" s="79">
        <f t="shared" si="15"/>
        <v>89914</v>
      </c>
    </row>
    <row r="162" spans="1:9" x14ac:dyDescent="0.25">
      <c r="A162" s="96">
        <f>IF(I162&lt;&gt;"",MAX(A$1:A161)+1,"")</f>
        <v>133</v>
      </c>
      <c r="B162" s="45" t="s">
        <v>825</v>
      </c>
      <c r="C162" t="s">
        <v>63</v>
      </c>
      <c r="D162" s="60">
        <f>IF(OR(C162="sint64",C162="uint64",C162="double64"), 8, IF(OR(C162="sint32",C162="uint32",C162="float32"),4,IF(OR(C162="sint16",C162="uint16"),2,  IF(OR(C162="sint8",C162="uint8"),1,""))))</f>
        <v>4</v>
      </c>
      <c r="E162" s="2" t="s">
        <v>826</v>
      </c>
      <c r="G162" s="11">
        <f>ROUND(PWM_STARTING_TIME/PWM_MODULATION_TS,0)</f>
        <v>8000</v>
      </c>
      <c r="H162" s="79" t="str">
        <f>IF(G162&lt;&gt;"",IF(C162="float32",FLOAT2HEX(G162),DEC2HEX(G162,8)),"")</f>
        <v>00001F40</v>
      </c>
      <c r="I162" s="79">
        <f t="shared" si="15"/>
        <v>8000</v>
      </c>
    </row>
    <row r="163" spans="1:9" x14ac:dyDescent="0.25">
      <c r="A163" s="81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ref="I163:I190" si="18">IF(G163&lt;&gt;"",HEX2DEC(H163),"")</f>
        <v/>
      </c>
    </row>
    <row r="164" spans="1:9" x14ac:dyDescent="0.25">
      <c r="A164" s="81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18"/>
        <v/>
      </c>
    </row>
    <row r="165" spans="1:9" x14ac:dyDescent="0.25">
      <c r="H165" s="9" t="str">
        <f>IF(G165&lt;&gt;"",IF(C165="float32",FLOAT2HEX(G165),DEC2HEX(G165,8)),"")</f>
        <v/>
      </c>
      <c r="I165" s="9" t="str">
        <f t="shared" si="18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18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18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18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18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18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18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18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18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18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18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18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18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18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18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18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18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18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18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18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18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18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18"/>
        <v/>
      </c>
    </row>
    <row r="188" spans="8:9" x14ac:dyDescent="0.25">
      <c r="H188" s="9" t="str">
        <f>IF(G188&lt;&gt;"",IF(C188="float32",FLOAT2HEX(G188),DEC2HEX(G188,8)),"")</f>
        <v/>
      </c>
      <c r="I188" s="9" t="str">
        <f t="shared" si="18"/>
        <v/>
      </c>
    </row>
    <row r="189" spans="8:9" x14ac:dyDescent="0.25">
      <c r="H189" s="9" t="str">
        <f>IF(G189&lt;&gt;"",IF(C189="float32",FLOAT2HEX(G189),DEC2HEX(G189,8)),"")</f>
        <v/>
      </c>
      <c r="I189" s="9" t="str">
        <f t="shared" si="18"/>
        <v/>
      </c>
    </row>
    <row r="190" spans="8:9" x14ac:dyDescent="0.25">
      <c r="H190" s="9" t="str">
        <f>IF(G190&lt;&gt;"",IF(C190="float32",FLOAT2HEX(G190),DEC2HEX(G190,8)),"")</f>
        <v/>
      </c>
      <c r="I190" s="9" t="str">
        <f t="shared" si="18"/>
        <v/>
      </c>
    </row>
    <row r="191" spans="8:9" x14ac:dyDescent="0.25">
      <c r="H191" s="9" t="str">
        <f>IF(G191&lt;&gt;"",IF(C191="float32",FLOAT2HEX(G191),DEC2HEX(G191,8)),"")</f>
        <v/>
      </c>
      <c r="I191" s="9"/>
    </row>
    <row r="192" spans="8:9" x14ac:dyDescent="0.25">
      <c r="H192" s="9" t="str">
        <f>IF(G192&lt;&gt;"",IF(C192="float32",FLOAT2HEX(G192),DEC2HEX(G192,8)),"")</f>
        <v/>
      </c>
      <c r="I192" s="9"/>
    </row>
    <row r="193" spans="8:8" x14ac:dyDescent="0.25">
      <c r="H193" s="9" t="str">
        <f>IF(G193&lt;&gt;"",IF(C193="float32",FLOAT2HEX(G193),DEC2HEX(G193,8)),"")</f>
        <v/>
      </c>
    </row>
    <row r="194" spans="8:8" x14ac:dyDescent="0.25">
      <c r="H194" s="9" t="str">
        <f>IF(G194&lt;&gt;"",IF(C194="float32",FLOAT2HEX(G194),DEC2HEX(G194,8)),"")</f>
        <v/>
      </c>
    </row>
    <row r="195" spans="8:8" x14ac:dyDescent="0.25">
      <c r="H195" s="9" t="str">
        <f>IF(G195&lt;&gt;"",IF(C195="float32",FLOAT2HEX(G195),DEC2HEX(G195,8)),"")</f>
        <v/>
      </c>
    </row>
    <row r="196" spans="8:8" x14ac:dyDescent="0.25">
      <c r="H196" s="9" t="str">
        <f>IF(G196&lt;&gt;"",IF(C196="float32",FLOAT2HEX(G196),DEC2HEX(G196,8)),"")</f>
        <v/>
      </c>
    </row>
    <row r="197" spans="8:8" x14ac:dyDescent="0.25">
      <c r="H197" s="9" t="str">
        <f>IF(G197&lt;&gt;"",IF(C197="float32",FLOAT2HEX(G197),DEC2HEX(G197,8)),"")</f>
        <v/>
      </c>
    </row>
    <row r="198" spans="8:8" x14ac:dyDescent="0.25">
      <c r="H198" s="9" t="str">
        <f>IF(G198&lt;&gt;"",IF(C198="float32",FLOAT2HEX(G198),DEC2HEX(G198,8)),"")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11:C27 C7:C9 C73:C81 C161:C162 C137:C159 C121:C125 C29:C51 C53:C7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91"/>
  <sheetViews>
    <sheetView zoomScale="85" zoomScaleNormal="85" workbookViewId="0">
      <pane ySplit="5" topLeftCell="A42" activePane="bottomLeft" state="frozen"/>
      <selection activeCell="A285" sqref="A285"/>
      <selection pane="bottomLeft" activeCell="A72" sqref="A72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5" t="s">
        <v>194</v>
      </c>
      <c r="C3" s="115"/>
      <c r="D3" s="24">
        <f>SUM(D7:D1586)</f>
        <v>260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746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70" si="0">IF(OR(C7="sint64",C7="uint64",C7="double64"), 8, IF(OR(C7="sint32",C7="uint32",C7="float32"),4,IF(OR(C7="sint16",C7="uint16"),2,  IF(OR(C7="sint8",C7="uint8"),1,""))))</f>
        <v>4</v>
      </c>
      <c r="E7" s="2" t="s">
        <v>616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144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632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617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145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633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618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71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146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634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619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147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635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620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148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636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621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149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637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622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150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638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623</v>
      </c>
      <c r="F21"/>
      <c r="G21" s="11">
        <f>ROUND((DIRECT_CURR_POS_7 * 32768)/BASE_CURRENT,0)</f>
        <v>-27905</v>
      </c>
      <c r="H21" s="9" t="str">
        <f>IF(G21&lt;&gt;"",IF(C21="float32",FLOAT2HEX(G21),DEC2HEX(G21,8)),"")</f>
        <v>FFFFFF92FF</v>
      </c>
      <c r="I21" s="9">
        <f t="shared" si="1"/>
        <v>-27905</v>
      </c>
    </row>
    <row r="22" spans="1:9" s="11" customFormat="1" ht="15" customHeight="1" x14ac:dyDescent="0.25">
      <c r="A22" s="56">
        <f>IF(I22&lt;&gt;"",MAX(A$1:A21)+1,"")</f>
        <v>15</v>
      </c>
      <c r="B22" s="45" t="s">
        <v>151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639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11" customFormat="1" ht="15" customHeight="1" x14ac:dyDescent="0.25">
      <c r="A23" s="56">
        <f>IF(I23&lt;&gt;"",MAX(A$1:A22)+1,"")</f>
        <v>16</v>
      </c>
      <c r="B23" s="45" t="s">
        <v>136</v>
      </c>
      <c r="C23" t="s">
        <v>57</v>
      </c>
      <c r="D23">
        <f t="shared" si="0"/>
        <v>4</v>
      </c>
      <c r="E23" s="2" t="s">
        <v>624</v>
      </c>
      <c r="F23"/>
      <c r="G23" s="11">
        <f>ROUND((DIRECT_CURR_POS_8 * 32768)/BASE_CURRENT,0)</f>
        <v>-31891</v>
      </c>
      <c r="H23" s="9" t="str">
        <f>IF(G23&lt;&gt;"",IF(C23="float32",FLOAT2HEX(G23),DEC2HEX(G23,8)),"")</f>
        <v>FFFFFF836D</v>
      </c>
      <c r="I23" s="9">
        <f t="shared" si="1"/>
        <v>-31891</v>
      </c>
    </row>
    <row r="24" spans="1:9" s="11" customFormat="1" ht="15" customHeight="1" x14ac:dyDescent="0.25">
      <c r="A24" s="56">
        <f>IF(I24&lt;&gt;"",MAX(A$1:A23)+1,"")</f>
        <v>17</v>
      </c>
      <c r="B24" s="45" t="s">
        <v>152</v>
      </c>
      <c r="C24" t="s">
        <v>57</v>
      </c>
      <c r="D24">
        <f>IF(OR(C24="sint64",C24="uint64",C24="double64"), 8, IF(OR(C24="sint32",C24="uint32",C24="float32"),4,IF(OR(C24="sint16",C24="uint16"),2,  IF(OR(C24="sint8",C24="uint8"),1,""))))</f>
        <v>4</v>
      </c>
      <c r="E24" s="2" t="s">
        <v>640</v>
      </c>
      <c r="F24"/>
      <c r="G24" s="11">
        <f>ROUND( (DIRECT_IND_POS_8 * 32768)/BASE_IND,0)</f>
        <v>20401</v>
      </c>
      <c r="H24" s="9" t="str">
        <f>IF(G24&lt;&gt;"",IF(C24="float32",FLOAT2HEX(G24),DEC2HEX(G24,8)),"")</f>
        <v>00004FB1</v>
      </c>
      <c r="I24" s="9">
        <f>IF(G24&lt;&gt;"",HEX2DEC(H24),"")</f>
        <v>20401</v>
      </c>
    </row>
    <row r="25" spans="1:9" s="11" customFormat="1" ht="15" customHeight="1" x14ac:dyDescent="0.25">
      <c r="A25" s="56">
        <f>IF(I25&lt;&gt;"",MAX(A$1:A24)+1,"")</f>
        <v>18</v>
      </c>
      <c r="B25" s="45" t="s">
        <v>137</v>
      </c>
      <c r="C25" t="s">
        <v>57</v>
      </c>
      <c r="D25">
        <f t="shared" si="0"/>
        <v>4</v>
      </c>
      <c r="E25" s="61" t="s">
        <v>625</v>
      </c>
      <c r="F25"/>
      <c r="G25" s="11">
        <f>ROUND( (DIRECT_CURR_POS_9 * 32768)/BASE_CURRENT,0)</f>
        <v>-35877</v>
      </c>
      <c r="H25" s="9" t="str">
        <f>IF(G25&lt;&gt;"",IF(C25="float32",FLOAT2HEX(G25),DEC2HEX(G25,8)),"")</f>
        <v>FFFFFF73DB</v>
      </c>
      <c r="I25" s="9">
        <f t="shared" si="1"/>
        <v>-35877</v>
      </c>
    </row>
    <row r="26" spans="1:9" s="11" customFormat="1" ht="15" customHeight="1" x14ac:dyDescent="0.25">
      <c r="A26" s="56">
        <f>IF(I26&lt;&gt;"",MAX(A$1:A25)+1,"")</f>
        <v>19</v>
      </c>
      <c r="B26" s="45" t="s">
        <v>153</v>
      </c>
      <c r="C26" t="s">
        <v>57</v>
      </c>
      <c r="D26">
        <f>IF(OR(C26="sint64",C26="uint64",C26="double64"), 8, IF(OR(C26="sint32",C26="uint32",C26="float32"),4,IF(OR(C26="sint16",C26="uint16"),2,  IF(OR(C26="sint8",C26="uint8"),1,""))))</f>
        <v>4</v>
      </c>
      <c r="E26" s="2" t="s">
        <v>641</v>
      </c>
      <c r="F26"/>
      <c r="G26" s="11">
        <f>ROUND( (DIRECT_IND_POS_9 * 32768)/BASE_IND,0)</f>
        <v>20401</v>
      </c>
      <c r="H26" s="9" t="str">
        <f>IF(G26&lt;&gt;"",IF(C26="float32",FLOAT2HEX(G26),DEC2HEX(G26,8)),"")</f>
        <v>00004FB1</v>
      </c>
      <c r="I26" s="9">
        <f>IF(G26&lt;&gt;"",HEX2DEC(H26),"")</f>
        <v>20401</v>
      </c>
    </row>
    <row r="27" spans="1:9" s="11" customFormat="1" ht="15" customHeight="1" x14ac:dyDescent="0.25">
      <c r="A27" s="56">
        <f>IF(I27&lt;&gt;"",MAX(A$1:A26)+1,"")</f>
        <v>20</v>
      </c>
      <c r="B27" s="45" t="s">
        <v>138</v>
      </c>
      <c r="C27" t="s">
        <v>57</v>
      </c>
      <c r="D27">
        <f t="shared" si="0"/>
        <v>4</v>
      </c>
      <c r="E27" s="2" t="s">
        <v>626</v>
      </c>
      <c r="F27"/>
      <c r="G27" s="11">
        <f>ROUND((DIRECT_CURR_POS_10 * 32768)/BASE_CURRENT,0)</f>
        <v>-39864</v>
      </c>
      <c r="H27" s="9" t="str">
        <f>IF(G27&lt;&gt;"",IF(C27="float32",FLOAT2HEX(G27),DEC2HEX(G27,8)),"")</f>
        <v>FFFFFF6448</v>
      </c>
      <c r="I27" s="9">
        <f t="shared" si="1"/>
        <v>-39864</v>
      </c>
    </row>
    <row r="28" spans="1:9" s="11" customFormat="1" ht="15" customHeight="1" x14ac:dyDescent="0.25">
      <c r="A28" s="56">
        <f>IF(I28&lt;&gt;"",MAX(A$1:A27)+1,"")</f>
        <v>21</v>
      </c>
      <c r="B28" s="45" t="s">
        <v>154</v>
      </c>
      <c r="C28" t="s">
        <v>57</v>
      </c>
      <c r="D28">
        <f>IF(OR(C28="sint64",C28="uint64",C28="double64"), 8, IF(OR(C28="sint32",C28="uint32",C28="float32"),4,IF(OR(C28="sint16",C28="uint16"),2,  IF(OR(C28="sint8",C28="uint8"),1,""))))</f>
        <v>4</v>
      </c>
      <c r="E28" s="2" t="s">
        <v>642</v>
      </c>
      <c r="F28"/>
      <c r="G28" s="11">
        <f>ROUND( (DIRECT_IND_POS_10 * 32768)/BASE_IND,0)</f>
        <v>20401</v>
      </c>
      <c r="H28" s="9" t="str">
        <f>IF(G28&lt;&gt;"",IF(C28="float32",FLOAT2HEX(G28),DEC2HEX(G28,8)),"")</f>
        <v>00004FB1</v>
      </c>
      <c r="I28" s="9">
        <f>IF(G28&lt;&gt;"",HEX2DEC(H28),"")</f>
        <v>20401</v>
      </c>
    </row>
    <row r="29" spans="1:9" s="11" customFormat="1" ht="15" customHeight="1" x14ac:dyDescent="0.25">
      <c r="A29" s="56">
        <f>IF(I29&lt;&gt;"",MAX(A$1:A28)+1,"")</f>
        <v>22</v>
      </c>
      <c r="B29" s="45" t="s">
        <v>140</v>
      </c>
      <c r="C29" t="s">
        <v>57</v>
      </c>
      <c r="D29">
        <f t="shared" si="0"/>
        <v>4</v>
      </c>
      <c r="E29" s="2" t="s">
        <v>627</v>
      </c>
      <c r="F29"/>
      <c r="G29" s="11">
        <f>ROUND( (DIRECT_CURR_POS_11 * 32768)/BASE_CURRENT,0)</f>
        <v>-43850</v>
      </c>
      <c r="H29" s="9" t="str">
        <f>IF(G29&lt;&gt;"",IF(C29="float32",FLOAT2HEX(G29),DEC2HEX(G29,8)),"")</f>
        <v>FFFFFF54B6</v>
      </c>
      <c r="I29" s="9">
        <f t="shared" si="1"/>
        <v>-43850</v>
      </c>
    </row>
    <row r="30" spans="1:9" s="11" customFormat="1" ht="15" customHeight="1" x14ac:dyDescent="0.25">
      <c r="A30" s="56">
        <f>IF(I30&lt;&gt;"",MAX(A$1:A29)+1,"")</f>
        <v>23</v>
      </c>
      <c r="B30" s="45" t="s">
        <v>155</v>
      </c>
      <c r="C30" t="s">
        <v>57</v>
      </c>
      <c r="D30">
        <f>IF(OR(C30="sint64",C30="uint64",C30="double64"), 8, IF(OR(C30="sint32",C30="uint32",C30="float32"),4,IF(OR(C30="sint16",C30="uint16"),2,  IF(OR(C30="sint8",C30="uint8"),1,""))))</f>
        <v>4</v>
      </c>
      <c r="E30" s="2" t="s">
        <v>643</v>
      </c>
      <c r="F30"/>
      <c r="G30" s="11">
        <f>ROUND( (DIRECT_IND_POS_11 * 32768)/BASE_IND,0)</f>
        <v>20401</v>
      </c>
      <c r="H30" s="9" t="str">
        <f>IF(G30&lt;&gt;"",IF(C30="float32",FLOAT2HEX(G30),DEC2HEX(G30,8)),"")</f>
        <v>00004FB1</v>
      </c>
      <c r="I30" s="9">
        <f>IF(G30&lt;&gt;"",HEX2DEC(H30),"")</f>
        <v>20401</v>
      </c>
    </row>
    <row r="31" spans="1:9" s="11" customFormat="1" ht="15" customHeight="1" x14ac:dyDescent="0.25">
      <c r="A31" s="56">
        <f>IF(I31&lt;&gt;"",MAX(A$1:A30)+1,"")</f>
        <v>24</v>
      </c>
      <c r="B31" s="45" t="s">
        <v>139</v>
      </c>
      <c r="C31" t="s">
        <v>57</v>
      </c>
      <c r="D31">
        <f t="shared" si="0"/>
        <v>4</v>
      </c>
      <c r="E31" s="2" t="s">
        <v>628</v>
      </c>
      <c r="F31"/>
      <c r="G31" s="11">
        <f>ROUND((DIRECT_CURR_POS_12 * 32768)/BASE_CURRENT,0)</f>
        <v>-47836</v>
      </c>
      <c r="H31" s="9" t="str">
        <f>IF(G31&lt;&gt;"",IF(C31="float32",FLOAT2HEX(G31),DEC2HEX(G31,8)),"")</f>
        <v>FFFFFF4524</v>
      </c>
      <c r="I31" s="9">
        <f t="shared" si="1"/>
        <v>-47836</v>
      </c>
    </row>
    <row r="32" spans="1:9" s="11" customFormat="1" ht="15" customHeight="1" x14ac:dyDescent="0.25">
      <c r="A32" s="56">
        <f>IF(I32&lt;&gt;"",MAX(A$1:A31)+1,"")</f>
        <v>25</v>
      </c>
      <c r="B32" s="45" t="s">
        <v>156</v>
      </c>
      <c r="C32" t="s">
        <v>57</v>
      </c>
      <c r="D32">
        <f>IF(OR(C32="sint64",C32="uint64",C32="double64"), 8, IF(OR(C32="sint32",C32="uint32",C32="float32"),4,IF(OR(C32="sint16",C32="uint16"),2,  IF(OR(C32="sint8",C32="uint8"),1,""))))</f>
        <v>4</v>
      </c>
      <c r="E32" s="2" t="s">
        <v>644</v>
      </c>
      <c r="F32"/>
      <c r="G32" s="11">
        <f>ROUND( (DIRECT_IND_POS_12 * 32768)/BASE_IND,0)</f>
        <v>20401</v>
      </c>
      <c r="H32" s="9" t="str">
        <f>IF(G32&lt;&gt;"",IF(C32="float32",FLOAT2HEX(G32),DEC2HEX(G32,8)),"")</f>
        <v>00004FB1</v>
      </c>
      <c r="I32" s="9">
        <f>IF(G32&lt;&gt;"",HEX2DEC(H32),"")</f>
        <v>20401</v>
      </c>
    </row>
    <row r="33" spans="1:9" s="11" customFormat="1" ht="15" customHeight="1" x14ac:dyDescent="0.25">
      <c r="A33" s="56">
        <f>IF(I33&lt;&gt;"",MAX(A$1:A32)+1,"")</f>
        <v>26</v>
      </c>
      <c r="B33" s="45" t="s">
        <v>141</v>
      </c>
      <c r="C33" t="s">
        <v>57</v>
      </c>
      <c r="D33">
        <f t="shared" si="0"/>
        <v>4</v>
      </c>
      <c r="E33" s="2" t="s">
        <v>629</v>
      </c>
      <c r="F33"/>
      <c r="G33" s="11">
        <f>ROUND((DIRECT_CURR_POS_13 * 32768)/BASE_CURRENT,0)</f>
        <v>-51823</v>
      </c>
      <c r="H33" s="9" t="str">
        <f>IF(G33&lt;&gt;"",IF(C33="float32",FLOAT2HEX(G33),DEC2HEX(G33,8)),"")</f>
        <v>FFFFFF3591</v>
      </c>
      <c r="I33" s="9">
        <f t="shared" si="1"/>
        <v>-51823</v>
      </c>
    </row>
    <row r="34" spans="1:9" s="11" customFormat="1" ht="15" customHeight="1" x14ac:dyDescent="0.25">
      <c r="A34" s="56">
        <f>IF(I34&lt;&gt;"",MAX(A$1:A33)+1,"")</f>
        <v>27</v>
      </c>
      <c r="B34" s="45" t="s">
        <v>157</v>
      </c>
      <c r="C34" t="s">
        <v>57</v>
      </c>
      <c r="D34">
        <f>IF(OR(C34="sint64",C34="uint64",C34="double64"), 8, IF(OR(C34="sint32",C34="uint32",C34="float32"),4,IF(OR(C34="sint16",C34="uint16"),2,  IF(OR(C34="sint8",C34="uint8"),1,""))))</f>
        <v>4</v>
      </c>
      <c r="E34" s="2" t="s">
        <v>645</v>
      </c>
      <c r="F34"/>
      <c r="G34" s="11">
        <f>ROUND( (DIRECT_IND_POS_13 * 32768)/BASE_IND,0)</f>
        <v>20401</v>
      </c>
      <c r="H34" s="9" t="str">
        <f>IF(G34&lt;&gt;"",IF(C34="float32",FLOAT2HEX(G34),DEC2HEX(G34,8)),"")</f>
        <v>00004FB1</v>
      </c>
      <c r="I34" s="9">
        <f>IF(G34&lt;&gt;"",HEX2DEC(H34),"")</f>
        <v>20401</v>
      </c>
    </row>
    <row r="35" spans="1:9" s="11" customFormat="1" ht="15" customHeight="1" x14ac:dyDescent="0.25">
      <c r="A35" s="56">
        <f>IF(I35&lt;&gt;"",MAX(A$1:A34)+1,"")</f>
        <v>28</v>
      </c>
      <c r="B35" s="45" t="s">
        <v>142</v>
      </c>
      <c r="C35" t="s">
        <v>57</v>
      </c>
      <c r="D35">
        <f t="shared" si="0"/>
        <v>4</v>
      </c>
      <c r="E35" s="2" t="s">
        <v>630</v>
      </c>
      <c r="F35"/>
      <c r="G35" s="11">
        <f>ROUND( (DIRECT_CURR_POS_14 * 32768)/BASE_CURRENT,0)</f>
        <v>-55809</v>
      </c>
      <c r="H35" s="9" t="str">
        <f>IF(G35&lt;&gt;"",IF(C35="float32",FLOAT2HEX(G35),DEC2HEX(G35,8)),"")</f>
        <v>FFFFFF25FF</v>
      </c>
      <c r="I35" s="9">
        <f t="shared" si="1"/>
        <v>-55809</v>
      </c>
    </row>
    <row r="36" spans="1:9" s="11" customFormat="1" ht="15" customHeight="1" x14ac:dyDescent="0.25">
      <c r="A36" s="56">
        <f>IF(I36&lt;&gt;"",MAX(A$1:A35)+1,"")</f>
        <v>29</v>
      </c>
      <c r="B36" s="45" t="s">
        <v>158</v>
      </c>
      <c r="C36" t="s">
        <v>57</v>
      </c>
      <c r="D36">
        <f>IF(OR(C36="sint64",C36="uint64",C36="double64"), 8, IF(OR(C36="sint32",C36="uint32",C36="float32"),4,IF(OR(C36="sint16",C36="uint16"),2,  IF(OR(C36="sint8",C36="uint8"),1,""))))</f>
        <v>4</v>
      </c>
      <c r="E36" s="2" t="s">
        <v>646</v>
      </c>
      <c r="F36"/>
      <c r="G36" s="11">
        <f>ROUND( (DIRECT_IND_POS_14 * 32768)/BASE_IND,0)</f>
        <v>20401</v>
      </c>
      <c r="H36" s="9" t="str">
        <f>IF(G36&lt;&gt;"",IF(C36="float32",FLOAT2HEX(G36),DEC2HEX(G36,8)),"")</f>
        <v>00004FB1</v>
      </c>
      <c r="I36" s="9">
        <f>IF(G36&lt;&gt;"",HEX2DEC(H36),"")</f>
        <v>20401</v>
      </c>
    </row>
    <row r="37" spans="1:9" s="11" customFormat="1" ht="15" customHeight="1" x14ac:dyDescent="0.25">
      <c r="A37" s="56">
        <f>IF(I37&lt;&gt;"",MAX(A$1:A36)+1,"")</f>
        <v>30</v>
      </c>
      <c r="B37" s="45" t="s">
        <v>143</v>
      </c>
      <c r="C37" t="s">
        <v>57</v>
      </c>
      <c r="D37">
        <f t="shared" si="0"/>
        <v>4</v>
      </c>
      <c r="E37" s="2" t="s">
        <v>631</v>
      </c>
      <c r="F37"/>
      <c r="G37" s="11">
        <f>ROUND( (DIRECT_CURR_POS_15 * 32768)/BASE_CURRENT,0)</f>
        <v>-55809</v>
      </c>
      <c r="H37" s="9" t="str">
        <f>IF(G37&lt;&gt;"",IF(C37="float32",FLOAT2HEX(G37),DEC2HEX(G37,8)),"")</f>
        <v>FFFFFF25FF</v>
      </c>
      <c r="I37" s="9">
        <f t="shared" si="1"/>
        <v>-55809</v>
      </c>
    </row>
    <row r="38" spans="1:9" s="11" customFormat="1" ht="15" customHeight="1" x14ac:dyDescent="0.25">
      <c r="A38" s="56">
        <f>IF(I38&lt;&gt;"",MAX(A$1:A37)+1,"")</f>
        <v>31</v>
      </c>
      <c r="B38" s="45" t="s">
        <v>159</v>
      </c>
      <c r="C38" t="s">
        <v>57</v>
      </c>
      <c r="D38">
        <f t="shared" si="0"/>
        <v>4</v>
      </c>
      <c r="E38" s="2" t="s">
        <v>647</v>
      </c>
      <c r="F38"/>
      <c r="G38" s="11">
        <f>ROUND( (DIRECT_IND_POS_15 * 32768)/BASE_IND,0)</f>
        <v>20401</v>
      </c>
      <c r="H38" s="9" t="str">
        <f>IF(G38&lt;&gt;"",IF(C38="float32",FLOAT2HEX(G38),DEC2HEX(G38,8)),"")</f>
        <v>00004FB1</v>
      </c>
      <c r="I38" s="9">
        <f t="shared" si="1"/>
        <v>20401</v>
      </c>
    </row>
    <row r="39" spans="1:9" s="55" customFormat="1" ht="15" customHeight="1" x14ac:dyDescent="0.25">
      <c r="A39" s="56" t="str">
        <f>IF(I39&lt;&gt;"",MAX(A$1:A38)+1,"")</f>
        <v/>
      </c>
      <c r="B39" s="58"/>
      <c r="C39" s="51"/>
      <c r="D39" s="51"/>
      <c r="E39" s="52"/>
      <c r="F39" s="51"/>
      <c r="H39" s="54"/>
      <c r="I39" s="54"/>
    </row>
    <row r="40" spans="1:9" s="11" customFormat="1" ht="15" customHeight="1" x14ac:dyDescent="0.25">
      <c r="A40" s="56">
        <f>IF(I40&lt;&gt;"",MAX(A$1:A39)+1,"")</f>
        <v>32</v>
      </c>
      <c r="B40" s="45" t="s">
        <v>160</v>
      </c>
      <c r="C40" t="s">
        <v>57</v>
      </c>
      <c r="D40">
        <f t="shared" si="0"/>
        <v>4</v>
      </c>
      <c r="E40" s="2" t="s">
        <v>648</v>
      </c>
      <c r="F40"/>
      <c r="G40" s="11">
        <f>ROUND( (QUAD_CURR_POS_0 * 32768)/BASE_CURRENT,0)</f>
        <v>0</v>
      </c>
      <c r="H40" s="9" t="str">
        <f>IF(G40&lt;&gt;"",IF(C40="float32",FLOAT2HEX(G40),DEC2HEX(G40,8)),"")</f>
        <v>00000000</v>
      </c>
      <c r="I40" s="9">
        <f t="shared" si="1"/>
        <v>0</v>
      </c>
    </row>
    <row r="41" spans="1:9" s="11" customFormat="1" ht="15" customHeight="1" x14ac:dyDescent="0.25">
      <c r="A41" s="56">
        <f>IF(I41&lt;&gt;"",MAX(A$1:A40)+1,"")</f>
        <v>33</v>
      </c>
      <c r="B41" s="45" t="s">
        <v>176</v>
      </c>
      <c r="C41" t="s">
        <v>57</v>
      </c>
      <c r="D41">
        <f>IF(OR(C41="sint64",C41="uint64",C41="double64"), 8, IF(OR(C41="sint32",C41="uint32",C41="float32"),4,IF(OR(C41="sint16",C41="uint16"),2,  IF(OR(C41="sint8",C41="uint8"),1,""))))</f>
        <v>4</v>
      </c>
      <c r="E41" s="2" t="s">
        <v>664</v>
      </c>
      <c r="F41"/>
      <c r="G41" s="11">
        <f>ROUND( (QUAD_IND_POS_0 * 32768)/BASE_IND,0)</f>
        <v>26444</v>
      </c>
      <c r="H41" s="9" t="str">
        <f>IF(G41&lt;&gt;"",IF(C41="float32",FLOAT2HEX(G41),DEC2HEX(G41,8)),"")</f>
        <v>0000674C</v>
      </c>
      <c r="I41" s="9">
        <f>IF(G41&lt;&gt;"",HEX2DEC(H41),"")</f>
        <v>26444</v>
      </c>
    </row>
    <row r="42" spans="1:9" s="11" customFormat="1" ht="15" customHeight="1" x14ac:dyDescent="0.25">
      <c r="A42" s="56">
        <f>IF(I42&lt;&gt;"",MAX(A$1:A41)+1,"")</f>
        <v>34</v>
      </c>
      <c r="B42" s="45" t="s">
        <v>161</v>
      </c>
      <c r="C42" t="s">
        <v>57</v>
      </c>
      <c r="D42">
        <f t="shared" si="0"/>
        <v>4</v>
      </c>
      <c r="E42" s="2" t="s">
        <v>649</v>
      </c>
      <c r="F42"/>
      <c r="G42" s="11">
        <f>ROUND( (QUAD_CURR_POS_1 * 32768)/BASE_CURRENT,0)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s="11" customFormat="1" ht="15" customHeight="1" x14ac:dyDescent="0.25">
      <c r="A43" s="56">
        <f>IF(I43&lt;&gt;"",MAX(A$1:A42)+1,"")</f>
        <v>35</v>
      </c>
      <c r="B43" s="45" t="s">
        <v>177</v>
      </c>
      <c r="C43" t="s">
        <v>57</v>
      </c>
      <c r="D43">
        <f>IF(OR(C43="sint64",C43="uint64",C43="double64"), 8, IF(OR(C43="sint32",C43="uint32",C43="float32"),4,IF(OR(C43="sint16",C43="uint16"),2,  IF(OR(C43="sint8",C43="uint8"),1,""))))</f>
        <v>4</v>
      </c>
      <c r="E43" s="2" t="s">
        <v>665</v>
      </c>
      <c r="F43"/>
      <c r="G43" s="11">
        <f>ROUND( (QUAD_IND_POS_1 * 32768)/BASE_IND,0)</f>
        <v>26762</v>
      </c>
      <c r="H43" s="9" t="str">
        <f>IF(G43&lt;&gt;"",IF(C43="float32",FLOAT2HEX(G43),DEC2HEX(G43,8)),"")</f>
        <v>0000688A</v>
      </c>
      <c r="I43" s="9">
        <f>IF(G43&lt;&gt;"",HEX2DEC(H43),"")</f>
        <v>26762</v>
      </c>
    </row>
    <row r="44" spans="1:9" s="11" customFormat="1" ht="15" customHeight="1" x14ac:dyDescent="0.25">
      <c r="A44" s="56">
        <f>IF(I44&lt;&gt;"",MAX(A$1:A43)+1,"")</f>
        <v>36</v>
      </c>
      <c r="B44" s="45" t="s">
        <v>162</v>
      </c>
      <c r="C44" t="s">
        <v>57</v>
      </c>
      <c r="D44">
        <f t="shared" si="0"/>
        <v>4</v>
      </c>
      <c r="E44" s="2" t="s">
        <v>650</v>
      </c>
      <c r="F44"/>
      <c r="G44" s="11">
        <f>ROUND( (QUAD_CURR_POS_2 * 32768)/BASE_CURRENT,0)</f>
        <v>7973</v>
      </c>
      <c r="H44" s="9" t="str">
        <f>IF(G44&lt;&gt;"",IF(C44="float32",FLOAT2HEX(G44),DEC2HEX(G44,8)),"")</f>
        <v>00001F25</v>
      </c>
      <c r="I44" s="9">
        <f t="shared" si="1"/>
        <v>7973</v>
      </c>
    </row>
    <row r="45" spans="1:9" s="11" customFormat="1" ht="15" customHeight="1" x14ac:dyDescent="0.25">
      <c r="A45" s="56">
        <f>IF(I45&lt;&gt;"",MAX(A$1:A44)+1,"")</f>
        <v>37</v>
      </c>
      <c r="B45" s="45" t="s">
        <v>178</v>
      </c>
      <c r="C45" t="s">
        <v>57</v>
      </c>
      <c r="D45">
        <f>IF(OR(C45="sint64",C45="uint64",C45="double64"), 8, IF(OR(C45="sint32",C45="uint32",C45="float32"),4,IF(OR(C45="sint16",C45="uint16"),2,  IF(OR(C45="sint8",C45="uint8"),1,""))))</f>
        <v>4</v>
      </c>
      <c r="E45" s="2" t="s">
        <v>666</v>
      </c>
      <c r="F45"/>
      <c r="G45" s="11">
        <f>ROUND( (QUAD_IND_POS_2 * 32768)/BASE_IND,0)</f>
        <v>26425</v>
      </c>
      <c r="H45" s="9" t="str">
        <f>IF(G45&lt;&gt;"",IF(C45="float32",FLOAT2HEX(G45),DEC2HEX(G45,8)),"")</f>
        <v>00006739</v>
      </c>
      <c r="I45" s="9">
        <f>IF(G45&lt;&gt;"",HEX2DEC(H45),"")</f>
        <v>26425</v>
      </c>
    </row>
    <row r="46" spans="1:9" s="11" customFormat="1" ht="15" customHeight="1" x14ac:dyDescent="0.25">
      <c r="A46" s="56">
        <f>IF(I46&lt;&gt;"",MAX(A$1:A45)+1,"")</f>
        <v>38</v>
      </c>
      <c r="B46" s="45" t="s">
        <v>163</v>
      </c>
      <c r="C46" t="s">
        <v>57</v>
      </c>
      <c r="D46">
        <f t="shared" si="0"/>
        <v>4</v>
      </c>
      <c r="E46" s="2" t="s">
        <v>651</v>
      </c>
      <c r="F46"/>
      <c r="G46" s="11">
        <f>ROUND( (QUAD_CURR_POS_3 * 32768)/BASE_CURRENT,0)</f>
        <v>11959</v>
      </c>
      <c r="H46" s="9" t="str">
        <f>IF(G46&lt;&gt;"",IF(C46="float32",FLOAT2HEX(G46),DEC2HEX(G46,8)),"")</f>
        <v>00002EB7</v>
      </c>
      <c r="I46" s="9">
        <f t="shared" si="1"/>
        <v>11959</v>
      </c>
    </row>
    <row r="47" spans="1:9" s="11" customFormat="1" ht="15" customHeight="1" x14ac:dyDescent="0.25">
      <c r="A47" s="56">
        <f>IF(I47&lt;&gt;"",MAX(A$1:A46)+1,"")</f>
        <v>39</v>
      </c>
      <c r="B47" s="45" t="s">
        <v>179</v>
      </c>
      <c r="C47" t="s">
        <v>57</v>
      </c>
      <c r="D47">
        <f>IF(OR(C47="sint64",C47="uint64",C47="double64"), 8, IF(OR(C47="sint32",C47="uint32",C47="float32"),4,IF(OR(C47="sint16",C47="uint16"),2,  IF(OR(C47="sint8",C47="uint8"),1,""))))</f>
        <v>4</v>
      </c>
      <c r="E47" s="2" t="s">
        <v>667</v>
      </c>
      <c r="F47"/>
      <c r="G47" s="11">
        <f>ROUND( (QUAD_IND_POS_3 * 32768)/BASE_IND,0)</f>
        <v>25499</v>
      </c>
      <c r="H47" s="9" t="str">
        <f>IF(G47&lt;&gt;"",IF(C47="float32",FLOAT2HEX(G47),DEC2HEX(G47,8)),"")</f>
        <v>0000639B</v>
      </c>
      <c r="I47" s="9">
        <f>IF(G47&lt;&gt;"",HEX2DEC(H47),"")</f>
        <v>25499</v>
      </c>
    </row>
    <row r="48" spans="1:9" s="11" customFormat="1" ht="15" customHeight="1" x14ac:dyDescent="0.25">
      <c r="A48" s="56">
        <f>IF(I48&lt;&gt;"",MAX(A$1:A47)+1,"")</f>
        <v>40</v>
      </c>
      <c r="B48" s="45" t="s">
        <v>164</v>
      </c>
      <c r="C48" t="s">
        <v>57</v>
      </c>
      <c r="D48">
        <f t="shared" si="0"/>
        <v>4</v>
      </c>
      <c r="E48" s="2" t="s">
        <v>652</v>
      </c>
      <c r="F48"/>
      <c r="G48" s="11">
        <f>ROUND( (QUAD_CURR_POS_4 * 32768)/BASE_CURRENT,0)</f>
        <v>15945</v>
      </c>
      <c r="H48" s="9" t="str">
        <f>IF(G48&lt;&gt;"",IF(C48="float32",FLOAT2HEX(G48),DEC2HEX(G48,8)),"")</f>
        <v>00003E49</v>
      </c>
      <c r="I48" s="9">
        <f t="shared" si="1"/>
        <v>15945</v>
      </c>
    </row>
    <row r="49" spans="1:9" s="11" customFormat="1" ht="15" customHeight="1" x14ac:dyDescent="0.25">
      <c r="A49" s="56">
        <f>IF(I49&lt;&gt;"",MAX(A$1:A48)+1,"")</f>
        <v>41</v>
      </c>
      <c r="B49" s="45" t="s">
        <v>180</v>
      </c>
      <c r="C49" t="s">
        <v>57</v>
      </c>
      <c r="D49">
        <f>IF(OR(C49="sint64",C49="uint64",C49="double64"), 8, IF(OR(C49="sint32",C49="uint32",C49="float32"),4,IF(OR(C49="sint16",C49="uint16"),2,  IF(OR(C49="sint8",C49="uint8"),1,""))))</f>
        <v>4</v>
      </c>
      <c r="E49" s="2" t="s">
        <v>668</v>
      </c>
      <c r="F49"/>
      <c r="G49" s="11">
        <f>ROUND( (QUAD_IND_POS_4 * 32768)/BASE_IND,0)</f>
        <v>23379</v>
      </c>
      <c r="H49" s="9" t="str">
        <f>IF(G49&lt;&gt;"",IF(C49="float32",FLOAT2HEX(G49),DEC2HEX(G49,8)),"")</f>
        <v>00005B53</v>
      </c>
      <c r="I49" s="9">
        <f>IF(G49&lt;&gt;"",HEX2DEC(H49),"")</f>
        <v>23379</v>
      </c>
    </row>
    <row r="50" spans="1:9" s="11" customFormat="1" ht="15" customHeight="1" x14ac:dyDescent="0.25">
      <c r="A50" s="56">
        <f>IF(I50&lt;&gt;"",MAX(A$1:A49)+1,"")</f>
        <v>42</v>
      </c>
      <c r="B50" s="45" t="s">
        <v>165</v>
      </c>
      <c r="C50" t="s">
        <v>57</v>
      </c>
      <c r="D50">
        <f t="shared" si="0"/>
        <v>4</v>
      </c>
      <c r="E50" s="2" t="s">
        <v>653</v>
      </c>
      <c r="F50"/>
      <c r="G50" s="11">
        <f>ROUND( (QUAD_CURR_POS_5 * 32768)/BASE_CURRENT,0)</f>
        <v>19932</v>
      </c>
      <c r="H50" s="9" t="str">
        <f>IF(G50&lt;&gt;"",IF(C50="float32",FLOAT2HEX(G50),DEC2HEX(G50,8)),"")</f>
        <v>00004DDC</v>
      </c>
      <c r="I50" s="9">
        <f t="shared" si="1"/>
        <v>19932</v>
      </c>
    </row>
    <row r="51" spans="1:9" s="11" customFormat="1" ht="15" customHeight="1" x14ac:dyDescent="0.25">
      <c r="A51" s="56">
        <f>IF(I51&lt;&gt;"",MAX(A$1:A50)+1,"")</f>
        <v>43</v>
      </c>
      <c r="B51" s="45" t="s">
        <v>181</v>
      </c>
      <c r="C51" t="s">
        <v>57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669</v>
      </c>
      <c r="F51"/>
      <c r="G51" s="11">
        <f>ROUND( (QUAD_IND_POS_5 * 32768)/BASE_IND,0)</f>
        <v>22444</v>
      </c>
      <c r="H51" s="9" t="str">
        <f>IF(G51&lt;&gt;"",IF(C51="float32",FLOAT2HEX(G51),DEC2HEX(G51,8)),"")</f>
        <v>000057AC</v>
      </c>
      <c r="I51" s="9">
        <f>IF(G51&lt;&gt;"",HEX2DEC(H51),"")</f>
        <v>22444</v>
      </c>
    </row>
    <row r="52" spans="1:9" s="11" customFormat="1" ht="15" customHeight="1" x14ac:dyDescent="0.25">
      <c r="A52" s="56">
        <f>IF(I52&lt;&gt;"",MAX(A$1:A51)+1,"")</f>
        <v>44</v>
      </c>
      <c r="B52" s="45" t="s">
        <v>166</v>
      </c>
      <c r="C52" t="s">
        <v>57</v>
      </c>
      <c r="D52">
        <f t="shared" si="0"/>
        <v>4</v>
      </c>
      <c r="E52" s="2" t="s">
        <v>654</v>
      </c>
      <c r="F52"/>
      <c r="G52" s="11">
        <f>ROUND( (QUAD_CURR_POS_6 * 32768)/BASE_CURRENT,0)</f>
        <v>23918</v>
      </c>
      <c r="H52" s="9" t="str">
        <f>IF(G52&lt;&gt;"",IF(C52="float32",FLOAT2HEX(G52),DEC2HEX(G52,8)),"")</f>
        <v>00005D6E</v>
      </c>
      <c r="I52" s="9">
        <f t="shared" si="1"/>
        <v>23918</v>
      </c>
    </row>
    <row r="53" spans="1:9" s="11" customFormat="1" ht="15" customHeight="1" x14ac:dyDescent="0.25">
      <c r="A53" s="56">
        <f>IF(I53&lt;&gt;"",MAX(A$1:A52)+1,"")</f>
        <v>45</v>
      </c>
      <c r="B53" s="45" t="s">
        <v>182</v>
      </c>
      <c r="C53" t="s">
        <v>57</v>
      </c>
      <c r="D53">
        <f>IF(OR(C53="sint64",C53="uint64",C53="double64"), 8, IF(OR(C53="sint32",C53="uint32",C53="float32"),4,IF(OR(C53="sint16",C53="uint16"),2,  IF(OR(C53="sint8",C53="uint8"),1,""))))</f>
        <v>4</v>
      </c>
      <c r="E53" s="2" t="s">
        <v>670</v>
      </c>
      <c r="F53"/>
      <c r="G53" s="11">
        <f>ROUND( (QUAD_IND_POS_6 * 32768)/BASE_IND,0)</f>
        <v>21596</v>
      </c>
      <c r="H53" s="9" t="str">
        <f>IF(G53&lt;&gt;"",IF(C53="float32",FLOAT2HEX(G53),DEC2HEX(G53,8)),"")</f>
        <v>0000545C</v>
      </c>
      <c r="I53" s="9">
        <f>IF(G53&lt;&gt;"",HEX2DEC(H53),"")</f>
        <v>21596</v>
      </c>
    </row>
    <row r="54" spans="1:9" s="11" customFormat="1" ht="15" customHeight="1" x14ac:dyDescent="0.25">
      <c r="A54" s="56">
        <f>IF(I54&lt;&gt;"",MAX(A$1:A53)+1,"")</f>
        <v>46</v>
      </c>
      <c r="B54" s="45" t="s">
        <v>167</v>
      </c>
      <c r="C54" t="s">
        <v>57</v>
      </c>
      <c r="D54">
        <f t="shared" si="0"/>
        <v>4</v>
      </c>
      <c r="E54" s="2" t="s">
        <v>655</v>
      </c>
      <c r="F54"/>
      <c r="G54" s="11">
        <f>ROUND( (QUAD_CURR_POS_7 * 32768)/BASE_CURRENT,0)</f>
        <v>27905</v>
      </c>
      <c r="H54" s="9" t="str">
        <f>IF(G54&lt;&gt;"",IF(C54="float32",FLOAT2HEX(G54),DEC2HEX(G54,8)),"")</f>
        <v>00006D01</v>
      </c>
      <c r="I54" s="9">
        <f t="shared" si="1"/>
        <v>27905</v>
      </c>
    </row>
    <row r="55" spans="1:9" s="11" customFormat="1" ht="15" customHeight="1" x14ac:dyDescent="0.25">
      <c r="A55" s="56">
        <f>IF(I55&lt;&gt;"",MAX(A$1:A54)+1,"")</f>
        <v>47</v>
      </c>
      <c r="B55" s="45" t="s">
        <v>183</v>
      </c>
      <c r="C55" t="s">
        <v>57</v>
      </c>
      <c r="D55">
        <f>IF(OR(C55="sint64",C55="uint64",C55="double64"), 8, IF(OR(C55="sint32",C55="uint32",C55="float32"),4,IF(OR(C55="sint16",C55="uint16"),2,  IF(OR(C55="sint8",C55="uint8"),1,""))))</f>
        <v>4</v>
      </c>
      <c r="E55" s="2" t="s">
        <v>671</v>
      </c>
      <c r="F55"/>
      <c r="G55" s="11">
        <f>ROUND( (QUAD_IND_POS_7 * 32768)/BASE_IND,0)</f>
        <v>21596</v>
      </c>
      <c r="H55" s="9" t="str">
        <f>IF(G55&lt;&gt;"",IF(C55="float32",FLOAT2HEX(G55),DEC2HEX(G55,8)),"")</f>
        <v>0000545C</v>
      </c>
      <c r="I55" s="9">
        <f>IF(G55&lt;&gt;"",HEX2DEC(H55),"")</f>
        <v>21596</v>
      </c>
    </row>
    <row r="56" spans="1:9" s="11" customFormat="1" ht="15" customHeight="1" x14ac:dyDescent="0.25">
      <c r="A56" s="56">
        <f>IF(I56&lt;&gt;"",MAX(A$1:A55)+1,"")</f>
        <v>48</v>
      </c>
      <c r="B56" s="45" t="s">
        <v>168</v>
      </c>
      <c r="C56" t="s">
        <v>57</v>
      </c>
      <c r="D56">
        <f t="shared" si="0"/>
        <v>4</v>
      </c>
      <c r="E56" s="2" t="s">
        <v>656</v>
      </c>
      <c r="F56"/>
      <c r="G56" s="11">
        <f>ROUND( (QUAD_CURR_POS_8 * 32768)/BASE_CURRENT,0)</f>
        <v>31891</v>
      </c>
      <c r="H56" s="9" t="str">
        <f>IF(G56&lt;&gt;"",IF(C56="float32",FLOAT2HEX(G56),DEC2HEX(G56,8)),"")</f>
        <v>00007C93</v>
      </c>
      <c r="I56" s="9">
        <f t="shared" si="1"/>
        <v>31891</v>
      </c>
    </row>
    <row r="57" spans="1:9" s="11" customFormat="1" ht="15" customHeight="1" x14ac:dyDescent="0.25">
      <c r="A57" s="56">
        <f>IF(I57&lt;&gt;"",MAX(A$1:A56)+1,"")</f>
        <v>49</v>
      </c>
      <c r="B57" s="45" t="s">
        <v>184</v>
      </c>
      <c r="C57" t="s">
        <v>57</v>
      </c>
      <c r="D57">
        <f>IF(OR(C57="sint64",C57="uint64",C57="double64"), 8, IF(OR(C57="sint32",C57="uint32",C57="float32"),4,IF(OR(C57="sint16",C57="uint16"),2,  IF(OR(C57="sint8",C57="uint8"),1,""))))</f>
        <v>4</v>
      </c>
      <c r="E57" s="2" t="s">
        <v>672</v>
      </c>
      <c r="F57"/>
      <c r="G57" s="11">
        <f>ROUND( (QUAD_IND_POS_8 * 32768)/BASE_IND,0)</f>
        <v>21596</v>
      </c>
      <c r="H57" s="9" t="str">
        <f>IF(G57&lt;&gt;"",IF(C57="float32",FLOAT2HEX(G57),DEC2HEX(G57,8)),"")</f>
        <v>0000545C</v>
      </c>
      <c r="I57" s="9">
        <f>IF(G57&lt;&gt;"",HEX2DEC(H57),"")</f>
        <v>21596</v>
      </c>
    </row>
    <row r="58" spans="1:9" s="11" customFormat="1" ht="15" customHeight="1" x14ac:dyDescent="0.25">
      <c r="A58" s="56">
        <f>IF(I58&lt;&gt;"",MAX(A$1:A57)+1,"")</f>
        <v>50</v>
      </c>
      <c r="B58" s="45" t="s">
        <v>169</v>
      </c>
      <c r="C58" t="s">
        <v>57</v>
      </c>
      <c r="D58">
        <f t="shared" si="0"/>
        <v>4</v>
      </c>
      <c r="E58" s="2" t="s">
        <v>657</v>
      </c>
      <c r="F58"/>
      <c r="G58" s="11">
        <f>ROUND( (QUAD_CURR_POS_9 * 32768)/BASE_CURRENT,0)</f>
        <v>35877</v>
      </c>
      <c r="H58" s="9" t="str">
        <f>IF(G58&lt;&gt;"",IF(C58="float32",FLOAT2HEX(G58),DEC2HEX(G58,8)),"")</f>
        <v>00008C25</v>
      </c>
      <c r="I58" s="9">
        <f t="shared" si="1"/>
        <v>35877</v>
      </c>
    </row>
    <row r="59" spans="1:9" s="11" customFormat="1" ht="15" customHeight="1" x14ac:dyDescent="0.25">
      <c r="A59" s="56">
        <f>IF(I59&lt;&gt;"",MAX(A$1:A58)+1,"")</f>
        <v>51</v>
      </c>
      <c r="B59" s="45" t="s">
        <v>185</v>
      </c>
      <c r="C59" t="s">
        <v>57</v>
      </c>
      <c r="D59">
        <f>IF(OR(C59="sint64",C59="uint64",C59="double64"), 8, IF(OR(C59="sint32",C59="uint32",C59="float32"),4,IF(OR(C59="sint16",C59="uint16"),2,  IF(OR(C59="sint8",C59="uint8"),1,""))))</f>
        <v>4</v>
      </c>
      <c r="E59" s="2" t="s">
        <v>673</v>
      </c>
      <c r="F59"/>
      <c r="G59" s="11">
        <f>ROUND( (QUAD_IND_POS_9 * 32768)/BASE_IND,0)</f>
        <v>21596</v>
      </c>
      <c r="H59" s="9" t="str">
        <f>IF(G59&lt;&gt;"",IF(C59="float32",FLOAT2HEX(G59),DEC2HEX(G59,8)),"")</f>
        <v>0000545C</v>
      </c>
      <c r="I59" s="9">
        <f>IF(G59&lt;&gt;"",HEX2DEC(H59),"")</f>
        <v>21596</v>
      </c>
    </row>
    <row r="60" spans="1:9" s="11" customFormat="1" ht="15" customHeight="1" x14ac:dyDescent="0.25">
      <c r="A60" s="56">
        <f>IF(I60&lt;&gt;"",MAX(A$1:A59)+1,"")</f>
        <v>52</v>
      </c>
      <c r="B60" s="45" t="s">
        <v>170</v>
      </c>
      <c r="C60" t="s">
        <v>57</v>
      </c>
      <c r="D60">
        <f t="shared" si="0"/>
        <v>4</v>
      </c>
      <c r="E60" s="2" t="s">
        <v>658</v>
      </c>
      <c r="F60"/>
      <c r="G60" s="11">
        <f>ROUND( (QUAD_CURR_POS_10 * 32768)/BASE_CURRENT,0)</f>
        <v>39864</v>
      </c>
      <c r="H60" s="9" t="str">
        <f>IF(G60&lt;&gt;"",IF(C60="float32",FLOAT2HEX(G60),DEC2HEX(G60,8)),"")</f>
        <v>00009BB8</v>
      </c>
      <c r="I60" s="9">
        <f t="shared" si="1"/>
        <v>39864</v>
      </c>
    </row>
    <row r="61" spans="1:9" s="11" customFormat="1" ht="15" customHeight="1" x14ac:dyDescent="0.25">
      <c r="A61" s="56">
        <f>IF(I61&lt;&gt;"",MAX(A$1:A60)+1,"")</f>
        <v>53</v>
      </c>
      <c r="B61" s="45" t="s">
        <v>186</v>
      </c>
      <c r="C61" t="s">
        <v>57</v>
      </c>
      <c r="D61">
        <f>IF(OR(C61="sint64",C61="uint64",C61="double64"), 8, IF(OR(C61="sint32",C61="uint32",C61="float32"),4,IF(OR(C61="sint16",C61="uint16"),2,  IF(OR(C61="sint8",C61="uint8"),1,""))))</f>
        <v>4</v>
      </c>
      <c r="E61" s="2" t="s">
        <v>674</v>
      </c>
      <c r="F61"/>
      <c r="G61" s="11">
        <f>ROUND( (QUAD_IND_POS_10 * 32768)/BASE_IND,0)</f>
        <v>21596</v>
      </c>
      <c r="H61" s="9" t="str">
        <f>IF(G61&lt;&gt;"",IF(C61="float32",FLOAT2HEX(G61),DEC2HEX(G61,8)),"")</f>
        <v>0000545C</v>
      </c>
      <c r="I61" s="9">
        <f>IF(G61&lt;&gt;"",HEX2DEC(H61),"")</f>
        <v>21596</v>
      </c>
    </row>
    <row r="62" spans="1:9" s="11" customFormat="1" ht="15" customHeight="1" x14ac:dyDescent="0.25">
      <c r="A62" s="56">
        <f>IF(I62&lt;&gt;"",MAX(A$1:A61)+1,"")</f>
        <v>54</v>
      </c>
      <c r="B62" s="45" t="s">
        <v>171</v>
      </c>
      <c r="C62" t="s">
        <v>57</v>
      </c>
      <c r="D62">
        <f t="shared" si="0"/>
        <v>4</v>
      </c>
      <c r="E62" s="2" t="s">
        <v>659</v>
      </c>
      <c r="F62"/>
      <c r="G62" s="11">
        <f>ROUND( (QUAD_CURR_POS_11 * 32768)/BASE_CURRENT,0)</f>
        <v>43850</v>
      </c>
      <c r="H62" s="9" t="str">
        <f>IF(G62&lt;&gt;"",IF(C62="float32",FLOAT2HEX(G62),DEC2HEX(G62,8)),"")</f>
        <v>0000AB4A</v>
      </c>
      <c r="I62" s="9">
        <f t="shared" si="1"/>
        <v>43850</v>
      </c>
    </row>
    <row r="63" spans="1:9" s="11" customFormat="1" ht="15" customHeight="1" x14ac:dyDescent="0.25">
      <c r="A63" s="56">
        <f>IF(I63&lt;&gt;"",MAX(A$1:A62)+1,"")</f>
        <v>55</v>
      </c>
      <c r="B63" s="45" t="s">
        <v>187</v>
      </c>
      <c r="C63" t="s">
        <v>57</v>
      </c>
      <c r="D63">
        <f>IF(OR(C63="sint64",C63="uint64",C63="double64"), 8, IF(OR(C63="sint32",C63="uint32",C63="float32"),4,IF(OR(C63="sint16",C63="uint16"),2,  IF(OR(C63="sint8",C63="uint8"),1,""))))</f>
        <v>4</v>
      </c>
      <c r="E63" s="2" t="s">
        <v>675</v>
      </c>
      <c r="F63"/>
      <c r="G63" s="11">
        <f>ROUND( (QUAD_IND_POS_11 * 32768)/BASE_IND,0)</f>
        <v>21596</v>
      </c>
      <c r="H63" s="9" t="str">
        <f>IF(G63&lt;&gt;"",IF(C63="float32",FLOAT2HEX(G63),DEC2HEX(G63,8)),"")</f>
        <v>0000545C</v>
      </c>
      <c r="I63" s="9">
        <f>IF(G63&lt;&gt;"",HEX2DEC(H63),"")</f>
        <v>21596</v>
      </c>
    </row>
    <row r="64" spans="1:9" s="11" customFormat="1" ht="15" customHeight="1" x14ac:dyDescent="0.25">
      <c r="A64" s="56">
        <f>IF(I64&lt;&gt;"",MAX(A$1:A63)+1,"")</f>
        <v>56</v>
      </c>
      <c r="B64" s="45" t="s">
        <v>172</v>
      </c>
      <c r="C64" t="s">
        <v>57</v>
      </c>
      <c r="D64">
        <f t="shared" si="0"/>
        <v>4</v>
      </c>
      <c r="E64" s="2" t="s">
        <v>660</v>
      </c>
      <c r="F64"/>
      <c r="G64" s="11">
        <f>ROUND( (QUAD_CURR_POS_12 * 32768)/BASE_CURRENT,0)</f>
        <v>47836</v>
      </c>
      <c r="H64" s="9" t="str">
        <f>IF(G64&lt;&gt;"",IF(C64="float32",FLOAT2HEX(G64),DEC2HEX(G64,8)),"")</f>
        <v>0000BADC</v>
      </c>
      <c r="I64" s="9">
        <f t="shared" si="1"/>
        <v>47836</v>
      </c>
    </row>
    <row r="65" spans="1:9" s="11" customFormat="1" ht="15" customHeight="1" x14ac:dyDescent="0.25">
      <c r="A65" s="56">
        <f>IF(I65&lt;&gt;"",MAX(A$1:A64)+1,"")</f>
        <v>57</v>
      </c>
      <c r="B65" s="45" t="s">
        <v>188</v>
      </c>
      <c r="C65" t="s">
        <v>57</v>
      </c>
      <c r="D65">
        <f>IF(OR(C65="sint64",C65="uint64",C65="double64"), 8, IF(OR(C65="sint32",C65="uint32",C65="float32"),4,IF(OR(C65="sint16",C65="uint16"),2,  IF(OR(C65="sint8",C65="uint8"),1,""))))</f>
        <v>4</v>
      </c>
      <c r="E65" s="2" t="s">
        <v>676</v>
      </c>
      <c r="F65"/>
      <c r="G65" s="11">
        <f>ROUND( (QUAD_IND_POS_12 * 32768)/BASE_IND,0)</f>
        <v>21596</v>
      </c>
      <c r="H65" s="9" t="str">
        <f>IF(G65&lt;&gt;"",IF(C65="float32",FLOAT2HEX(G65),DEC2HEX(G65,8)),"")</f>
        <v>0000545C</v>
      </c>
      <c r="I65" s="9">
        <f>IF(G65&lt;&gt;"",HEX2DEC(H65),"")</f>
        <v>21596</v>
      </c>
    </row>
    <row r="66" spans="1:9" s="11" customFormat="1" ht="15" customHeight="1" x14ac:dyDescent="0.25">
      <c r="A66" s="56">
        <f>IF(I66&lt;&gt;"",MAX(A$1:A65)+1,"")</f>
        <v>58</v>
      </c>
      <c r="B66" s="45" t="s">
        <v>173</v>
      </c>
      <c r="C66" t="s">
        <v>57</v>
      </c>
      <c r="D66">
        <f t="shared" si="0"/>
        <v>4</v>
      </c>
      <c r="E66" s="2" t="s">
        <v>661</v>
      </c>
      <c r="F66"/>
      <c r="G66" s="11">
        <f>ROUND( (QUAD_CURR_POS_13 * 32768)/BASE_CURRENT,0)</f>
        <v>51823</v>
      </c>
      <c r="H66" s="9" t="str">
        <f>IF(G66&lt;&gt;"",IF(C66="float32",FLOAT2HEX(G66),DEC2HEX(G66,8)),"")</f>
        <v>0000CA6F</v>
      </c>
      <c r="I66" s="9">
        <f t="shared" si="1"/>
        <v>51823</v>
      </c>
    </row>
    <row r="67" spans="1:9" s="11" customFormat="1" ht="15" customHeight="1" x14ac:dyDescent="0.25">
      <c r="A67" s="56">
        <f>IF(I67&lt;&gt;"",MAX(A$1:A66)+1,"")</f>
        <v>59</v>
      </c>
      <c r="B67" s="45" t="s">
        <v>189</v>
      </c>
      <c r="C67" t="s">
        <v>57</v>
      </c>
      <c r="D67">
        <f>IF(OR(C67="sint64",C67="uint64",C67="double64"), 8, IF(OR(C67="sint32",C67="uint32",C67="float32"),4,IF(OR(C67="sint16",C67="uint16"),2,  IF(OR(C67="sint8",C67="uint8"),1,""))))</f>
        <v>4</v>
      </c>
      <c r="E67" s="2" t="s">
        <v>677</v>
      </c>
      <c r="F67"/>
      <c r="G67" s="11">
        <f>ROUND( (QUAD_IND_POS_13 * 32768)/BASE_IND,0)</f>
        <v>21596</v>
      </c>
      <c r="H67" s="9" t="str">
        <f>IF(G67&lt;&gt;"",IF(C67="float32",FLOAT2HEX(G67),DEC2HEX(G67,8)),"")</f>
        <v>0000545C</v>
      </c>
      <c r="I67" s="9">
        <f>IF(G67&lt;&gt;"",HEX2DEC(H67),"")</f>
        <v>21596</v>
      </c>
    </row>
    <row r="68" spans="1:9" s="11" customFormat="1" ht="15" customHeight="1" x14ac:dyDescent="0.25">
      <c r="A68" s="56">
        <f>IF(I68&lt;&gt;"",MAX(A$1:A67)+1,"")</f>
        <v>60</v>
      </c>
      <c r="B68" s="45" t="s">
        <v>174</v>
      </c>
      <c r="C68" t="s">
        <v>57</v>
      </c>
      <c r="D68">
        <f t="shared" si="0"/>
        <v>4</v>
      </c>
      <c r="E68" s="2" t="s">
        <v>662</v>
      </c>
      <c r="F68"/>
      <c r="G68" s="11">
        <f>ROUND( (QUAD_CURR_POS_14 * 32768)/BASE_CURRENT,0)</f>
        <v>55809</v>
      </c>
      <c r="H68" s="9" t="str">
        <f>IF(G68&lt;&gt;"",IF(C68="float32",FLOAT2HEX(G68),DEC2HEX(G68,8)),"")</f>
        <v>0000DA01</v>
      </c>
      <c r="I68" s="9">
        <f t="shared" si="1"/>
        <v>55809</v>
      </c>
    </row>
    <row r="69" spans="1:9" s="11" customFormat="1" ht="15" customHeight="1" x14ac:dyDescent="0.25">
      <c r="A69" s="56">
        <f>IF(I69&lt;&gt;"",MAX(A$1:A68)+1,"")</f>
        <v>61</v>
      </c>
      <c r="B69" s="45" t="s">
        <v>190</v>
      </c>
      <c r="C69" t="s">
        <v>57</v>
      </c>
      <c r="D69">
        <f>IF(OR(C69="sint64",C69="uint64",C69="double64"), 8, IF(OR(C69="sint32",C69="uint32",C69="float32"),4,IF(OR(C69="sint16",C69="uint16"),2,  IF(OR(C69="sint8",C69="uint8"),1,""))))</f>
        <v>4</v>
      </c>
      <c r="E69" s="2" t="s">
        <v>678</v>
      </c>
      <c r="F69"/>
      <c r="G69" s="11">
        <f>ROUND( (QUAD_IND_POS_14 * 32768)/BASE_IND,0)</f>
        <v>21596</v>
      </c>
      <c r="H69" s="9" t="str">
        <f>IF(G69&lt;&gt;"",IF(C69="float32",FLOAT2HEX(G69),DEC2HEX(G69,8)),"")</f>
        <v>0000545C</v>
      </c>
      <c r="I69" s="9">
        <f>IF(G69&lt;&gt;"",HEX2DEC(H69),"")</f>
        <v>21596</v>
      </c>
    </row>
    <row r="70" spans="1:9" s="11" customFormat="1" ht="15" customHeight="1" x14ac:dyDescent="0.25">
      <c r="A70" s="56">
        <f>IF(I70&lt;&gt;"",MAX(A$1:A69)+1,"")</f>
        <v>62</v>
      </c>
      <c r="B70" s="45" t="s">
        <v>175</v>
      </c>
      <c r="C70" t="s">
        <v>57</v>
      </c>
      <c r="D70">
        <f t="shared" si="0"/>
        <v>4</v>
      </c>
      <c r="E70" s="2" t="s">
        <v>663</v>
      </c>
      <c r="F70"/>
      <c r="G70" s="11">
        <f>ROUND( (QUAD_CURR_POS_15 * 32768)/BASE_CURRENT,0)</f>
        <v>55809</v>
      </c>
      <c r="H70" s="9" t="str">
        <f>IF(G70&lt;&gt;"",IF(C70="float32",FLOAT2HEX(G70),DEC2HEX(G70,8)),"")</f>
        <v>0000DA01</v>
      </c>
      <c r="I70" s="9">
        <f t="shared" si="1"/>
        <v>55809</v>
      </c>
    </row>
    <row r="71" spans="1:9" s="11" customFormat="1" ht="15" customHeight="1" x14ac:dyDescent="0.25">
      <c r="A71" s="56">
        <f>IF(I71&lt;&gt;"",MAX(A$1:A70)+1,"")</f>
        <v>63</v>
      </c>
      <c r="B71" s="45" t="s">
        <v>191</v>
      </c>
      <c r="C71" t="s">
        <v>57</v>
      </c>
      <c r="D71">
        <f t="shared" ref="D71" si="2">IF(OR(C71="sint64",C71="uint64",C71="double64"), 8, IF(OR(C71="sint32",C71="uint32",C71="float32"),4,IF(OR(C71="sint16",C71="uint16"),2,  IF(OR(C71="sint8",C71="uint8"),1,""))))</f>
        <v>4</v>
      </c>
      <c r="E71" s="2" t="s">
        <v>679</v>
      </c>
      <c r="F71"/>
      <c r="G71" s="11">
        <f>ROUND( (QUAD_IND_POS_15 * 32768)/BASE_IND,0)</f>
        <v>21596</v>
      </c>
      <c r="H71" s="9" t="str">
        <f>IF(G71&lt;&gt;"",IF(C71="float32",FLOAT2HEX(G71),DEC2HEX(G71,8)),"")</f>
        <v>0000545C</v>
      </c>
      <c r="I71" s="9">
        <f t="shared" si="1"/>
        <v>21596</v>
      </c>
    </row>
    <row r="72" spans="1:9" s="55" customFormat="1" ht="15" customHeight="1" x14ac:dyDescent="0.25">
      <c r="A72" s="96">
        <f>IF(I72&lt;&gt;"",MAX(A$1:A71)+1,"")</f>
        <v>64</v>
      </c>
      <c r="B72" s="97" t="s">
        <v>3126</v>
      </c>
      <c r="C72" s="103" t="s">
        <v>57</v>
      </c>
      <c r="D72" s="103">
        <f t="shared" ref="D72" si="3">IF(OR(C72="sint64",C72="uint64",C72="double64"), 8, IF(OR(C72="sint32",C72="uint32",C72="float32"),4,IF(OR(C72="sint16",C72="uint16"),2,  IF(OR(C72="sint8",C72="uint8"),1,""))))</f>
        <v>4</v>
      </c>
      <c r="E72" s="89" t="s">
        <v>3127</v>
      </c>
      <c r="F72" s="103"/>
      <c r="G72" s="95">
        <f>(A71+1)/4-1</f>
        <v>15</v>
      </c>
      <c r="H72" s="94" t="str">
        <f>IF(G72&lt;&gt;"",IF(C72="float32",FLOAT2HEX(G72),DEC2HEX(G72,8)),"")</f>
        <v>0000000F</v>
      </c>
      <c r="I72" s="94">
        <f t="shared" ref="I72" si="4">IF(G72&lt;&gt;"",HEX2DEC(H72),"")</f>
        <v>15</v>
      </c>
    </row>
    <row r="73" spans="1:9" s="11" customFormat="1" ht="15" customHeight="1" x14ac:dyDescent="0.25">
      <c r="A73" s="56"/>
      <c r="B73" s="45"/>
      <c r="C73"/>
      <c r="D73"/>
      <c r="E73" s="2"/>
      <c r="F73"/>
      <c r="H73" s="9"/>
      <c r="I73" s="9"/>
    </row>
    <row r="74" spans="1:9" ht="15" customHeight="1" x14ac:dyDescent="0.25">
      <c r="A74" s="56"/>
      <c r="B74" s="45"/>
      <c r="E74" s="2"/>
      <c r="G74" s="11"/>
      <c r="H74" s="9"/>
      <c r="I74" s="9"/>
    </row>
    <row r="75" spans="1:9" s="11" customFormat="1" ht="15" customHeight="1" x14ac:dyDescent="0.25">
      <c r="A75" s="56"/>
      <c r="B75" s="45"/>
      <c r="C75"/>
      <c r="D75"/>
      <c r="E75" s="2"/>
      <c r="F75"/>
      <c r="H75" s="9"/>
      <c r="I75" s="9"/>
    </row>
    <row r="76" spans="1:9" ht="15" customHeight="1" x14ac:dyDescent="0.25">
      <c r="A76" s="56"/>
      <c r="B76" s="45"/>
      <c r="E76" s="2"/>
      <c r="G76" s="11"/>
      <c r="H76" s="9"/>
      <c r="I76" s="9"/>
    </row>
    <row r="77" spans="1:9" s="11" customFormat="1" ht="15" customHeight="1" x14ac:dyDescent="0.25">
      <c r="A77" s="56"/>
      <c r="B77" s="45"/>
      <c r="C77"/>
      <c r="D77"/>
      <c r="E77" s="2"/>
      <c r="F77"/>
      <c r="H77" s="9"/>
      <c r="I77" s="9"/>
    </row>
    <row r="78" spans="1:9" ht="15" customHeight="1" x14ac:dyDescent="0.25">
      <c r="A78" s="56"/>
      <c r="B78" s="45"/>
      <c r="E78" s="2"/>
      <c r="G78" s="11"/>
      <c r="H78" s="9"/>
      <c r="I78" s="9"/>
    </row>
    <row r="79" spans="1:9" s="11" customFormat="1" ht="15" customHeight="1" x14ac:dyDescent="0.25">
      <c r="A79" s="56"/>
      <c r="B79" s="45"/>
      <c r="C79"/>
      <c r="D79"/>
      <c r="E79" s="2"/>
      <c r="F79"/>
      <c r="H79" s="9"/>
      <c r="I79" s="9"/>
    </row>
    <row r="80" spans="1:9" ht="15" customHeight="1" x14ac:dyDescent="0.25">
      <c r="A80" s="56"/>
      <c r="B80" s="45"/>
      <c r="E80" s="2"/>
      <c r="G80" s="11"/>
      <c r="H80" s="9"/>
      <c r="I80" s="9"/>
    </row>
    <row r="81" spans="1:9" s="11" customFormat="1" ht="15" customHeight="1" x14ac:dyDescent="0.25">
      <c r="A81" s="56"/>
      <c r="B81" s="45"/>
      <c r="C81"/>
      <c r="D81"/>
      <c r="E81" s="2"/>
      <c r="F81"/>
      <c r="H81" s="9"/>
      <c r="I81" s="9"/>
    </row>
    <row r="82" spans="1:9" ht="15" customHeight="1" x14ac:dyDescent="0.25">
      <c r="A82" s="56"/>
      <c r="B82" s="45"/>
      <c r="E82" s="2"/>
      <c r="G82" s="11"/>
      <c r="H82" s="9"/>
      <c r="I82" s="9"/>
    </row>
    <row r="83" spans="1:9" s="11" customFormat="1" ht="15" customHeight="1" x14ac:dyDescent="0.25">
      <c r="A83" s="56"/>
      <c r="B83" s="45"/>
      <c r="C83"/>
      <c r="D83"/>
      <c r="E83" s="2"/>
      <c r="F83"/>
      <c r="H83" s="9"/>
      <c r="I83" s="9"/>
    </row>
    <row r="84" spans="1:9" ht="15" customHeight="1" x14ac:dyDescent="0.25">
      <c r="A84" s="56"/>
      <c r="B84" s="45"/>
      <c r="E84" s="2"/>
      <c r="G84" s="11"/>
      <c r="H84" s="9"/>
      <c r="I84" s="9"/>
    </row>
    <row r="85" spans="1:9" s="11" customFormat="1" ht="15" customHeight="1" x14ac:dyDescent="0.25">
      <c r="A85" s="56"/>
      <c r="B85" s="45"/>
      <c r="C85"/>
      <c r="D85"/>
      <c r="E85" s="2"/>
      <c r="F85"/>
      <c r="H85" s="9"/>
      <c r="I85" s="9"/>
    </row>
    <row r="86" spans="1:9" ht="15" customHeight="1" x14ac:dyDescent="0.25">
      <c r="A86" s="56"/>
      <c r="B86" s="45"/>
      <c r="E86" s="2"/>
      <c r="G86" s="11"/>
      <c r="H86" s="9"/>
      <c r="I86" s="9"/>
    </row>
    <row r="87" spans="1:9" ht="15" customHeight="1" x14ac:dyDescent="0.25">
      <c r="A87" s="56"/>
      <c r="B87" s="45"/>
      <c r="E87" s="2"/>
      <c r="G87" s="11"/>
      <c r="H87" s="9"/>
      <c r="I87" s="9"/>
    </row>
    <row r="88" spans="1:9" ht="15" customHeight="1" x14ac:dyDescent="0.25">
      <c r="A88" s="56"/>
      <c r="B88" s="45"/>
      <c r="E88" s="2"/>
      <c r="G88" s="11"/>
      <c r="H88" s="9"/>
      <c r="I88" s="9"/>
    </row>
    <row r="89" spans="1:9" x14ac:dyDescent="0.25">
      <c r="A89" s="56" t="str">
        <f>IF(I89&lt;&gt;"",MAX(A$1:A88)+1,"")</f>
        <v/>
      </c>
    </row>
    <row r="90" spans="1:9" x14ac:dyDescent="0.25">
      <c r="A90" s="56" t="str">
        <f>IF(I90&lt;&gt;"",MAX(A$1:A89)+1,"")</f>
        <v/>
      </c>
    </row>
    <row r="91" spans="1:9" x14ac:dyDescent="0.25">
      <c r="A91" s="56" t="str">
        <f>IF(I91&lt;&gt;"",MAX(A$1:A90)+1,"")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8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18" activePane="bottomLeft" state="frozen"/>
      <selection activeCell="A285" sqref="A285"/>
      <selection pane="bottomLeft" activeCell="B46" sqref="B46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4" t="s">
        <v>821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5" t="s">
        <v>194</v>
      </c>
      <c r="C3" s="115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747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748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749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750</v>
      </c>
      <c r="C8" t="s">
        <v>57</v>
      </c>
      <c r="D8">
        <f t="shared" si="0"/>
        <v>4</v>
      </c>
      <c r="E8" s="2" t="s">
        <v>751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7" t="s">
        <v>752</v>
      </c>
      <c r="C9" t="s">
        <v>57</v>
      </c>
      <c r="D9">
        <f t="shared" si="0"/>
        <v>4</v>
      </c>
      <c r="E9" s="2" t="s">
        <v>753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754</v>
      </c>
      <c r="C10" t="s">
        <v>63</v>
      </c>
      <c r="D10">
        <f t="shared" si="0"/>
        <v>4</v>
      </c>
      <c r="E10" s="2" t="s">
        <v>755</v>
      </c>
      <c r="G10" s="11">
        <f>ROUND(((1/OBSERVER_TS) * FORCE_MAX_STARTING_TIME),0)</f>
        <v>8000</v>
      </c>
      <c r="H10" s="9" t="str">
        <f>IF(G10&lt;&gt;"",IF(C10="float32",FLOAT2HEX(G10),DEC2HEX(G10,8)),"")</f>
        <v>00001F40</v>
      </c>
      <c r="I10" s="9">
        <f t="shared" si="1"/>
        <v>8000</v>
      </c>
    </row>
    <row r="11" spans="1:22" ht="15" customHeight="1" x14ac:dyDescent="0.25">
      <c r="A11" s="22">
        <f>IF(I11&lt;&gt;"",MAX(A$1:A10)+1,"")</f>
        <v>4</v>
      </c>
      <c r="B11" s="45" t="s">
        <v>756</v>
      </c>
      <c r="C11" t="s">
        <v>57</v>
      </c>
      <c r="D11">
        <f t="shared" si="0"/>
        <v>4</v>
      </c>
      <c r="E11" s="2" t="s">
        <v>608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757</v>
      </c>
      <c r="C12" t="s">
        <v>57</v>
      </c>
      <c r="D12">
        <f t="shared" si="0"/>
        <v>4</v>
      </c>
      <c r="E12" s="2" t="s">
        <v>758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759</v>
      </c>
      <c r="C13" t="s">
        <v>57</v>
      </c>
      <c r="D13">
        <f t="shared" si="0"/>
        <v>4</v>
      </c>
      <c r="E13" s="2" t="s">
        <v>760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761</v>
      </c>
      <c r="C14" t="s">
        <v>57</v>
      </c>
      <c r="D14">
        <f t="shared" si="0"/>
        <v>4</v>
      </c>
      <c r="E14" s="2" t="s">
        <v>762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763</v>
      </c>
      <c r="C15" t="s">
        <v>57</v>
      </c>
      <c r="D15">
        <f t="shared" si="0"/>
        <v>4</v>
      </c>
      <c r="E15" s="2" t="s">
        <v>764</v>
      </c>
      <c r="G15" s="11">
        <f>ROUND(((SPEED_KI_REGION_0 * BASE_SPEED_RPM * OBSERVER_TS * (2^20)) / BASE_TORQ),0)</f>
        <v>135</v>
      </c>
      <c r="H15" s="9" t="str">
        <f>IF(G15&lt;&gt;"",IF(C15="float32",FLOAT2HEX(G15),DEC2HEX(G15,8)),"")</f>
        <v>00000087</v>
      </c>
      <c r="I15" s="9">
        <f t="shared" si="1"/>
        <v>135</v>
      </c>
    </row>
    <row r="16" spans="1:22" ht="15" customHeight="1" x14ac:dyDescent="0.25">
      <c r="A16" s="22">
        <f>IF(I16&lt;&gt;"",MAX(A$1:A15)+1,"")</f>
        <v>9</v>
      </c>
      <c r="B16" s="45" t="s">
        <v>765</v>
      </c>
      <c r="C16" t="s">
        <v>63</v>
      </c>
      <c r="D16">
        <f t="shared" si="0"/>
        <v>4</v>
      </c>
      <c r="E16" s="2" t="s">
        <v>766</v>
      </c>
      <c r="G16" s="11">
        <f>ROUND(((1/OBSERVER_TS) * TIME_FORCE_USE_DEFAULT_SPEED_GAINS),0)</f>
        <v>8000</v>
      </c>
      <c r="H16" s="9" t="str">
        <f>IF(G16&lt;&gt;"",IF(C16="float32",FLOAT2HEX(G16),DEC2HEX(G16,8)),"")</f>
        <v>00001F40</v>
      </c>
      <c r="I16" s="9">
        <f t="shared" si="1"/>
        <v>8000</v>
      </c>
    </row>
    <row r="17" spans="1:9" ht="15" customHeight="1" x14ac:dyDescent="0.25">
      <c r="A17" s="22">
        <f>IF(I17&lt;&gt;"",MAX(A$1:A16)+1,"")</f>
        <v>10</v>
      </c>
      <c r="B17" s="45" t="s">
        <v>767</v>
      </c>
      <c r="C17" t="s">
        <v>57</v>
      </c>
      <c r="D17">
        <f t="shared" si="0"/>
        <v>4</v>
      </c>
      <c r="E17" s="2" t="s">
        <v>768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769</v>
      </c>
      <c r="C18" t="s">
        <v>57</v>
      </c>
      <c r="D18">
        <f t="shared" si="0"/>
        <v>4</v>
      </c>
      <c r="E18" s="2" t="s">
        <v>770</v>
      </c>
      <c r="G18" s="11">
        <f>ROUND(((LOAD_ANGLE_KP * (2^15)) / BASE_TORQ),0)</f>
        <v>0</v>
      </c>
      <c r="H18" s="9" t="str">
        <f>IF(G18&lt;&gt;"",IF(C18="float32",FLOAT2HEX(G18),DEC2HEX(G18,8)),"")</f>
        <v>00000000</v>
      </c>
      <c r="I18" s="9">
        <f t="shared" si="1"/>
        <v>0</v>
      </c>
    </row>
    <row r="19" spans="1:9" ht="15" customHeight="1" x14ac:dyDescent="0.25">
      <c r="A19" s="22">
        <f>IF(I19&lt;&gt;"",MAX(A$1:A18)+1,"")</f>
        <v>12</v>
      </c>
      <c r="B19" s="45" t="s">
        <v>771</v>
      </c>
      <c r="C19" t="s">
        <v>57</v>
      </c>
      <c r="D19">
        <f t="shared" si="0"/>
        <v>4</v>
      </c>
      <c r="E19" s="2" t="s">
        <v>772</v>
      </c>
      <c r="G19" s="11">
        <f>ROUND(((LOAD_ANGLE_KI * OBSERVER_TS * (2^15)) / BASE_TORQ),0)</f>
        <v>2377</v>
      </c>
      <c r="H19" s="9" t="str">
        <f>IF(G19&lt;&gt;"",IF(C19="float32",FLOAT2HEX(G19),DEC2HEX(G19,8)),"")</f>
        <v>00000949</v>
      </c>
      <c r="I19" s="9">
        <f t="shared" si="1"/>
        <v>2377</v>
      </c>
    </row>
    <row r="20" spans="1:9" ht="15" customHeight="1" x14ac:dyDescent="0.25">
      <c r="A20" s="22">
        <f>IF(I20&lt;&gt;"",MAX(A$1:A19)+1,"")</f>
        <v>13</v>
      </c>
      <c r="B20" s="45" t="s">
        <v>773</v>
      </c>
      <c r="C20" t="s">
        <v>63</v>
      </c>
      <c r="D20">
        <f t="shared" si="0"/>
        <v>4</v>
      </c>
      <c r="E20" s="2" t="s">
        <v>774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775</v>
      </c>
      <c r="C21" t="s">
        <v>57</v>
      </c>
      <c r="D21">
        <f t="shared" si="0"/>
        <v>4</v>
      </c>
      <c r="E21" s="2" t="s">
        <v>762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776</v>
      </c>
      <c r="C22" t="s">
        <v>57</v>
      </c>
      <c r="D22">
        <f t="shared" si="0"/>
        <v>4</v>
      </c>
      <c r="E22" s="2" t="s">
        <v>764</v>
      </c>
      <c r="G22" s="11">
        <f>ROUND(((SPEED_KI_REGION_0 * BASE_SPEED_RPM * OBSERVER_TS * (2^20)) / BASE_TORQ),0)</f>
        <v>135</v>
      </c>
      <c r="H22" s="9" t="str">
        <f>IF(G22&lt;&gt;"",IF(C22="float32",FLOAT2HEX(G22),DEC2HEX(G22,8)),"")</f>
        <v>00000087</v>
      </c>
      <c r="I22" s="9">
        <f t="shared" si="1"/>
        <v>135</v>
      </c>
    </row>
    <row r="23" spans="1:9" ht="15" customHeight="1" x14ac:dyDescent="0.25">
      <c r="A23" s="22">
        <f>IF(I23&lt;&gt;"",MAX(A$1:A22)+1,"")</f>
        <v>16</v>
      </c>
      <c r="B23" s="45" t="s">
        <v>777</v>
      </c>
      <c r="C23" t="s">
        <v>57</v>
      </c>
      <c r="D23">
        <f t="shared" si="0"/>
        <v>4</v>
      </c>
      <c r="E23" s="2" t="s">
        <v>778</v>
      </c>
      <c r="G23" s="11">
        <f>ROUND((SPEED_THRESHOLD_REGION_0 * (32768/BASE_SPEED_RPM)),0)</f>
        <v>13487</v>
      </c>
      <c r="H23" s="9" t="str">
        <f>IF(G23&lt;&gt;"",IF(C23="float32",FLOAT2HEX(G23),DEC2HEX(G23,8)),"")</f>
        <v>000034AF</v>
      </c>
      <c r="I23" s="9">
        <f t="shared" si="1"/>
        <v>13487</v>
      </c>
    </row>
    <row r="24" spans="1:9" ht="15" customHeight="1" x14ac:dyDescent="0.25">
      <c r="A24" s="22">
        <f>IF(I24&lt;&gt;"",MAX(A$1:A23)+1,"")</f>
        <v>17</v>
      </c>
      <c r="B24" s="45" t="s">
        <v>779</v>
      </c>
      <c r="C24" t="s">
        <v>57</v>
      </c>
      <c r="D24">
        <f t="shared" si="0"/>
        <v>4</v>
      </c>
      <c r="E24" s="2" t="s">
        <v>780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781</v>
      </c>
      <c r="C25" t="s">
        <v>57</v>
      </c>
      <c r="D25">
        <f t="shared" si="0"/>
        <v>4</v>
      </c>
      <c r="E25" s="2" t="s">
        <v>782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783</v>
      </c>
      <c r="C26" t="s">
        <v>57</v>
      </c>
      <c r="D26">
        <f t="shared" si="0"/>
        <v>4</v>
      </c>
      <c r="E26" s="2" t="s">
        <v>784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785</v>
      </c>
      <c r="C27" t="s">
        <v>57</v>
      </c>
      <c r="D27">
        <f t="shared" si="0"/>
        <v>4</v>
      </c>
      <c r="E27" s="2" t="s">
        <v>786</v>
      </c>
      <c r="G27" s="11">
        <f>ROUND(SPEED_THRESHOLD_REGION_1 * (32768/BASE_SPEED_RPM),0)</f>
        <v>224787</v>
      </c>
      <c r="H27" s="9" t="str">
        <f>IF(G27&lt;&gt;"",IF(C27="float32",FLOAT2HEX(G27),DEC2HEX(G27,8)),"")</f>
        <v>00036E13</v>
      </c>
      <c r="I27" s="9">
        <f t="shared" si="1"/>
        <v>224787</v>
      </c>
    </row>
    <row r="28" spans="1:9" ht="15" customHeight="1" x14ac:dyDescent="0.25">
      <c r="A28" s="22">
        <f>IF(I28&lt;&gt;"",MAX(A$1:A27)+1,"")</f>
        <v>21</v>
      </c>
      <c r="B28" s="45" t="s">
        <v>787</v>
      </c>
      <c r="C28" t="s">
        <v>57</v>
      </c>
      <c r="D28">
        <f t="shared" si="0"/>
        <v>4</v>
      </c>
      <c r="E28" s="2" t="s">
        <v>788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789</v>
      </c>
      <c r="C29" t="s">
        <v>57</v>
      </c>
      <c r="D29">
        <f t="shared" si="0"/>
        <v>4</v>
      </c>
      <c r="E29" s="2" t="s">
        <v>790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791</v>
      </c>
      <c r="C30" t="s">
        <v>57</v>
      </c>
      <c r="D30">
        <f t="shared" si="0"/>
        <v>4</v>
      </c>
      <c r="E30" s="2" t="s">
        <v>792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793</v>
      </c>
      <c r="C31" t="s">
        <v>57</v>
      </c>
      <c r="D31">
        <f t="shared" si="0"/>
        <v>4</v>
      </c>
      <c r="E31" s="2" t="s">
        <v>794</v>
      </c>
      <c r="G31" s="11">
        <f>ROUND((SPEED_THRESHOLD_REGION_2 * (32768/BASE_SPEED_RPM)),0)</f>
        <v>284731</v>
      </c>
      <c r="H31" s="9" t="str">
        <f>IF(G31&lt;&gt;"",IF(C31="float32",FLOAT2HEX(G31),DEC2HEX(G31,8)),"")</f>
        <v>0004583B</v>
      </c>
      <c r="I31" s="9">
        <f t="shared" si="1"/>
        <v>284731</v>
      </c>
    </row>
    <row r="32" spans="1:9" ht="15" customHeight="1" x14ac:dyDescent="0.25">
      <c r="A32" s="22">
        <f>IF(I32&lt;&gt;"",MAX(A$1:A31)+1,"")</f>
        <v>25</v>
      </c>
      <c r="B32" s="45" t="s">
        <v>795</v>
      </c>
      <c r="C32" t="s">
        <v>57</v>
      </c>
      <c r="D32">
        <f t="shared" si="0"/>
        <v>4</v>
      </c>
      <c r="E32" s="2" t="s">
        <v>796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797</v>
      </c>
      <c r="C33" t="s">
        <v>57</v>
      </c>
      <c r="D33">
        <f t="shared" si="0"/>
        <v>4</v>
      </c>
      <c r="E33" s="2" t="s">
        <v>798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799</v>
      </c>
      <c r="C34" t="s">
        <v>57</v>
      </c>
      <c r="D34">
        <f t="shared" si="0"/>
        <v>4</v>
      </c>
      <c r="E34" s="2" t="s">
        <v>800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801</v>
      </c>
      <c r="C35" t="s">
        <v>57</v>
      </c>
      <c r="D35">
        <f t="shared" si="0"/>
        <v>4</v>
      </c>
      <c r="E35" s="2" t="s">
        <v>802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803</v>
      </c>
      <c r="C36" t="s">
        <v>57</v>
      </c>
      <c r="D36">
        <f t="shared" si="0"/>
        <v>4</v>
      </c>
      <c r="E36" s="2" t="s">
        <v>804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805</v>
      </c>
      <c r="C37" t="s">
        <v>57</v>
      </c>
      <c r="D37">
        <f t="shared" si="0"/>
        <v>4</v>
      </c>
      <c r="E37" s="2" t="s">
        <v>806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807</v>
      </c>
      <c r="C38" t="s">
        <v>57</v>
      </c>
      <c r="D38">
        <f t="shared" si="0"/>
        <v>4</v>
      </c>
      <c r="E38" s="2" t="s">
        <v>808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809</v>
      </c>
      <c r="C39" t="s">
        <v>57</v>
      </c>
      <c r="D39">
        <f t="shared" si="0"/>
        <v>4</v>
      </c>
      <c r="E39" s="2" t="s">
        <v>810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811</v>
      </c>
      <c r="C40" t="s">
        <v>57</v>
      </c>
      <c r="D40">
        <f t="shared" si="0"/>
        <v>4</v>
      </c>
      <c r="E40" s="2" t="s">
        <v>812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813</v>
      </c>
      <c r="C41" t="s">
        <v>57</v>
      </c>
      <c r="D41">
        <f t="shared" si="0"/>
        <v>4</v>
      </c>
      <c r="E41" s="2" t="s">
        <v>814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7" t="s">
        <v>815</v>
      </c>
      <c r="C42" t="s">
        <v>57</v>
      </c>
      <c r="D42">
        <f t="shared" si="0"/>
        <v>4</v>
      </c>
      <c r="E42" s="2" t="s">
        <v>816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817</v>
      </c>
      <c r="C43" t="s">
        <v>57</v>
      </c>
      <c r="D43">
        <f t="shared" si="0"/>
        <v>4</v>
      </c>
      <c r="E43" s="2" t="s">
        <v>818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819</v>
      </c>
      <c r="C44" t="s">
        <v>65</v>
      </c>
      <c r="D44">
        <f t="shared" si="0"/>
        <v>4</v>
      </c>
      <c r="E44" s="2" t="s">
        <v>820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6">
        <f>IF(I45&lt;&gt;"",MAX(A$1:A44)+1,"")</f>
        <v>38</v>
      </c>
      <c r="B45" s="97" t="s">
        <v>3114</v>
      </c>
      <c r="C45" s="103" t="s">
        <v>57</v>
      </c>
      <c r="D45" s="103">
        <f t="shared" ref="D45:D46" si="2">IF(OR(C45="sint64",C45="uint64",C45="double64"), 8, IF(OR(C45="sint32",C45="uint32",C45="float32"),4,IF(OR(C45="sint16",C45="uint16"),2,  IF(OR(C45="sint8",C45="uint8"),1,""))))</f>
        <v>4</v>
      </c>
      <c r="E45" s="89" t="s">
        <v>3112</v>
      </c>
      <c r="F45" s="103"/>
      <c r="G45" s="95">
        <f>ROUND(((MAX_PHASE_CURRENT_HIGH_SPEED*MAX_PHASE_CURRENT_HIGH_SPEED  * 32768* 32768)/(BASE_CURRENT * BASE_CURRENT)),0)</f>
        <v>267130790</v>
      </c>
      <c r="H45" s="94" t="str">
        <f>IF(G45&lt;&gt;"",IF(C45="float32",FLOAT2HEX(G45),DEC2HEX(G45,8)),"")</f>
        <v>0FEC17A6</v>
      </c>
      <c r="I45" s="94">
        <f>IF(G45&lt;&gt;"",HEX2DEC(H45),"")</f>
        <v>267130790</v>
      </c>
    </row>
    <row r="46" spans="1:9" x14ac:dyDescent="0.25">
      <c r="A46" s="96">
        <f>IF(I46&lt;&gt;"",MAX(A$1:A45)+1,"")</f>
        <v>39</v>
      </c>
      <c r="B46" s="97" t="s">
        <v>3111</v>
      </c>
      <c r="C46" s="103" t="s">
        <v>57</v>
      </c>
      <c r="D46" s="103">
        <f t="shared" si="2"/>
        <v>4</v>
      </c>
      <c r="E46" s="89" t="s">
        <v>3113</v>
      </c>
      <c r="F46" s="103"/>
      <c r="G46" s="95">
        <f>ROUND((SPEED_THRESHOLD_MAX_PHASE_CURRENT * (32768/BASE_SPEED_RPM)),0)</f>
        <v>89915</v>
      </c>
      <c r="H46" s="94" t="str">
        <f>IF(G46&lt;&gt;"",IF(C46="float32",FLOAT2HEX(G46),DEC2HEX(G46,8)),"")</f>
        <v>00015F3B</v>
      </c>
      <c r="I46" s="94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171"/>
  <sheetViews>
    <sheetView zoomScale="85" zoomScaleNormal="85" workbookViewId="0">
      <pane ySplit="5" topLeftCell="A117" activePane="bottomLeft" state="frozen"/>
      <selection activeCell="A285" sqref="A285"/>
      <selection pane="bottomLeft" activeCell="G140" sqref="G140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10" width="12.42578125" style="11" bestFit="1" customWidth="1"/>
    <col min="11" max="24" width="9.140625" style="11"/>
  </cols>
  <sheetData>
    <row r="1" spans="1:24" ht="28.5" customHeight="1" x14ac:dyDescent="0.25">
      <c r="B1" s="114" t="s">
        <v>1135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  <c r="O1" s="10"/>
    </row>
    <row r="2" spans="1:24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6"/>
      <c r="P2" s="13"/>
      <c r="Q2" s="13"/>
      <c r="R2" s="13"/>
      <c r="S2" s="13"/>
      <c r="T2" s="13"/>
      <c r="U2" s="13"/>
      <c r="V2" s="13"/>
      <c r="W2" s="13"/>
      <c r="X2" s="13"/>
    </row>
    <row r="3" spans="1:24" s="9" customFormat="1" ht="19.5" customHeight="1" x14ac:dyDescent="0.3">
      <c r="A3" s="23"/>
      <c r="B3" s="115" t="s">
        <v>194</v>
      </c>
      <c r="C3" s="115"/>
      <c r="D3" s="24">
        <f>SUM(D7:D1640)</f>
        <v>536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6"/>
      <c r="P3" s="13"/>
      <c r="Q3" s="13"/>
      <c r="R3" s="13"/>
      <c r="S3" s="13"/>
      <c r="T3" s="13"/>
      <c r="U3" s="13"/>
      <c r="V3" s="13"/>
      <c r="W3" s="13"/>
      <c r="X3" s="13"/>
    </row>
    <row r="4" spans="1:24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6"/>
      <c r="P4" s="13"/>
      <c r="Q4" s="13"/>
      <c r="R4" s="13"/>
      <c r="S4" s="13"/>
      <c r="T4" s="13"/>
      <c r="U4" s="13"/>
      <c r="V4" s="13"/>
      <c r="W4" s="13"/>
      <c r="X4" s="13"/>
    </row>
    <row r="5" spans="1:24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6"/>
      <c r="P5" s="13"/>
      <c r="Q5" s="13"/>
      <c r="R5" s="13"/>
      <c r="S5" s="13"/>
      <c r="T5" s="13"/>
      <c r="U5" s="13"/>
      <c r="V5" s="13"/>
      <c r="W5" s="13"/>
      <c r="X5" s="13"/>
    </row>
    <row r="6" spans="1:24" s="9" customFormat="1" ht="20.25" customHeight="1" x14ac:dyDescent="0.25">
      <c r="A6" s="56"/>
      <c r="B6" s="82" t="s">
        <v>1134</v>
      </c>
      <c r="C6" s="82"/>
      <c r="D6" s="82"/>
      <c r="E6" s="82"/>
      <c r="F6" s="82"/>
      <c r="G6" s="82"/>
      <c r="H6" s="21" t="str">
        <f>IF(Displ1!G160&lt;&gt;"",DEC2HEX(Displ1!G160,4),"")</f>
        <v/>
      </c>
      <c r="I6" s="21"/>
      <c r="J6" s="16"/>
      <c r="K6" s="16"/>
      <c r="L6" s="16"/>
      <c r="M6" s="16"/>
      <c r="N6" s="16"/>
      <c r="O6" s="16"/>
      <c r="P6" s="13"/>
      <c r="Q6" s="13"/>
      <c r="R6" s="13"/>
      <c r="S6" s="13"/>
      <c r="T6" s="13"/>
      <c r="U6" s="13"/>
      <c r="V6" s="13"/>
      <c r="W6" s="13"/>
      <c r="X6" s="13"/>
    </row>
    <row r="7" spans="1:24" ht="15" customHeight="1" x14ac:dyDescent="0.25">
      <c r="A7" s="69">
        <v>0</v>
      </c>
      <c r="B7" s="45" t="s">
        <v>827</v>
      </c>
      <c r="C7" t="s">
        <v>57</v>
      </c>
      <c r="D7" s="60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828</v>
      </c>
      <c r="G7" s="11">
        <f>ROUND(('Parameters definition'!C223)/BASE_CURRENT*32768,0)</f>
        <v>-15945</v>
      </c>
      <c r="H7" s="9" t="str">
        <f>IF(G7&lt;&gt;"",IF(C7="float32",FLOAT2HEX(G7),DEC2HEX(G7,8)),"")</f>
        <v>FFFFFFC1B7</v>
      </c>
      <c r="I7" s="9">
        <f t="shared" ref="I7:I121" si="1">IF(G7&lt;&gt;"",HEX2DEC(H7),"")</f>
        <v>-15945</v>
      </c>
    </row>
    <row r="8" spans="1:24" ht="15" customHeight="1" x14ac:dyDescent="0.25">
      <c r="A8" s="69">
        <f>IF(I8&lt;&gt;"",MAX(A$1:A7)+1,"")</f>
        <v>1</v>
      </c>
      <c r="B8" s="45" t="s">
        <v>959</v>
      </c>
      <c r="C8" t="s">
        <v>57</v>
      </c>
      <c r="D8" s="60">
        <f t="shared" si="0"/>
        <v>4</v>
      </c>
      <c r="E8" s="2" t="s">
        <v>960</v>
      </c>
      <c r="G8" s="11">
        <f>ROUND(('Parameters definition'!C290)*32768,0)</f>
        <v>-761</v>
      </c>
      <c r="H8" s="9" t="str">
        <f>IF(G8&lt;&gt;"",IF(C8="float32",FLOAT2HEX(G8),DEC2HEX(G8,8)),"")</f>
        <v>FFFFFFFD07</v>
      </c>
      <c r="I8" s="9">
        <f>IF(G8&lt;&gt;"",HEX2DEC(H8),"")</f>
        <v>-761</v>
      </c>
    </row>
    <row r="9" spans="1:24" ht="15" customHeight="1" x14ac:dyDescent="0.25">
      <c r="A9" s="69">
        <f>IF(I9&lt;&gt;"",MAX(A$1:A8)+1,"")</f>
        <v>2</v>
      </c>
      <c r="B9" s="45" t="s">
        <v>829</v>
      </c>
      <c r="C9" t="s">
        <v>57</v>
      </c>
      <c r="D9" s="60">
        <f t="shared" si="0"/>
        <v>4</v>
      </c>
      <c r="E9" s="2" t="s">
        <v>830</v>
      </c>
      <c r="G9" s="11">
        <f>ROUND(('Parameters definition'!C224)/BASE_CURRENT*32768,0)</f>
        <v>-15447</v>
      </c>
      <c r="H9" s="9" t="str">
        <f>IF(G9&lt;&gt;"",IF(C9="float32",FLOAT2HEX(G9),DEC2HEX(G9,8)),"")</f>
        <v>FFFFFFC3A9</v>
      </c>
      <c r="I9" s="9">
        <f t="shared" si="1"/>
        <v>-15447</v>
      </c>
    </row>
    <row r="10" spans="1:24" ht="15" customHeight="1" x14ac:dyDescent="0.25">
      <c r="A10" s="69">
        <f>IF(I10&lt;&gt;"",MAX(A$1:A9)+1,"")</f>
        <v>3</v>
      </c>
      <c r="B10" s="45" t="s">
        <v>961</v>
      </c>
      <c r="C10" t="s">
        <v>57</v>
      </c>
      <c r="D10" s="60">
        <f t="shared" si="0"/>
        <v>4</v>
      </c>
      <c r="E10" s="2" t="s">
        <v>962</v>
      </c>
      <c r="G10" s="11">
        <f>ROUND(('Parameters definition'!C291)*32768,0)</f>
        <v>-761</v>
      </c>
      <c r="H10" s="9" t="str">
        <f>IF(G10&lt;&gt;"",IF(C10="float32",FLOAT2HEX(G10),DEC2HEX(G10,8)),"")</f>
        <v>FFFFFFFD07</v>
      </c>
      <c r="I10" s="9">
        <f>IF(G10&lt;&gt;"",HEX2DEC(H10),"")</f>
        <v>-761</v>
      </c>
    </row>
    <row r="11" spans="1:24" ht="15" customHeight="1" x14ac:dyDescent="0.25">
      <c r="A11" s="69">
        <f>IF(I11&lt;&gt;"",MAX(A$1:A10)+1,"")</f>
        <v>4</v>
      </c>
      <c r="B11" s="45" t="s">
        <v>831</v>
      </c>
      <c r="C11" t="s">
        <v>57</v>
      </c>
      <c r="D11" s="60">
        <f t="shared" si="0"/>
        <v>4</v>
      </c>
      <c r="E11" s="2" t="s">
        <v>832</v>
      </c>
      <c r="G11" s="11">
        <f>ROUND(('Parameters definition'!C225)/BASE_CURRENT*32768,0)</f>
        <v>-14949</v>
      </c>
      <c r="H11" s="9" t="str">
        <f>IF(G11&lt;&gt;"",IF(C11="float32",FLOAT2HEX(G11),DEC2HEX(G11,8)),"")</f>
        <v>FFFFFFC59B</v>
      </c>
      <c r="I11" s="9">
        <f t="shared" si="1"/>
        <v>-14949</v>
      </c>
    </row>
    <row r="12" spans="1:24" ht="15" customHeight="1" x14ac:dyDescent="0.25">
      <c r="A12" s="69">
        <f>IF(I12&lt;&gt;"",MAX(A$1:A11)+1,"")</f>
        <v>5</v>
      </c>
      <c r="B12" s="45" t="s">
        <v>963</v>
      </c>
      <c r="C12" t="s">
        <v>57</v>
      </c>
      <c r="D12">
        <f t="shared" si="0"/>
        <v>4</v>
      </c>
      <c r="E12" s="2" t="s">
        <v>964</v>
      </c>
      <c r="G12" s="11">
        <f>ROUND(('Parameters definition'!C292)*32768,0)</f>
        <v>-760</v>
      </c>
      <c r="H12" s="9" t="str">
        <f>IF(G12&lt;&gt;"",IF(C12="float32",FLOAT2HEX(G12),DEC2HEX(G12,8)),"")</f>
        <v>FFFFFFFD08</v>
      </c>
      <c r="I12" s="9">
        <f>IF(G12&lt;&gt;"",HEX2DEC(H12),"")</f>
        <v>-760</v>
      </c>
    </row>
    <row r="13" spans="1:24" ht="15" customHeight="1" x14ac:dyDescent="0.25">
      <c r="A13" s="69">
        <f>IF(I13&lt;&gt;"",MAX(A$1:A12)+1,"")</f>
        <v>6</v>
      </c>
      <c r="B13" s="45" t="s">
        <v>833</v>
      </c>
      <c r="C13" t="s">
        <v>57</v>
      </c>
      <c r="D13">
        <f t="shared" si="0"/>
        <v>4</v>
      </c>
      <c r="E13" s="2" t="s">
        <v>834</v>
      </c>
      <c r="G13" s="11">
        <f>ROUND(('Parameters definition'!C226)/BASE_CURRENT*32768,0)</f>
        <v>-14451</v>
      </c>
      <c r="H13" s="9" t="str">
        <f>IF(G13&lt;&gt;"",IF(C13="float32",FLOAT2HEX(G13),DEC2HEX(G13,8)),"")</f>
        <v>FFFFFFC78D</v>
      </c>
      <c r="I13" s="9">
        <f t="shared" si="1"/>
        <v>-14451</v>
      </c>
    </row>
    <row r="14" spans="1:24" ht="15" customHeight="1" x14ac:dyDescent="0.25">
      <c r="A14" s="69">
        <f>IF(I14&lt;&gt;"",MAX(A$1:A13)+1,"")</f>
        <v>7</v>
      </c>
      <c r="B14" s="45" t="s">
        <v>965</v>
      </c>
      <c r="C14" t="s">
        <v>57</v>
      </c>
      <c r="D14">
        <f t="shared" si="0"/>
        <v>4</v>
      </c>
      <c r="E14" s="2" t="s">
        <v>966</v>
      </c>
      <c r="G14" s="11">
        <f>ROUND(('Parameters definition'!C293)*32768,0)</f>
        <v>-757</v>
      </c>
      <c r="H14" s="9" t="str">
        <f>IF(G14&lt;&gt;"",IF(C14="float32",FLOAT2HEX(G14),DEC2HEX(G14,8)),"")</f>
        <v>FFFFFFFD0B</v>
      </c>
      <c r="I14" s="9">
        <f>IF(G14&lt;&gt;"",HEX2DEC(H14),"")</f>
        <v>-757</v>
      </c>
    </row>
    <row r="15" spans="1:24" ht="15" customHeight="1" x14ac:dyDescent="0.25">
      <c r="A15" s="69">
        <f>IF(I15&lt;&gt;"",MAX(A$1:A14)+1,"")</f>
        <v>8</v>
      </c>
      <c r="B15" s="45" t="s">
        <v>835</v>
      </c>
      <c r="C15" t="s">
        <v>57</v>
      </c>
      <c r="D15">
        <f t="shared" si="0"/>
        <v>4</v>
      </c>
      <c r="E15" s="2" t="s">
        <v>836</v>
      </c>
      <c r="G15" s="11">
        <f>ROUND(('Parameters definition'!C227)/BASE_CURRENT*32768,0)</f>
        <v>-13952</v>
      </c>
      <c r="H15" s="9" t="str">
        <f>IF(G15&lt;&gt;"",IF(C15="float32",FLOAT2HEX(G15),DEC2HEX(G15,8)),"")</f>
        <v>FFFFFFC980</v>
      </c>
      <c r="I15" s="9">
        <f t="shared" si="1"/>
        <v>-13952</v>
      </c>
    </row>
    <row r="16" spans="1:24" ht="15" customHeight="1" x14ac:dyDescent="0.25">
      <c r="A16" s="56">
        <f>IF(I16&lt;&gt;"",MAX(A$1:A15)+1,"")</f>
        <v>9</v>
      </c>
      <c r="B16" s="45" t="s">
        <v>967</v>
      </c>
      <c r="C16" t="s">
        <v>57</v>
      </c>
      <c r="D16">
        <f t="shared" si="0"/>
        <v>4</v>
      </c>
      <c r="E16" s="2" t="s">
        <v>968</v>
      </c>
      <c r="G16" s="11">
        <f>ROUND(('Parameters definition'!C294)*32768,0)</f>
        <v>-754</v>
      </c>
      <c r="H16" s="9" t="str">
        <f>IF(G16&lt;&gt;"",IF(C16="float32",FLOAT2HEX(G16),DEC2HEX(G16,8)),"")</f>
        <v>FFFFFFFD0E</v>
      </c>
      <c r="I16" s="9">
        <f>IF(G16&lt;&gt;"",HEX2DEC(H16),"")</f>
        <v>-754</v>
      </c>
    </row>
    <row r="17" spans="1:9" ht="15" customHeight="1" x14ac:dyDescent="0.25">
      <c r="A17" s="56">
        <f>IF(I17&lt;&gt;"",MAX(A$1:A16)+1,"")</f>
        <v>10</v>
      </c>
      <c r="B17" s="45" t="s">
        <v>837</v>
      </c>
      <c r="C17" t="s">
        <v>57</v>
      </c>
      <c r="D17">
        <f t="shared" si="0"/>
        <v>4</v>
      </c>
      <c r="E17" s="2" t="s">
        <v>838</v>
      </c>
      <c r="G17" s="11">
        <f>ROUND(('Parameters definition'!C228)/BASE_CURRENT*32768,0)</f>
        <v>-13454</v>
      </c>
      <c r="H17" s="9" t="str">
        <f>IF(G17&lt;&gt;"",IF(C17="float32",FLOAT2HEX(G17),DEC2HEX(G17,8)),"")</f>
        <v>FFFFFFCB72</v>
      </c>
      <c r="I17" s="9">
        <f t="shared" si="1"/>
        <v>-13454</v>
      </c>
    </row>
    <row r="18" spans="1:9" ht="15" customHeight="1" x14ac:dyDescent="0.25">
      <c r="A18" s="56">
        <f>IF(I18&lt;&gt;"",MAX(A$1:A17)+1,"")</f>
        <v>11</v>
      </c>
      <c r="B18" s="45" t="s">
        <v>969</v>
      </c>
      <c r="C18" t="s">
        <v>57</v>
      </c>
      <c r="D18">
        <f t="shared" si="0"/>
        <v>4</v>
      </c>
      <c r="E18" s="2" t="s">
        <v>970</v>
      </c>
      <c r="G18" s="11">
        <f>ROUND(('Parameters definition'!C295)*32768,0)</f>
        <v>-751</v>
      </c>
      <c r="H18" s="9" t="str">
        <f>IF(G18&lt;&gt;"",IF(C18="float32",FLOAT2HEX(G18),DEC2HEX(G18,8)),"")</f>
        <v>FFFFFFFD11</v>
      </c>
      <c r="I18" s="9">
        <f>IF(G18&lt;&gt;"",HEX2DEC(H18),"")</f>
        <v>-751</v>
      </c>
    </row>
    <row r="19" spans="1:9" ht="15" customHeight="1" x14ac:dyDescent="0.25">
      <c r="A19" s="56">
        <f>IF(I19&lt;&gt;"",MAX(A$1:A18)+1,"")</f>
        <v>12</v>
      </c>
      <c r="B19" s="45" t="s">
        <v>839</v>
      </c>
      <c r="C19" t="s">
        <v>57</v>
      </c>
      <c r="D19">
        <f t="shared" si="0"/>
        <v>4</v>
      </c>
      <c r="E19" s="2" t="s">
        <v>840</v>
      </c>
      <c r="G19" s="11">
        <f>ROUND(('Parameters definition'!C229)/BASE_CURRENT*32768,0)</f>
        <v>-12956</v>
      </c>
      <c r="H19" s="9" t="str">
        <f>IF(G19&lt;&gt;"",IF(C19="float32",FLOAT2HEX(G19),DEC2HEX(G19,8)),"")</f>
        <v>FFFFFFCD64</v>
      </c>
      <c r="I19" s="9">
        <f t="shared" si="1"/>
        <v>-12956</v>
      </c>
    </row>
    <row r="20" spans="1:9" ht="15" customHeight="1" x14ac:dyDescent="0.25">
      <c r="A20" s="56">
        <f>IF(I20&lt;&gt;"",MAX(A$1:A19)+1,"")</f>
        <v>13</v>
      </c>
      <c r="B20" s="45" t="s">
        <v>971</v>
      </c>
      <c r="C20" t="s">
        <v>57</v>
      </c>
      <c r="D20">
        <f t="shared" si="0"/>
        <v>4</v>
      </c>
      <c r="E20" s="2" t="s">
        <v>972</v>
      </c>
      <c r="G20" s="11">
        <f>ROUND(('Parameters definition'!C296)*32768,0)</f>
        <v>-748</v>
      </c>
      <c r="H20" s="9" t="str">
        <f>IF(G20&lt;&gt;"",IF(C20="float32",FLOAT2HEX(G20),DEC2HEX(G20,8)),"")</f>
        <v>FFFFFFFD14</v>
      </c>
      <c r="I20" s="9">
        <f>IF(G20&lt;&gt;"",HEX2DEC(H20),"")</f>
        <v>-748</v>
      </c>
    </row>
    <row r="21" spans="1:9" ht="15" customHeight="1" x14ac:dyDescent="0.25">
      <c r="A21" s="56">
        <f>IF(I21&lt;&gt;"",MAX(A$1:A20)+1,"")</f>
        <v>14</v>
      </c>
      <c r="B21" s="45" t="s">
        <v>841</v>
      </c>
      <c r="C21" t="s">
        <v>57</v>
      </c>
      <c r="D21">
        <f t="shared" si="0"/>
        <v>4</v>
      </c>
      <c r="E21" s="2" t="s">
        <v>842</v>
      </c>
      <c r="G21" s="11">
        <f>ROUND(('Parameters definition'!C230)/BASE_CURRENT*32768,0)</f>
        <v>-12457</v>
      </c>
      <c r="H21" s="9" t="str">
        <f>IF(G21&lt;&gt;"",IF(C21="float32",FLOAT2HEX(G21),DEC2HEX(G21,8)),"")</f>
        <v>FFFFFFCF57</v>
      </c>
      <c r="I21" s="9">
        <f t="shared" si="1"/>
        <v>-12457</v>
      </c>
    </row>
    <row r="22" spans="1:9" ht="15" customHeight="1" x14ac:dyDescent="0.25">
      <c r="A22" s="56">
        <f>IF(I22&lt;&gt;"",MAX(A$1:A21)+1,"")</f>
        <v>15</v>
      </c>
      <c r="B22" s="45" t="s">
        <v>973</v>
      </c>
      <c r="C22" t="s">
        <v>57</v>
      </c>
      <c r="D22">
        <f t="shared" si="0"/>
        <v>4</v>
      </c>
      <c r="E22" s="2" t="s">
        <v>974</v>
      </c>
      <c r="G22" s="11">
        <f>ROUND(('Parameters definition'!C297)*32768,0)</f>
        <v>-745</v>
      </c>
      <c r="H22" s="9" t="str">
        <f>IF(G22&lt;&gt;"",IF(C22="float32",FLOAT2HEX(G22),DEC2HEX(G22,8)),"")</f>
        <v>FFFFFFFD17</v>
      </c>
      <c r="I22" s="9">
        <f>IF(G22&lt;&gt;"",HEX2DEC(H22),"")</f>
        <v>-745</v>
      </c>
    </row>
    <row r="23" spans="1:9" ht="15" customHeight="1" x14ac:dyDescent="0.25">
      <c r="A23" s="56">
        <f>IF(I23&lt;&gt;"",MAX(A$1:A22)+1,"")</f>
        <v>16</v>
      </c>
      <c r="B23" s="45" t="s">
        <v>843</v>
      </c>
      <c r="C23" t="s">
        <v>57</v>
      </c>
      <c r="D23">
        <f t="shared" si="0"/>
        <v>4</v>
      </c>
      <c r="E23" s="2" t="s">
        <v>844</v>
      </c>
      <c r="G23" s="11">
        <f>ROUND(('Parameters definition'!C231)/BASE_CURRENT*32768,0)</f>
        <v>-11959</v>
      </c>
      <c r="H23" s="9" t="str">
        <f>IF(G23&lt;&gt;"",IF(C23="float32",FLOAT2HEX(G23),DEC2HEX(G23,8)),"")</f>
        <v>FFFFFFD149</v>
      </c>
      <c r="I23" s="9">
        <f t="shared" si="1"/>
        <v>-11959</v>
      </c>
    </row>
    <row r="24" spans="1:9" ht="15" customHeight="1" x14ac:dyDescent="0.25">
      <c r="A24" s="56">
        <f>IF(I24&lt;&gt;"",MAX(A$1:A23)+1,"")</f>
        <v>17</v>
      </c>
      <c r="B24" s="45" t="s">
        <v>975</v>
      </c>
      <c r="C24" t="s">
        <v>57</v>
      </c>
      <c r="D24">
        <f t="shared" si="0"/>
        <v>4</v>
      </c>
      <c r="E24" s="2" t="s">
        <v>976</v>
      </c>
      <c r="G24" s="11">
        <f>ROUND(('Parameters definition'!C298)*32768,0)</f>
        <v>-743</v>
      </c>
      <c r="H24" s="9" t="str">
        <f>IF(G24&lt;&gt;"",IF(C24="float32",FLOAT2HEX(G24),DEC2HEX(G24,8)),"")</f>
        <v>FFFFFFFD19</v>
      </c>
      <c r="I24" s="9">
        <f>IF(G24&lt;&gt;"",HEX2DEC(H24),"")</f>
        <v>-743</v>
      </c>
    </row>
    <row r="25" spans="1:9" ht="15" customHeight="1" x14ac:dyDescent="0.25">
      <c r="A25" s="56">
        <f>IF(I25&lt;&gt;"",MAX(A$1:A24)+1,"")</f>
        <v>18</v>
      </c>
      <c r="B25" s="45" t="s">
        <v>845</v>
      </c>
      <c r="C25" t="s">
        <v>57</v>
      </c>
      <c r="D25">
        <f t="shared" si="0"/>
        <v>4</v>
      </c>
      <c r="E25" s="2" t="s">
        <v>846</v>
      </c>
      <c r="G25" s="11">
        <f>ROUND(('Parameters definition'!C232)/BASE_CURRENT*32768,0)</f>
        <v>-11461</v>
      </c>
      <c r="H25" s="9" t="str">
        <f>IF(G25&lt;&gt;"",IF(C25="float32",FLOAT2HEX(G25),DEC2HEX(G25,8)),"")</f>
        <v>FFFFFFD33B</v>
      </c>
      <c r="I25" s="9">
        <f t="shared" si="1"/>
        <v>-11461</v>
      </c>
    </row>
    <row r="26" spans="1:9" ht="15" customHeight="1" x14ac:dyDescent="0.25">
      <c r="A26" s="56">
        <f>IF(I26&lt;&gt;"",MAX(A$1:A25)+1,"")</f>
        <v>19</v>
      </c>
      <c r="B26" s="45" t="s">
        <v>977</v>
      </c>
      <c r="C26" t="s">
        <v>57</v>
      </c>
      <c r="D26">
        <f t="shared" si="0"/>
        <v>4</v>
      </c>
      <c r="E26" s="2" t="s">
        <v>978</v>
      </c>
      <c r="G26" s="11">
        <f>ROUND(('Parameters definition'!C299)*32768,0)</f>
        <v>-740</v>
      </c>
      <c r="H26" s="9" t="str">
        <f>IF(G26&lt;&gt;"",IF(C26="float32",FLOAT2HEX(G26),DEC2HEX(G26,8)),"")</f>
        <v>FFFFFFFD1C</v>
      </c>
      <c r="I26" s="9">
        <f>IF(G26&lt;&gt;"",HEX2DEC(H26),"")</f>
        <v>-740</v>
      </c>
    </row>
    <row r="27" spans="1:9" ht="15" customHeight="1" x14ac:dyDescent="0.25">
      <c r="A27" s="56">
        <f>IF(I27&lt;&gt;"",MAX(A$1:A26)+1,"")</f>
        <v>20</v>
      </c>
      <c r="B27" s="45" t="s">
        <v>847</v>
      </c>
      <c r="C27" t="s">
        <v>57</v>
      </c>
      <c r="D27">
        <f t="shared" si="0"/>
        <v>4</v>
      </c>
      <c r="E27" s="2" t="s">
        <v>848</v>
      </c>
      <c r="G27" s="11">
        <f>ROUND(('Parameters definition'!C233)/BASE_CURRENT*32768,0)</f>
        <v>-10963</v>
      </c>
      <c r="H27" s="9" t="str">
        <f>IF(G27&lt;&gt;"",IF(C27="float32",FLOAT2HEX(G27),DEC2HEX(G27,8)),"")</f>
        <v>FFFFFFD52D</v>
      </c>
      <c r="I27" s="9">
        <f t="shared" si="1"/>
        <v>-10963</v>
      </c>
    </row>
    <row r="28" spans="1:9" ht="15" customHeight="1" x14ac:dyDescent="0.25">
      <c r="A28" s="56">
        <f>IF(I28&lt;&gt;"",MAX(A$1:A27)+1,"")</f>
        <v>21</v>
      </c>
      <c r="B28" s="45" t="s">
        <v>979</v>
      </c>
      <c r="C28" t="s">
        <v>57</v>
      </c>
      <c r="D28">
        <f t="shared" si="0"/>
        <v>4</v>
      </c>
      <c r="E28" s="2" t="s">
        <v>980</v>
      </c>
      <c r="G28" s="11">
        <f>ROUND(('Parameters definition'!C300)*32768,0)</f>
        <v>-737</v>
      </c>
      <c r="H28" s="9" t="str">
        <f>IF(G28&lt;&gt;"",IF(C28="float32",FLOAT2HEX(G28),DEC2HEX(G28,8)),"")</f>
        <v>FFFFFFFD1F</v>
      </c>
      <c r="I28" s="9">
        <f>IF(G28&lt;&gt;"",HEX2DEC(H28),"")</f>
        <v>-737</v>
      </c>
    </row>
    <row r="29" spans="1:9" ht="15" customHeight="1" x14ac:dyDescent="0.25">
      <c r="A29" s="56">
        <f>IF(I29&lt;&gt;"",MAX(A$1:A28)+1,"")</f>
        <v>22</v>
      </c>
      <c r="B29" s="45" t="s">
        <v>849</v>
      </c>
      <c r="C29" t="s">
        <v>57</v>
      </c>
      <c r="D29">
        <f t="shared" si="0"/>
        <v>4</v>
      </c>
      <c r="E29" s="2" t="s">
        <v>850</v>
      </c>
      <c r="G29" s="11">
        <f>ROUND(('Parameters definition'!C234)/BASE_CURRENT*32768,0)</f>
        <v>-10464</v>
      </c>
      <c r="H29" s="9" t="str">
        <f>IF(G29&lt;&gt;"",IF(C29="float32",FLOAT2HEX(G29),DEC2HEX(G29,8)),"")</f>
        <v>FFFFFFD720</v>
      </c>
      <c r="I29" s="9">
        <f t="shared" si="1"/>
        <v>-10464</v>
      </c>
    </row>
    <row r="30" spans="1:9" ht="15" customHeight="1" x14ac:dyDescent="0.25">
      <c r="A30" s="56">
        <f>IF(I30&lt;&gt;"",MAX(A$1:A29)+1,"")</f>
        <v>23</v>
      </c>
      <c r="B30" s="45" t="s">
        <v>981</v>
      </c>
      <c r="C30" t="s">
        <v>57</v>
      </c>
      <c r="D30">
        <f t="shared" si="0"/>
        <v>4</v>
      </c>
      <c r="E30" s="2" t="s">
        <v>982</v>
      </c>
      <c r="G30" s="11">
        <f>ROUND(('Parameters definition'!C301)*32768,0)</f>
        <v>-732</v>
      </c>
      <c r="H30" s="9" t="str">
        <f>IF(G30&lt;&gt;"",IF(C30="float32",FLOAT2HEX(G30),DEC2HEX(G30,8)),"")</f>
        <v>FFFFFFFD24</v>
      </c>
      <c r="I30" s="9">
        <f>IF(G30&lt;&gt;"",HEX2DEC(H30),"")</f>
        <v>-732</v>
      </c>
    </row>
    <row r="31" spans="1:9" ht="15" customHeight="1" x14ac:dyDescent="0.25">
      <c r="A31" s="56">
        <f>IF(I31&lt;&gt;"",MAX(A$1:A30)+1,"")</f>
        <v>24</v>
      </c>
      <c r="B31" s="45" t="s">
        <v>851</v>
      </c>
      <c r="C31" t="s">
        <v>57</v>
      </c>
      <c r="D31">
        <f t="shared" si="0"/>
        <v>4</v>
      </c>
      <c r="E31" s="2" t="s">
        <v>852</v>
      </c>
      <c r="G31" s="11">
        <f>ROUND(('Parameters definition'!C235)/BASE_CURRENT*32768,0)</f>
        <v>-9966</v>
      </c>
      <c r="H31" s="9" t="str">
        <f>IF(G31&lt;&gt;"",IF(C31="float32",FLOAT2HEX(G31),DEC2HEX(G31,8)),"")</f>
        <v>FFFFFFD912</v>
      </c>
      <c r="I31" s="9">
        <f t="shared" si="1"/>
        <v>-9966</v>
      </c>
    </row>
    <row r="32" spans="1:9" ht="15" customHeight="1" x14ac:dyDescent="0.25">
      <c r="A32" s="56">
        <f>IF(I32&lt;&gt;"",MAX(A$1:A31)+1,"")</f>
        <v>25</v>
      </c>
      <c r="B32" s="45" t="s">
        <v>983</v>
      </c>
      <c r="C32" t="s">
        <v>57</v>
      </c>
      <c r="D32">
        <f t="shared" si="0"/>
        <v>4</v>
      </c>
      <c r="E32" s="2" t="s">
        <v>984</v>
      </c>
      <c r="G32" s="11">
        <f>ROUND(('Parameters definition'!C302)*32768,0)</f>
        <v>-726</v>
      </c>
      <c r="H32" s="9" t="str">
        <f>IF(G32&lt;&gt;"",IF(C32="float32",FLOAT2HEX(G32),DEC2HEX(G32,8)),"")</f>
        <v>FFFFFFFD2A</v>
      </c>
      <c r="I32" s="9">
        <f>IF(G32&lt;&gt;"",HEX2DEC(H32),"")</f>
        <v>-726</v>
      </c>
    </row>
    <row r="33" spans="1:9" ht="15" customHeight="1" x14ac:dyDescent="0.25">
      <c r="A33" s="56">
        <f>IF(I33&lt;&gt;"",MAX(A$1:A32)+1,"")</f>
        <v>26</v>
      </c>
      <c r="B33" s="45" t="s">
        <v>853</v>
      </c>
      <c r="C33" t="s">
        <v>57</v>
      </c>
      <c r="D33">
        <f t="shared" si="0"/>
        <v>4</v>
      </c>
      <c r="E33" s="2" t="s">
        <v>854</v>
      </c>
      <c r="G33" s="11">
        <f>ROUND(('Parameters definition'!C236)/BASE_CURRENT*32768,0)</f>
        <v>-9468</v>
      </c>
      <c r="H33" s="9" t="str">
        <f>IF(G33&lt;&gt;"",IF(C33="float32",FLOAT2HEX(G33),DEC2HEX(G33,8)),"")</f>
        <v>FFFFFFDB04</v>
      </c>
      <c r="I33" s="9">
        <f t="shared" si="1"/>
        <v>-9468</v>
      </c>
    </row>
    <row r="34" spans="1:9" ht="15" customHeight="1" x14ac:dyDescent="0.25">
      <c r="A34" s="56">
        <f>IF(I34&lt;&gt;"",MAX(A$1:A33)+1,"")</f>
        <v>27</v>
      </c>
      <c r="B34" s="45" t="s">
        <v>985</v>
      </c>
      <c r="C34" t="s">
        <v>57</v>
      </c>
      <c r="D34">
        <f t="shared" si="0"/>
        <v>4</v>
      </c>
      <c r="E34" s="2" t="s">
        <v>986</v>
      </c>
      <c r="G34" s="11">
        <f>ROUND(('Parameters definition'!C303)*32768,0)</f>
        <v>-717</v>
      </c>
      <c r="H34" s="9" t="str">
        <f>IF(G34&lt;&gt;"",IF(C34="float32",FLOAT2HEX(G34),DEC2HEX(G34,8)),"")</f>
        <v>FFFFFFFD33</v>
      </c>
      <c r="I34" s="9">
        <f>IF(G34&lt;&gt;"",HEX2DEC(H34),"")</f>
        <v>-717</v>
      </c>
    </row>
    <row r="35" spans="1:9" ht="15" customHeight="1" x14ac:dyDescent="0.25">
      <c r="A35" s="56">
        <f>IF(I35&lt;&gt;"",MAX(A$1:A34)+1,"")</f>
        <v>28</v>
      </c>
      <c r="B35" s="45" t="s">
        <v>855</v>
      </c>
      <c r="C35" t="s">
        <v>57</v>
      </c>
      <c r="D35">
        <f t="shared" si="0"/>
        <v>4</v>
      </c>
      <c r="E35" s="2" t="s">
        <v>856</v>
      </c>
      <c r="G35" s="11">
        <f>ROUND(('Parameters definition'!C237)/BASE_CURRENT*32768,0)</f>
        <v>-8969</v>
      </c>
      <c r="H35" s="9" t="str">
        <f>IF(G35&lt;&gt;"",IF(C35="float32",FLOAT2HEX(G35),DEC2HEX(G35,8)),"")</f>
        <v>FFFFFFDCF7</v>
      </c>
      <c r="I35" s="9">
        <f t="shared" si="1"/>
        <v>-8969</v>
      </c>
    </row>
    <row r="36" spans="1:9" ht="15" customHeight="1" x14ac:dyDescent="0.25">
      <c r="A36" s="56">
        <f>IF(I36&lt;&gt;"",MAX(A$1:A35)+1,"")</f>
        <v>29</v>
      </c>
      <c r="B36" s="45" t="s">
        <v>987</v>
      </c>
      <c r="C36" t="s">
        <v>57</v>
      </c>
      <c r="D36">
        <f t="shared" si="0"/>
        <v>4</v>
      </c>
      <c r="E36" s="2" t="s">
        <v>988</v>
      </c>
      <c r="G36" s="11">
        <f>ROUND(('Parameters definition'!C304)*32768,0)</f>
        <v>-706</v>
      </c>
      <c r="H36" s="9" t="str">
        <f>IF(G36&lt;&gt;"",IF(C36="float32",FLOAT2HEX(G36),DEC2HEX(G36,8)),"")</f>
        <v>FFFFFFFD3E</v>
      </c>
      <c r="I36" s="9">
        <f>IF(G36&lt;&gt;"",HEX2DEC(H36),"")</f>
        <v>-706</v>
      </c>
    </row>
    <row r="37" spans="1:9" ht="15" customHeight="1" x14ac:dyDescent="0.25">
      <c r="A37" s="56">
        <f>IF(I37&lt;&gt;"",MAX(A$1:A36)+1,"")</f>
        <v>30</v>
      </c>
      <c r="B37" s="45" t="s">
        <v>857</v>
      </c>
      <c r="C37" t="s">
        <v>57</v>
      </c>
      <c r="D37">
        <f t="shared" si="0"/>
        <v>4</v>
      </c>
      <c r="E37" s="2" t="s">
        <v>858</v>
      </c>
      <c r="G37" s="11">
        <f>ROUND(('Parameters definition'!C238)/BASE_CURRENT*32768,0)</f>
        <v>-8471</v>
      </c>
      <c r="H37" s="9" t="str">
        <f>IF(G37&lt;&gt;"",IF(C37="float32",FLOAT2HEX(G37),DEC2HEX(G37,8)),"")</f>
        <v>FFFFFFDEE9</v>
      </c>
      <c r="I37" s="9">
        <f t="shared" si="1"/>
        <v>-8471</v>
      </c>
    </row>
    <row r="38" spans="1:9" ht="15" customHeight="1" x14ac:dyDescent="0.25">
      <c r="A38" s="56">
        <f>IF(I38&lt;&gt;"",MAX(A$1:A37)+1,"")</f>
        <v>31</v>
      </c>
      <c r="B38" s="45" t="s">
        <v>989</v>
      </c>
      <c r="C38" t="s">
        <v>57</v>
      </c>
      <c r="D38">
        <f t="shared" si="0"/>
        <v>4</v>
      </c>
      <c r="E38" s="2" t="s">
        <v>990</v>
      </c>
      <c r="G38" s="11">
        <f>ROUND(('Parameters definition'!C305)*32768,0)</f>
        <v>-691</v>
      </c>
      <c r="H38" s="9" t="str">
        <f>IF(G38&lt;&gt;"",IF(C38="float32",FLOAT2HEX(G38),DEC2HEX(G38,8)),"")</f>
        <v>FFFFFFFD4D</v>
      </c>
      <c r="I38" s="9">
        <f>IF(G38&lt;&gt;"",HEX2DEC(H38),"")</f>
        <v>-691</v>
      </c>
    </row>
    <row r="39" spans="1:9" ht="15" customHeight="1" x14ac:dyDescent="0.25">
      <c r="A39" s="56">
        <f>IF(I39&lt;&gt;"",MAX(A$1:A38)+1,"")</f>
        <v>32</v>
      </c>
      <c r="B39" s="45" t="s">
        <v>859</v>
      </c>
      <c r="C39" t="s">
        <v>57</v>
      </c>
      <c r="D39">
        <f t="shared" ref="D39:D70" si="2">IF(OR(C39="sint64",C39="uint64",C39="double64"), 8, IF(OR(C39="sint32",C39="uint32",C39="float32"),4,IF(OR(C39="sint16",C39="uint16"),2,  IF(OR(C39="sint8",C39="uint8"),1,""))))</f>
        <v>4</v>
      </c>
      <c r="E39" s="2" t="s">
        <v>860</v>
      </c>
      <c r="G39" s="11">
        <f>ROUND(('Parameters definition'!C239)/BASE_CURRENT*32768,0)</f>
        <v>-7973</v>
      </c>
      <c r="H39" s="9" t="str">
        <f>IF(G39&lt;&gt;"",IF(C39="float32",FLOAT2HEX(G39),DEC2HEX(G39,8)),"")</f>
        <v>FFFFFFE0DB</v>
      </c>
      <c r="I39" s="9">
        <f t="shared" si="1"/>
        <v>-7973</v>
      </c>
    </row>
    <row r="40" spans="1:9" ht="15" customHeight="1" x14ac:dyDescent="0.25">
      <c r="A40" s="56">
        <f>IF(I40&lt;&gt;"",MAX(A$1:A39)+1,"")</f>
        <v>33</v>
      </c>
      <c r="B40" s="45" t="s">
        <v>991</v>
      </c>
      <c r="C40" t="s">
        <v>57</v>
      </c>
      <c r="D40">
        <f t="shared" si="2"/>
        <v>4</v>
      </c>
      <c r="E40" s="2" t="s">
        <v>992</v>
      </c>
      <c r="G40" s="11">
        <f>ROUND(('Parameters definition'!C306)*32768,0)</f>
        <v>-671</v>
      </c>
      <c r="H40" s="9" t="str">
        <f>IF(G40&lt;&gt;"",IF(C40="float32",FLOAT2HEX(G40),DEC2HEX(G40,8)),"")</f>
        <v>FFFFFFFD61</v>
      </c>
      <c r="I40" s="9">
        <f>IF(G40&lt;&gt;"",HEX2DEC(H40),"")</f>
        <v>-671</v>
      </c>
    </row>
    <row r="41" spans="1:9" ht="15" customHeight="1" x14ac:dyDescent="0.25">
      <c r="A41" s="56">
        <f>IF(I41&lt;&gt;"",MAX(A$1:A40)+1,"")</f>
        <v>34</v>
      </c>
      <c r="B41" s="45" t="s">
        <v>861</v>
      </c>
      <c r="C41" t="s">
        <v>57</v>
      </c>
      <c r="D41">
        <f t="shared" si="2"/>
        <v>4</v>
      </c>
      <c r="E41" s="2" t="s">
        <v>862</v>
      </c>
      <c r="G41" s="11">
        <f>ROUND(('Parameters definition'!C240)/BASE_CURRENT*32768,0)</f>
        <v>-7474</v>
      </c>
      <c r="H41" s="9" t="str">
        <f>IF(G41&lt;&gt;"",IF(C41="float32",FLOAT2HEX(G41),DEC2HEX(G41,8)),"")</f>
        <v>FFFFFFE2CE</v>
      </c>
      <c r="I41" s="9">
        <f t="shared" si="1"/>
        <v>-7474</v>
      </c>
    </row>
    <row r="42" spans="1:9" ht="15" customHeight="1" x14ac:dyDescent="0.25">
      <c r="A42" s="56">
        <f>IF(I42&lt;&gt;"",MAX(A$1:A41)+1,"")</f>
        <v>35</v>
      </c>
      <c r="B42" s="45" t="s">
        <v>993</v>
      </c>
      <c r="C42" t="s">
        <v>57</v>
      </c>
      <c r="D42">
        <f t="shared" si="2"/>
        <v>4</v>
      </c>
      <c r="E42" s="2" t="s">
        <v>994</v>
      </c>
      <c r="G42" s="11">
        <f>ROUND(('Parameters definition'!C307)*32768,0)</f>
        <v>-647</v>
      </c>
      <c r="H42" s="9" t="str">
        <f>IF(G42&lt;&gt;"",IF(C42="float32",FLOAT2HEX(G42),DEC2HEX(G42,8)),"")</f>
        <v>FFFFFFFD79</v>
      </c>
      <c r="I42" s="9">
        <f>IF(G42&lt;&gt;"",HEX2DEC(H42),"")</f>
        <v>-647</v>
      </c>
    </row>
    <row r="43" spans="1:9" ht="15" customHeight="1" x14ac:dyDescent="0.25">
      <c r="A43" s="56">
        <f>IF(I43&lt;&gt;"",MAX(A$1:A42)+1,"")</f>
        <v>36</v>
      </c>
      <c r="B43" s="45" t="s">
        <v>863</v>
      </c>
      <c r="C43" t="s">
        <v>57</v>
      </c>
      <c r="D43">
        <f t="shared" si="2"/>
        <v>4</v>
      </c>
      <c r="E43" s="2" t="s">
        <v>864</v>
      </c>
      <c r="G43" s="11">
        <f>ROUND(('Parameters definition'!C241)/BASE_CURRENT*32768,0)</f>
        <v>-6976</v>
      </c>
      <c r="H43" s="9" t="str">
        <f>IF(G43&lt;&gt;"",IF(C43="float32",FLOAT2HEX(G43),DEC2HEX(G43,8)),"")</f>
        <v>FFFFFFE4C0</v>
      </c>
      <c r="I43" s="9">
        <f t="shared" si="1"/>
        <v>-6976</v>
      </c>
    </row>
    <row r="44" spans="1:9" ht="15" customHeight="1" x14ac:dyDescent="0.25">
      <c r="A44" s="56">
        <f>IF(I44&lt;&gt;"",MAX(A$1:A43)+1,"")</f>
        <v>37</v>
      </c>
      <c r="B44" s="45" t="s">
        <v>995</v>
      </c>
      <c r="C44" t="s">
        <v>57</v>
      </c>
      <c r="D44">
        <f t="shared" si="2"/>
        <v>4</v>
      </c>
      <c r="E44" s="2" t="s">
        <v>996</v>
      </c>
      <c r="G44" s="11">
        <f>ROUND(('Parameters definition'!C308)*32768,0)</f>
        <v>-618</v>
      </c>
      <c r="H44" s="9" t="str">
        <f>IF(G44&lt;&gt;"",IF(C44="float32",FLOAT2HEX(G44),DEC2HEX(G44,8)),"")</f>
        <v>FFFFFFFD96</v>
      </c>
      <c r="I44" s="9">
        <f>IF(G44&lt;&gt;"",HEX2DEC(H44),"")</f>
        <v>-618</v>
      </c>
    </row>
    <row r="45" spans="1:9" ht="15" customHeight="1" x14ac:dyDescent="0.25">
      <c r="A45" s="56">
        <f>IF(I45&lt;&gt;"",MAX(A$1:A44)+1,"")</f>
        <v>38</v>
      </c>
      <c r="B45" s="45" t="s">
        <v>865</v>
      </c>
      <c r="C45" t="s">
        <v>57</v>
      </c>
      <c r="D45">
        <f t="shared" si="2"/>
        <v>4</v>
      </c>
      <c r="E45" s="2" t="s">
        <v>866</v>
      </c>
      <c r="G45" s="11">
        <f>ROUND(('Parameters definition'!C242)/BASE_CURRENT*32768,0)</f>
        <v>-6478</v>
      </c>
      <c r="H45" s="9" t="str">
        <f>IF(G45&lt;&gt;"",IF(C45="float32",FLOAT2HEX(G45),DEC2HEX(G45,8)),"")</f>
        <v>FFFFFFE6B2</v>
      </c>
      <c r="I45" s="9">
        <f t="shared" si="1"/>
        <v>-6478</v>
      </c>
    </row>
    <row r="46" spans="1:9" ht="15" customHeight="1" x14ac:dyDescent="0.25">
      <c r="A46" s="56">
        <f>IF(I46&lt;&gt;"",MAX(A$1:A45)+1,"")</f>
        <v>39</v>
      </c>
      <c r="B46" s="45" t="s">
        <v>997</v>
      </c>
      <c r="C46" t="s">
        <v>57</v>
      </c>
      <c r="D46">
        <f t="shared" si="2"/>
        <v>4</v>
      </c>
      <c r="E46" s="2" t="s">
        <v>998</v>
      </c>
      <c r="G46" s="11">
        <f>ROUND(('Parameters definition'!C309)*32768,0)</f>
        <v>-597</v>
      </c>
      <c r="H46" s="9" t="str">
        <f>IF(G46&lt;&gt;"",IF(C46="float32",FLOAT2HEX(G46),DEC2HEX(G46,8)),"")</f>
        <v>FFFFFFFDAB</v>
      </c>
      <c r="I46" s="9">
        <f>IF(G46&lt;&gt;"",HEX2DEC(H46),"")</f>
        <v>-597</v>
      </c>
    </row>
    <row r="47" spans="1:9" ht="15" customHeight="1" x14ac:dyDescent="0.25">
      <c r="A47" s="56">
        <f>IF(I47&lt;&gt;"",MAX(A$1:A46)+1,"")</f>
        <v>40</v>
      </c>
      <c r="B47" s="45" t="s">
        <v>867</v>
      </c>
      <c r="C47" t="s">
        <v>57</v>
      </c>
      <c r="D47">
        <f t="shared" si="2"/>
        <v>4</v>
      </c>
      <c r="E47" s="2" t="s">
        <v>868</v>
      </c>
      <c r="G47" s="11">
        <f>ROUND(('Parameters definition'!C243)/BASE_CURRENT*32768,0)</f>
        <v>-5980</v>
      </c>
      <c r="H47" s="9" t="str">
        <f>IF(G47&lt;&gt;"",IF(C47="float32",FLOAT2HEX(G47),DEC2HEX(G47,8)),"")</f>
        <v>FFFFFFE8A4</v>
      </c>
      <c r="I47" s="9">
        <f t="shared" si="1"/>
        <v>-5980</v>
      </c>
    </row>
    <row r="48" spans="1:9" ht="15" customHeight="1" x14ac:dyDescent="0.25">
      <c r="A48" s="56">
        <f>IF(I48&lt;&gt;"",MAX(A$1:A47)+1,"")</f>
        <v>41</v>
      </c>
      <c r="B48" s="45" t="s">
        <v>999</v>
      </c>
      <c r="C48" t="s">
        <v>57</v>
      </c>
      <c r="D48">
        <f t="shared" si="2"/>
        <v>4</v>
      </c>
      <c r="E48" s="2" t="s">
        <v>1000</v>
      </c>
      <c r="G48" s="11">
        <f>ROUND(('Parameters definition'!C310)*32768,0)</f>
        <v>-574</v>
      </c>
      <c r="H48" s="9" t="str">
        <f>IF(G48&lt;&gt;"",IF(C48="float32",FLOAT2HEX(G48),DEC2HEX(G48,8)),"")</f>
        <v>FFFFFFFDC2</v>
      </c>
      <c r="I48" s="9">
        <f>IF(G48&lt;&gt;"",HEX2DEC(H48),"")</f>
        <v>-574</v>
      </c>
    </row>
    <row r="49" spans="1:9" ht="15" customHeight="1" x14ac:dyDescent="0.25">
      <c r="A49" s="56">
        <f>IF(I49&lt;&gt;"",MAX(A$1:A48)+1,"")</f>
        <v>42</v>
      </c>
      <c r="B49" s="45" t="s">
        <v>869</v>
      </c>
      <c r="C49" t="s">
        <v>57</v>
      </c>
      <c r="D49">
        <f t="shared" si="2"/>
        <v>4</v>
      </c>
      <c r="E49" s="2" t="s">
        <v>870</v>
      </c>
      <c r="G49" s="11">
        <f>ROUND(('Parameters definition'!C244)/BASE_CURRENT*32768,0)</f>
        <v>-5481</v>
      </c>
      <c r="H49" s="9" t="str">
        <f>IF(G49&lt;&gt;"",IF(C49="float32",FLOAT2HEX(G49),DEC2HEX(G49,8)),"")</f>
        <v>FFFFFFEA97</v>
      </c>
      <c r="I49" s="9">
        <f t="shared" si="1"/>
        <v>-5481</v>
      </c>
    </row>
    <row r="50" spans="1:9" ht="15" customHeight="1" x14ac:dyDescent="0.25">
      <c r="A50" s="56">
        <f>IF(I50&lt;&gt;"",MAX(A$1:A49)+1,"")</f>
        <v>43</v>
      </c>
      <c r="B50" s="45" t="s">
        <v>1001</v>
      </c>
      <c r="C50" t="s">
        <v>57</v>
      </c>
      <c r="D50">
        <f t="shared" si="2"/>
        <v>4</v>
      </c>
      <c r="E50" s="2" t="s">
        <v>1002</v>
      </c>
      <c r="G50" s="11">
        <f>ROUND(('Parameters definition'!C311)*32768,0)</f>
        <v>-555</v>
      </c>
      <c r="H50" s="9" t="str">
        <f>IF(G50&lt;&gt;"",IF(C50="float32",FLOAT2HEX(G50),DEC2HEX(G50,8)),"")</f>
        <v>FFFFFFFDD5</v>
      </c>
      <c r="I50" s="9">
        <f>IF(G50&lt;&gt;"",HEX2DEC(H50),"")</f>
        <v>-555</v>
      </c>
    </row>
    <row r="51" spans="1:9" ht="15" customHeight="1" x14ac:dyDescent="0.25">
      <c r="A51" s="56">
        <f>IF(I51&lt;&gt;"",MAX(A$1:A50)+1,"")</f>
        <v>44</v>
      </c>
      <c r="B51" s="45" t="s">
        <v>871</v>
      </c>
      <c r="C51" t="s">
        <v>57</v>
      </c>
      <c r="D51">
        <f t="shared" si="2"/>
        <v>4</v>
      </c>
      <c r="E51" s="2" t="s">
        <v>872</v>
      </c>
      <c r="G51" s="11">
        <f>ROUND(('Parameters definition'!C245)/BASE_CURRENT*32768,0)</f>
        <v>-4983</v>
      </c>
      <c r="H51" s="9" t="str">
        <f>IF(G51&lt;&gt;"",IF(C51="float32",FLOAT2HEX(G51),DEC2HEX(G51,8)),"")</f>
        <v>FFFFFFEC89</v>
      </c>
      <c r="I51" s="9">
        <f t="shared" si="1"/>
        <v>-4983</v>
      </c>
    </row>
    <row r="52" spans="1:9" ht="15" customHeight="1" x14ac:dyDescent="0.25">
      <c r="A52" s="56">
        <f>IF(I52&lt;&gt;"",MAX(A$1:A51)+1,"")</f>
        <v>45</v>
      </c>
      <c r="B52" s="45" t="s">
        <v>1003</v>
      </c>
      <c r="C52" t="s">
        <v>57</v>
      </c>
      <c r="D52">
        <f t="shared" si="2"/>
        <v>4</v>
      </c>
      <c r="E52" s="2" t="s">
        <v>1004</v>
      </c>
      <c r="G52" s="11">
        <f>ROUND(('Parameters definition'!C312)*32768,0)</f>
        <v>-537</v>
      </c>
      <c r="H52" s="9" t="str">
        <f>IF(G52&lt;&gt;"",IF(C52="float32",FLOAT2HEX(G52),DEC2HEX(G52,8)),"")</f>
        <v>FFFFFFFDE7</v>
      </c>
      <c r="I52" s="9">
        <f>IF(G52&lt;&gt;"",HEX2DEC(H52),"")</f>
        <v>-537</v>
      </c>
    </row>
    <row r="53" spans="1:9" ht="15" customHeight="1" x14ac:dyDescent="0.25">
      <c r="A53" s="56">
        <f>IF(I53&lt;&gt;"",MAX(A$1:A52)+1,"")</f>
        <v>46</v>
      </c>
      <c r="B53" s="45" t="s">
        <v>873</v>
      </c>
      <c r="C53" t="s">
        <v>57</v>
      </c>
      <c r="D53">
        <f t="shared" si="2"/>
        <v>4</v>
      </c>
      <c r="E53" s="2" t="s">
        <v>874</v>
      </c>
      <c r="G53" s="11">
        <f>ROUND(('Parameters definition'!C246)/BASE_CURRENT*32768,0)</f>
        <v>-4485</v>
      </c>
      <c r="H53" s="9" t="str">
        <f>IF(G53&lt;&gt;"",IF(C53="float32",FLOAT2HEX(G53),DEC2HEX(G53,8)),"")</f>
        <v>FFFFFFEE7B</v>
      </c>
      <c r="I53" s="9">
        <f t="shared" si="1"/>
        <v>-4485</v>
      </c>
    </row>
    <row r="54" spans="1:9" ht="15" customHeight="1" x14ac:dyDescent="0.25">
      <c r="A54" s="56">
        <f>IF(I54&lt;&gt;"",MAX(A$1:A53)+1,"")</f>
        <v>47</v>
      </c>
      <c r="B54" s="45" t="s">
        <v>1005</v>
      </c>
      <c r="C54" t="s">
        <v>57</v>
      </c>
      <c r="D54">
        <f t="shared" si="2"/>
        <v>4</v>
      </c>
      <c r="E54" s="2" t="s">
        <v>1006</v>
      </c>
      <c r="G54" s="11">
        <f>ROUND(('Parameters definition'!C313)*32768,0)</f>
        <v>-517</v>
      </c>
      <c r="H54" s="9" t="str">
        <f>IF(G54&lt;&gt;"",IF(C54="float32",FLOAT2HEX(G54),DEC2HEX(G54,8)),"")</f>
        <v>FFFFFFFDFB</v>
      </c>
      <c r="I54" s="9">
        <f>IF(G54&lt;&gt;"",HEX2DEC(H54),"")</f>
        <v>-517</v>
      </c>
    </row>
    <row r="55" spans="1:9" ht="15" customHeight="1" x14ac:dyDescent="0.25">
      <c r="A55" s="56">
        <f>IF(I55&lt;&gt;"",MAX(A$1:A54)+1,"")</f>
        <v>48</v>
      </c>
      <c r="B55" s="45" t="s">
        <v>875</v>
      </c>
      <c r="C55" t="s">
        <v>57</v>
      </c>
      <c r="D55">
        <f t="shared" si="2"/>
        <v>4</v>
      </c>
      <c r="E55" s="2" t="s">
        <v>876</v>
      </c>
      <c r="G55" s="11">
        <f>ROUND(('Parameters definition'!C247)/BASE_CURRENT*32768,0)</f>
        <v>-3986</v>
      </c>
      <c r="H55" s="9" t="str">
        <f>IF(G55&lt;&gt;"",IF(C55="float32",FLOAT2HEX(G55),DEC2HEX(G55,8)),"")</f>
        <v>FFFFFFF06E</v>
      </c>
      <c r="I55" s="9">
        <f t="shared" si="1"/>
        <v>-3986</v>
      </c>
    </row>
    <row r="56" spans="1:9" ht="15" customHeight="1" x14ac:dyDescent="0.25">
      <c r="A56" s="56">
        <f>IF(I56&lt;&gt;"",MAX(A$1:A55)+1,"")</f>
        <v>49</v>
      </c>
      <c r="B56" s="45" t="s">
        <v>1007</v>
      </c>
      <c r="C56" t="s">
        <v>57</v>
      </c>
      <c r="D56">
        <f t="shared" si="2"/>
        <v>4</v>
      </c>
      <c r="E56" s="2" t="s">
        <v>1008</v>
      </c>
      <c r="G56" s="11">
        <f>ROUND(('Parameters definition'!C314)*32768,0)</f>
        <v>-492</v>
      </c>
      <c r="H56" s="9" t="str">
        <f>IF(G56&lt;&gt;"",IF(C56="float32",FLOAT2HEX(G56),DEC2HEX(G56,8)),"")</f>
        <v>FFFFFFFE14</v>
      </c>
      <c r="I56" s="9">
        <f>IF(G56&lt;&gt;"",HEX2DEC(H56),"")</f>
        <v>-492</v>
      </c>
    </row>
    <row r="57" spans="1:9" ht="15" customHeight="1" x14ac:dyDescent="0.25">
      <c r="A57" s="56">
        <f>IF(I57&lt;&gt;"",MAX(A$1:A56)+1,"")</f>
        <v>50</v>
      </c>
      <c r="B57" s="45" t="s">
        <v>877</v>
      </c>
      <c r="C57" t="s">
        <v>57</v>
      </c>
      <c r="D57">
        <f t="shared" si="2"/>
        <v>4</v>
      </c>
      <c r="E57" s="2" t="s">
        <v>878</v>
      </c>
      <c r="G57" s="11">
        <f>ROUND(('Parameters definition'!C248)/BASE_CURRENT*32768,0)</f>
        <v>-3488</v>
      </c>
      <c r="H57" s="9" t="str">
        <f>IF(G57&lt;&gt;"",IF(C57="float32",FLOAT2HEX(G57),DEC2HEX(G57,8)),"")</f>
        <v>FFFFFFF260</v>
      </c>
      <c r="I57" s="9">
        <f t="shared" si="1"/>
        <v>-3488</v>
      </c>
    </row>
    <row r="58" spans="1:9" ht="15" customHeight="1" x14ac:dyDescent="0.25">
      <c r="A58" s="56">
        <f>IF(I58&lt;&gt;"",MAX(A$1:A57)+1,"")</f>
        <v>51</v>
      </c>
      <c r="B58" s="45" t="s">
        <v>1009</v>
      </c>
      <c r="C58" t="s">
        <v>57</v>
      </c>
      <c r="D58">
        <f t="shared" si="2"/>
        <v>4</v>
      </c>
      <c r="E58" s="2" t="s">
        <v>1010</v>
      </c>
      <c r="G58" s="11">
        <f>ROUND(('Parameters definition'!C315)*32768,0)</f>
        <v>-460</v>
      </c>
      <c r="H58" s="9" t="str">
        <f>IF(G58&lt;&gt;"",IF(C58="float32",FLOAT2HEX(G58),DEC2HEX(G58,8)),"")</f>
        <v>FFFFFFFE34</v>
      </c>
      <c r="I58" s="9">
        <f>IF(G58&lt;&gt;"",HEX2DEC(H58),"")</f>
        <v>-460</v>
      </c>
    </row>
    <row r="59" spans="1:9" ht="15" customHeight="1" x14ac:dyDescent="0.25">
      <c r="A59" s="56">
        <f>IF(I59&lt;&gt;"",MAX(A$1:A58)+1,"")</f>
        <v>52</v>
      </c>
      <c r="B59" s="45" t="s">
        <v>879</v>
      </c>
      <c r="C59" t="s">
        <v>57</v>
      </c>
      <c r="D59">
        <f t="shared" si="2"/>
        <v>4</v>
      </c>
      <c r="E59" s="2" t="s">
        <v>880</v>
      </c>
      <c r="G59" s="11">
        <f>ROUND(('Parameters definition'!C249)/BASE_CURRENT*32768,0)</f>
        <v>-2990</v>
      </c>
      <c r="H59" s="9" t="str">
        <f>IF(G59&lt;&gt;"",IF(C59="float32",FLOAT2HEX(G59),DEC2HEX(G59,8)),"")</f>
        <v>FFFFFFF452</v>
      </c>
      <c r="I59" s="9">
        <f t="shared" si="1"/>
        <v>-2990</v>
      </c>
    </row>
    <row r="60" spans="1:9" ht="15" customHeight="1" x14ac:dyDescent="0.25">
      <c r="A60" s="56">
        <f>IF(I60&lt;&gt;"",MAX(A$1:A59)+1,"")</f>
        <v>53</v>
      </c>
      <c r="B60" s="45" t="s">
        <v>1011</v>
      </c>
      <c r="C60" t="s">
        <v>57</v>
      </c>
      <c r="D60">
        <f t="shared" si="2"/>
        <v>4</v>
      </c>
      <c r="E60" s="2" t="s">
        <v>1012</v>
      </c>
      <c r="G60" s="11">
        <f>ROUND(('Parameters definition'!C316)*32768,0)</f>
        <v>-449</v>
      </c>
      <c r="H60" s="9" t="str">
        <f>IF(G60&lt;&gt;"",IF(C60="float32",FLOAT2HEX(G60),DEC2HEX(G60,8)),"")</f>
        <v>FFFFFFFE3F</v>
      </c>
      <c r="I60" s="9">
        <f>IF(G60&lt;&gt;"",HEX2DEC(H60),"")</f>
        <v>-449</v>
      </c>
    </row>
    <row r="61" spans="1:9" ht="15" customHeight="1" x14ac:dyDescent="0.25">
      <c r="A61" s="56">
        <f>IF(I61&lt;&gt;"",MAX(A$1:A60)+1,"")</f>
        <v>54</v>
      </c>
      <c r="B61" s="45" t="s">
        <v>881</v>
      </c>
      <c r="C61" t="s">
        <v>57</v>
      </c>
      <c r="D61">
        <f t="shared" si="2"/>
        <v>4</v>
      </c>
      <c r="E61" s="2" t="s">
        <v>882</v>
      </c>
      <c r="G61" s="11">
        <f>ROUND(('Parameters definition'!C250)/BASE_CURRENT*32768,0)</f>
        <v>-2491</v>
      </c>
      <c r="H61" s="9" t="str">
        <f>IF(G61&lt;&gt;"",IF(C61="float32",FLOAT2HEX(G61),DEC2HEX(G61,8)),"")</f>
        <v>FFFFFFF645</v>
      </c>
      <c r="I61" s="9">
        <f t="shared" si="1"/>
        <v>-2491</v>
      </c>
    </row>
    <row r="62" spans="1:9" ht="15" customHeight="1" x14ac:dyDescent="0.25">
      <c r="A62" s="56">
        <f>IF(I62&lt;&gt;"",MAX(A$1:A61)+1,"")</f>
        <v>55</v>
      </c>
      <c r="B62" s="45" t="s">
        <v>1013</v>
      </c>
      <c r="C62" t="s">
        <v>57</v>
      </c>
      <c r="D62">
        <f t="shared" si="2"/>
        <v>4</v>
      </c>
      <c r="E62" s="2" t="s">
        <v>1014</v>
      </c>
      <c r="G62" s="11">
        <f>ROUND(('Parameters definition'!C317)*32768,0)</f>
        <v>-442</v>
      </c>
      <c r="H62" s="9" t="str">
        <f>IF(G62&lt;&gt;"",IF(C62="float32",FLOAT2HEX(G62),DEC2HEX(G62,8)),"")</f>
        <v>FFFFFFFE46</v>
      </c>
      <c r="I62" s="9">
        <f>IF(G62&lt;&gt;"",HEX2DEC(H62),"")</f>
        <v>-442</v>
      </c>
    </row>
    <row r="63" spans="1:9" ht="15" customHeight="1" x14ac:dyDescent="0.25">
      <c r="A63" s="56">
        <f>IF(I63&lt;&gt;"",MAX(A$1:A62)+1,"")</f>
        <v>56</v>
      </c>
      <c r="B63" s="45" t="s">
        <v>883</v>
      </c>
      <c r="C63" t="s">
        <v>57</v>
      </c>
      <c r="D63">
        <f t="shared" si="2"/>
        <v>4</v>
      </c>
      <c r="E63" s="2" t="s">
        <v>884</v>
      </c>
      <c r="G63" s="11">
        <f>ROUND(('Parameters definition'!C251)/BASE_CURRENT*32768,0)</f>
        <v>-1993</v>
      </c>
      <c r="H63" s="9" t="str">
        <f>IF(G63&lt;&gt;"",IF(C63="float32",FLOAT2HEX(G63),DEC2HEX(G63,8)),"")</f>
        <v>FFFFFFF837</v>
      </c>
      <c r="I63" s="9">
        <f t="shared" si="1"/>
        <v>-1993</v>
      </c>
    </row>
    <row r="64" spans="1:9" ht="15" customHeight="1" x14ac:dyDescent="0.25">
      <c r="A64" s="56">
        <f>IF(I64&lt;&gt;"",MAX(A$1:A63)+1,"")</f>
        <v>57</v>
      </c>
      <c r="B64" s="45" t="s">
        <v>1015</v>
      </c>
      <c r="C64" t="s">
        <v>57</v>
      </c>
      <c r="D64">
        <f t="shared" si="2"/>
        <v>4</v>
      </c>
      <c r="E64" s="2" t="s">
        <v>1016</v>
      </c>
      <c r="G64" s="11">
        <f>ROUND(('Parameters definition'!C318)*32768,0)</f>
        <v>-435</v>
      </c>
      <c r="H64" s="9" t="str">
        <f>IF(G64&lt;&gt;"",IF(C64="float32",FLOAT2HEX(G64),DEC2HEX(G64,8)),"")</f>
        <v>FFFFFFFE4D</v>
      </c>
      <c r="I64" s="9">
        <f>IF(G64&lt;&gt;"",HEX2DEC(H64),"")</f>
        <v>-435</v>
      </c>
    </row>
    <row r="65" spans="1:9" ht="15" customHeight="1" x14ac:dyDescent="0.25">
      <c r="A65" s="56">
        <f>IF(I65&lt;&gt;"",MAX(A$1:A64)+1,"")</f>
        <v>58</v>
      </c>
      <c r="B65" s="45" t="s">
        <v>885</v>
      </c>
      <c r="C65" t="s">
        <v>57</v>
      </c>
      <c r="D65">
        <f t="shared" si="2"/>
        <v>4</v>
      </c>
      <c r="E65" s="2" t="s">
        <v>886</v>
      </c>
      <c r="G65" s="11">
        <f>ROUND(('Parameters definition'!C252)/BASE_CURRENT*32768,0)</f>
        <v>-1495</v>
      </c>
      <c r="H65" s="9" t="str">
        <f>IF(G65&lt;&gt;"",IF(C65="float32",FLOAT2HEX(G65),DEC2HEX(G65,8)),"")</f>
        <v>FFFFFFFA29</v>
      </c>
      <c r="I65" s="9">
        <f t="shared" si="1"/>
        <v>-1495</v>
      </c>
    </row>
    <row r="66" spans="1:9" ht="15" customHeight="1" x14ac:dyDescent="0.25">
      <c r="A66" s="56">
        <f>IF(I66&lt;&gt;"",MAX(A$1:A65)+1,"")</f>
        <v>59</v>
      </c>
      <c r="B66" s="45" t="s">
        <v>1017</v>
      </c>
      <c r="C66" t="s">
        <v>57</v>
      </c>
      <c r="D66">
        <f t="shared" si="2"/>
        <v>4</v>
      </c>
      <c r="E66" s="2" t="s">
        <v>1018</v>
      </c>
      <c r="G66" s="11">
        <f>ROUND(('Parameters definition'!C319)*32768,0)</f>
        <v>-425</v>
      </c>
      <c r="H66" s="9" t="str">
        <f>IF(G66&lt;&gt;"",IF(C66="float32",FLOAT2HEX(G66),DEC2HEX(G66,8)),"")</f>
        <v>FFFFFFFE57</v>
      </c>
      <c r="I66" s="9">
        <f>IF(G66&lt;&gt;"",HEX2DEC(H66),"")</f>
        <v>-425</v>
      </c>
    </row>
    <row r="67" spans="1:9" ht="15" customHeight="1" x14ac:dyDescent="0.25">
      <c r="A67" s="56">
        <f>IF(I67&lt;&gt;"",MAX(A$1:A66)+1,"")</f>
        <v>60</v>
      </c>
      <c r="B67" s="45" t="s">
        <v>887</v>
      </c>
      <c r="C67" t="s">
        <v>57</v>
      </c>
      <c r="D67">
        <f t="shared" si="2"/>
        <v>4</v>
      </c>
      <c r="E67" s="2" t="s">
        <v>888</v>
      </c>
      <c r="G67" s="11">
        <f>ROUND(('Parameters definition'!C253)/BASE_CURRENT*32768,0)</f>
        <v>-997</v>
      </c>
      <c r="H67" s="9" t="str">
        <f>IF(G67&lt;&gt;"",IF(C67="float32",FLOAT2HEX(G67),DEC2HEX(G67,8)),"")</f>
        <v>FFFFFFFC1B</v>
      </c>
      <c r="I67" s="9">
        <f t="shared" si="1"/>
        <v>-997</v>
      </c>
    </row>
    <row r="68" spans="1:9" ht="15" customHeight="1" x14ac:dyDescent="0.25">
      <c r="A68" s="56">
        <f>IF(I68&lt;&gt;"",MAX(A$1:A67)+1,"")</f>
        <v>61</v>
      </c>
      <c r="B68" s="45" t="s">
        <v>1019</v>
      </c>
      <c r="C68" t="s">
        <v>57</v>
      </c>
      <c r="D68">
        <f t="shared" si="2"/>
        <v>4</v>
      </c>
      <c r="E68" s="2" t="s">
        <v>1020</v>
      </c>
      <c r="G68" s="11">
        <f>ROUND(('Parameters definition'!C320)*32768,0)</f>
        <v>-389</v>
      </c>
      <c r="H68" s="9" t="str">
        <f>IF(G68&lt;&gt;"",IF(C68="float32",FLOAT2HEX(G68),DEC2HEX(G68,8)),"")</f>
        <v>FFFFFFFE7B</v>
      </c>
      <c r="I68" s="9">
        <f>IF(G68&lt;&gt;"",HEX2DEC(H68),"")</f>
        <v>-389</v>
      </c>
    </row>
    <row r="69" spans="1:9" ht="15" customHeight="1" x14ac:dyDescent="0.25">
      <c r="A69" s="56">
        <f>IF(I69&lt;&gt;"",MAX(A$1:A68)+1,"")</f>
        <v>62</v>
      </c>
      <c r="B69" s="45" t="s">
        <v>889</v>
      </c>
      <c r="C69" t="s">
        <v>57</v>
      </c>
      <c r="D69">
        <f t="shared" si="2"/>
        <v>4</v>
      </c>
      <c r="E69" s="2" t="s">
        <v>890</v>
      </c>
      <c r="G69" s="11">
        <f>ROUND(('Parameters definition'!C254)/BASE_CURRENT*32768,0)</f>
        <v>-498</v>
      </c>
      <c r="H69" s="9" t="str">
        <f>IF(G69&lt;&gt;"",IF(C69="float32",FLOAT2HEX(G69),DEC2HEX(G69,8)),"")</f>
        <v>FFFFFFFE0E</v>
      </c>
      <c r="I69" s="9">
        <f t="shared" si="1"/>
        <v>-498</v>
      </c>
    </row>
    <row r="70" spans="1:9" ht="15" customHeight="1" x14ac:dyDescent="0.25">
      <c r="A70" s="56">
        <f>IF(I70&lt;&gt;"",MAX(A$1:A69)+1,"")</f>
        <v>63</v>
      </c>
      <c r="B70" s="45" t="s">
        <v>1021</v>
      </c>
      <c r="C70" t="s">
        <v>57</v>
      </c>
      <c r="D70">
        <f t="shared" si="2"/>
        <v>4</v>
      </c>
      <c r="E70" s="2" t="s">
        <v>1022</v>
      </c>
      <c r="G70" s="11">
        <f>ROUND(('Parameters definition'!C321)*32768,0)</f>
        <v>-354</v>
      </c>
      <c r="H70" s="9" t="str">
        <f>IF(G70&lt;&gt;"",IF(C70="float32",FLOAT2HEX(G70),DEC2HEX(G70,8)),"")</f>
        <v>FFFFFFFE9E</v>
      </c>
      <c r="I70" s="9">
        <f>IF(G70&lt;&gt;"",HEX2DEC(H70),"")</f>
        <v>-354</v>
      </c>
    </row>
    <row r="71" spans="1:9" ht="15" customHeight="1" x14ac:dyDescent="0.25">
      <c r="A71" s="56">
        <f>IF(I71&lt;&gt;"",MAX(A$1:A70)+1,"")</f>
        <v>64</v>
      </c>
      <c r="B71" s="45" t="s">
        <v>891</v>
      </c>
      <c r="C71" t="s">
        <v>57</v>
      </c>
      <c r="D71">
        <f t="shared" ref="D71:D102" si="3">IF(OR(C71="sint64",C71="uint64",C71="double64"), 8, IF(OR(C71="sint32",C71="uint32",C71="float32"),4,IF(OR(C71="sint16",C71="uint16"),2,  IF(OR(C71="sint8",C71="uint8"),1,""))))</f>
        <v>4</v>
      </c>
      <c r="E71" s="2" t="s">
        <v>892</v>
      </c>
      <c r="G71" s="11">
        <f>ROUND(('Parameters definition'!C255)/BASE_CURRENT*32768,0)</f>
        <v>0</v>
      </c>
      <c r="H71" s="9" t="str">
        <f>IF(G71&lt;&gt;"",IF(C71="float32",FLOAT2HEX(G71),DEC2HEX(G71,8)),"")</f>
        <v>00000000</v>
      </c>
      <c r="I71" s="9">
        <f t="shared" si="1"/>
        <v>0</v>
      </c>
    </row>
    <row r="72" spans="1:9" ht="15" customHeight="1" x14ac:dyDescent="0.25">
      <c r="A72" s="56">
        <f>IF(I72&lt;&gt;"",MAX(A$1:A71)+1,"")</f>
        <v>65</v>
      </c>
      <c r="B72" s="45" t="s">
        <v>1023</v>
      </c>
      <c r="C72" t="s">
        <v>57</v>
      </c>
      <c r="D72">
        <f t="shared" si="3"/>
        <v>4</v>
      </c>
      <c r="E72" s="2" t="s">
        <v>1024</v>
      </c>
      <c r="G72" s="11">
        <f>ROUND(('Parameters definition'!C322)*32768,0)</f>
        <v>0</v>
      </c>
      <c r="H72" s="9" t="str">
        <f>IF(G72&lt;&gt;"",IF(C72="float32",FLOAT2HEX(G72),DEC2HEX(G72,8)),"")</f>
        <v>00000000</v>
      </c>
      <c r="I72" s="9">
        <f>IF(G72&lt;&gt;"",HEX2DEC(H72),"")</f>
        <v>0</v>
      </c>
    </row>
    <row r="73" spans="1:9" ht="15" customHeight="1" x14ac:dyDescent="0.25">
      <c r="A73" s="56">
        <f>IF(I73&lt;&gt;"",MAX(A$1:A72)+1,"")</f>
        <v>66</v>
      </c>
      <c r="B73" s="45" t="s">
        <v>893</v>
      </c>
      <c r="C73" t="s">
        <v>57</v>
      </c>
      <c r="D73">
        <f t="shared" si="3"/>
        <v>4</v>
      </c>
      <c r="E73" s="2" t="s">
        <v>894</v>
      </c>
      <c r="G73" s="11">
        <f>ROUND(('Parameters definition'!C256)/BASE_CURRENT*32768,0)</f>
        <v>498</v>
      </c>
      <c r="H73" s="9" t="str">
        <f>IF(G73&lt;&gt;"",IF(C73="float32",FLOAT2HEX(G73),DEC2HEX(G73,8)),"")</f>
        <v>000001F2</v>
      </c>
      <c r="I73" s="9">
        <f t="shared" si="1"/>
        <v>498</v>
      </c>
    </row>
    <row r="74" spans="1:9" ht="15" customHeight="1" x14ac:dyDescent="0.25">
      <c r="A74" s="56">
        <f>IF(I74&lt;&gt;"",MAX(A$1:A73)+1,"")</f>
        <v>67</v>
      </c>
      <c r="B74" s="45" t="s">
        <v>1025</v>
      </c>
      <c r="C74" t="s">
        <v>57</v>
      </c>
      <c r="D74">
        <f t="shared" si="3"/>
        <v>4</v>
      </c>
      <c r="E74" s="2" t="s">
        <v>1026</v>
      </c>
      <c r="G74" s="11">
        <f>ROUND(('Parameters definition'!C323)*32768,0)</f>
        <v>354</v>
      </c>
      <c r="H74" s="9" t="str">
        <f>IF(G74&lt;&gt;"",IF(C74="float32",FLOAT2HEX(G74),DEC2HEX(G74,8)),"")</f>
        <v>00000162</v>
      </c>
      <c r="I74" s="9">
        <f>IF(G74&lt;&gt;"",HEX2DEC(H74),"")</f>
        <v>354</v>
      </c>
    </row>
    <row r="75" spans="1:9" ht="15" customHeight="1" x14ac:dyDescent="0.25">
      <c r="A75" s="56">
        <f>IF(I75&lt;&gt;"",MAX(A$1:A74)+1,"")</f>
        <v>68</v>
      </c>
      <c r="B75" s="45" t="s">
        <v>895</v>
      </c>
      <c r="C75" t="s">
        <v>57</v>
      </c>
      <c r="D75">
        <f t="shared" si="3"/>
        <v>4</v>
      </c>
      <c r="E75" s="2" t="s">
        <v>896</v>
      </c>
      <c r="G75" s="11">
        <f>ROUND(('Parameters definition'!C257)/BASE_CURRENT*32768,0)</f>
        <v>997</v>
      </c>
      <c r="H75" s="9" t="str">
        <f>IF(G75&lt;&gt;"",IF(C75="float32",FLOAT2HEX(G75),DEC2HEX(G75,8)),"")</f>
        <v>000003E5</v>
      </c>
      <c r="I75" s="9">
        <f t="shared" si="1"/>
        <v>997</v>
      </c>
    </row>
    <row r="76" spans="1:9" ht="15" customHeight="1" x14ac:dyDescent="0.25">
      <c r="A76" s="56">
        <f>IF(I76&lt;&gt;"",MAX(A$1:A75)+1,"")</f>
        <v>69</v>
      </c>
      <c r="B76" s="45" t="s">
        <v>1027</v>
      </c>
      <c r="C76" t="s">
        <v>57</v>
      </c>
      <c r="D76">
        <f t="shared" si="3"/>
        <v>4</v>
      </c>
      <c r="E76" s="2" t="s">
        <v>1028</v>
      </c>
      <c r="G76" s="11">
        <f>ROUND(('Parameters definition'!C324)*32768,0)</f>
        <v>389</v>
      </c>
      <c r="H76" s="9" t="str">
        <f>IF(G76&lt;&gt;"",IF(C76="float32",FLOAT2HEX(G76),DEC2HEX(G76,8)),"")</f>
        <v>00000185</v>
      </c>
      <c r="I76" s="9">
        <f>IF(G76&lt;&gt;"",HEX2DEC(H76),"")</f>
        <v>389</v>
      </c>
    </row>
    <row r="77" spans="1:9" ht="15" customHeight="1" x14ac:dyDescent="0.25">
      <c r="A77" s="56">
        <f>IF(I77&lt;&gt;"",MAX(A$1:A76)+1,"")</f>
        <v>70</v>
      </c>
      <c r="B77" s="45" t="s">
        <v>897</v>
      </c>
      <c r="C77" t="s">
        <v>57</v>
      </c>
      <c r="D77">
        <f t="shared" si="3"/>
        <v>4</v>
      </c>
      <c r="E77" s="2" t="s">
        <v>898</v>
      </c>
      <c r="G77" s="11">
        <f>ROUND(('Parameters definition'!C258)/BASE_CURRENT*32768,0)</f>
        <v>1495</v>
      </c>
      <c r="H77" s="9" t="str">
        <f>IF(G77&lt;&gt;"",IF(C77="float32",FLOAT2HEX(G77),DEC2HEX(G77,8)),"")</f>
        <v>000005D7</v>
      </c>
      <c r="I77" s="9">
        <f t="shared" si="1"/>
        <v>1495</v>
      </c>
    </row>
    <row r="78" spans="1:9" ht="15" customHeight="1" x14ac:dyDescent="0.25">
      <c r="A78" s="56">
        <f>IF(I78&lt;&gt;"",MAX(A$1:A77)+1,"")</f>
        <v>71</v>
      </c>
      <c r="B78" s="45" t="s">
        <v>1029</v>
      </c>
      <c r="C78" t="s">
        <v>57</v>
      </c>
      <c r="D78">
        <f t="shared" si="3"/>
        <v>4</v>
      </c>
      <c r="E78" s="2" t="s">
        <v>1030</v>
      </c>
      <c r="G78" s="11">
        <f>ROUND(('Parameters definition'!C325)*32768,0)</f>
        <v>425</v>
      </c>
      <c r="H78" s="9" t="str">
        <f>IF(G78&lt;&gt;"",IF(C78="float32",FLOAT2HEX(G78),DEC2HEX(G78,8)),"")</f>
        <v>000001A9</v>
      </c>
      <c r="I78" s="9">
        <f>IF(G78&lt;&gt;"",HEX2DEC(H78),"")</f>
        <v>425</v>
      </c>
    </row>
    <row r="79" spans="1:9" ht="15" customHeight="1" x14ac:dyDescent="0.25">
      <c r="A79" s="56">
        <f>IF(I79&lt;&gt;"",MAX(A$1:A78)+1,"")</f>
        <v>72</v>
      </c>
      <c r="B79" s="45" t="s">
        <v>899</v>
      </c>
      <c r="C79" t="s">
        <v>57</v>
      </c>
      <c r="D79">
        <f t="shared" si="3"/>
        <v>4</v>
      </c>
      <c r="E79" s="2" t="s">
        <v>900</v>
      </c>
      <c r="G79" s="11">
        <f>ROUND(('Parameters definition'!C259)/BASE_CURRENT*32768,0)</f>
        <v>1993</v>
      </c>
      <c r="H79" s="9" t="str">
        <f>IF(G79&lt;&gt;"",IF(C79="float32",FLOAT2HEX(G79),DEC2HEX(G79,8)),"")</f>
        <v>000007C9</v>
      </c>
      <c r="I79" s="9">
        <f t="shared" si="1"/>
        <v>1993</v>
      </c>
    </row>
    <row r="80" spans="1:9" ht="15" customHeight="1" x14ac:dyDescent="0.25">
      <c r="A80" s="56">
        <f>IF(I80&lt;&gt;"",MAX(A$1:A79)+1,"")</f>
        <v>73</v>
      </c>
      <c r="B80" s="45" t="s">
        <v>1031</v>
      </c>
      <c r="C80" t="s">
        <v>57</v>
      </c>
      <c r="D80">
        <f t="shared" si="3"/>
        <v>4</v>
      </c>
      <c r="E80" s="2" t="s">
        <v>1032</v>
      </c>
      <c r="G80" s="11">
        <f>ROUND(('Parameters definition'!C326)*32768,0)</f>
        <v>439</v>
      </c>
      <c r="H80" s="9" t="str">
        <f>IF(G80&lt;&gt;"",IF(C80="float32",FLOAT2HEX(G80),DEC2HEX(G80,8)),"")</f>
        <v>000001B7</v>
      </c>
      <c r="I80" s="9">
        <f>IF(G80&lt;&gt;"",HEX2DEC(H80),"")</f>
        <v>439</v>
      </c>
    </row>
    <row r="81" spans="1:9" ht="15" customHeight="1" x14ac:dyDescent="0.25">
      <c r="A81" s="56">
        <f>IF(I81&lt;&gt;"",MAX(A$1:A80)+1,"")</f>
        <v>74</v>
      </c>
      <c r="B81" s="45" t="s">
        <v>901</v>
      </c>
      <c r="C81" t="s">
        <v>57</v>
      </c>
      <c r="D81">
        <f t="shared" si="3"/>
        <v>4</v>
      </c>
      <c r="E81" s="2" t="s">
        <v>902</v>
      </c>
      <c r="G81" s="11">
        <f>ROUND(('Parameters definition'!C260)/BASE_CURRENT*32768,0)</f>
        <v>2491</v>
      </c>
      <c r="H81" s="9" t="str">
        <f>IF(G81&lt;&gt;"",IF(C81="float32",FLOAT2HEX(G81),DEC2HEX(G81,8)),"")</f>
        <v>000009BB</v>
      </c>
      <c r="I81" s="9">
        <f t="shared" si="1"/>
        <v>2491</v>
      </c>
    </row>
    <row r="82" spans="1:9" ht="15" customHeight="1" x14ac:dyDescent="0.25">
      <c r="A82" s="56">
        <f>IF(I82&lt;&gt;"",MAX(A$1:A81)+1,"")</f>
        <v>75</v>
      </c>
      <c r="B82" s="45" t="s">
        <v>1033</v>
      </c>
      <c r="C82" t="s">
        <v>57</v>
      </c>
      <c r="D82">
        <f t="shared" si="3"/>
        <v>4</v>
      </c>
      <c r="E82" s="2" t="s">
        <v>1034</v>
      </c>
      <c r="G82" s="11">
        <f>ROUND(('Parameters definition'!C327)*32768,0)</f>
        <v>446</v>
      </c>
      <c r="H82" s="9" t="str">
        <f>IF(G82&lt;&gt;"",IF(C82="float32",FLOAT2HEX(G82),DEC2HEX(G82,8)),"")</f>
        <v>000001BE</v>
      </c>
      <c r="I82" s="9">
        <f>IF(G82&lt;&gt;"",HEX2DEC(H82),"")</f>
        <v>446</v>
      </c>
    </row>
    <row r="83" spans="1:9" ht="15" customHeight="1" x14ac:dyDescent="0.25">
      <c r="A83" s="56">
        <f>IF(I83&lt;&gt;"",MAX(A$1:A82)+1,"")</f>
        <v>76</v>
      </c>
      <c r="B83" s="45" t="s">
        <v>903</v>
      </c>
      <c r="C83" t="s">
        <v>57</v>
      </c>
      <c r="D83">
        <f t="shared" si="3"/>
        <v>4</v>
      </c>
      <c r="E83" s="2" t="s">
        <v>904</v>
      </c>
      <c r="G83" s="11">
        <f>ROUND(('Parameters definition'!C261)/BASE_CURRENT*32768,0)</f>
        <v>2990</v>
      </c>
      <c r="H83" s="9" t="str">
        <f>IF(G83&lt;&gt;"",IF(C83="float32",FLOAT2HEX(G83),DEC2HEX(G83,8)),"")</f>
        <v>00000BAE</v>
      </c>
      <c r="I83" s="9">
        <f t="shared" si="1"/>
        <v>2990</v>
      </c>
    </row>
    <row r="84" spans="1:9" ht="15" customHeight="1" x14ac:dyDescent="0.25">
      <c r="A84" s="56">
        <f>IF(I84&lt;&gt;"",MAX(A$1:A83)+1,"")</f>
        <v>77</v>
      </c>
      <c r="B84" s="45" t="s">
        <v>1035</v>
      </c>
      <c r="C84" t="s">
        <v>57</v>
      </c>
      <c r="D84">
        <f t="shared" si="3"/>
        <v>4</v>
      </c>
      <c r="E84" s="2" t="s">
        <v>1036</v>
      </c>
      <c r="G84" s="11">
        <f>ROUND(('Parameters definition'!C328)*32768,0)</f>
        <v>495</v>
      </c>
      <c r="H84" s="9" t="str">
        <f>IF(G84&lt;&gt;"",IF(C84="float32",FLOAT2HEX(G84),DEC2HEX(G84,8)),"")</f>
        <v>000001EF</v>
      </c>
      <c r="I84" s="9">
        <f>IF(G84&lt;&gt;"",HEX2DEC(H84),"")</f>
        <v>495</v>
      </c>
    </row>
    <row r="85" spans="1:9" ht="15" customHeight="1" x14ac:dyDescent="0.25">
      <c r="A85" s="56">
        <f>IF(I85&lt;&gt;"",MAX(A$1:A84)+1,"")</f>
        <v>78</v>
      </c>
      <c r="B85" s="45" t="s">
        <v>905</v>
      </c>
      <c r="C85" t="s">
        <v>57</v>
      </c>
      <c r="D85">
        <f t="shared" si="3"/>
        <v>4</v>
      </c>
      <c r="E85" s="2" t="s">
        <v>906</v>
      </c>
      <c r="G85" s="11">
        <f>ROUND(('Parameters definition'!C262)/BASE_CURRENT*32768,0)</f>
        <v>3488</v>
      </c>
      <c r="H85" s="9" t="str">
        <f>IF(G85&lt;&gt;"",IF(C85="float32",FLOAT2HEX(G85),DEC2HEX(G85,8)),"")</f>
        <v>00000DA0</v>
      </c>
      <c r="I85" s="9">
        <f t="shared" si="1"/>
        <v>3488</v>
      </c>
    </row>
    <row r="86" spans="1:9" ht="15" customHeight="1" x14ac:dyDescent="0.25">
      <c r="A86" s="56">
        <f>IF(I86&lt;&gt;"",MAX(A$1:A85)+1,"")</f>
        <v>79</v>
      </c>
      <c r="B86" s="45" t="s">
        <v>1037</v>
      </c>
      <c r="C86" t="s">
        <v>57</v>
      </c>
      <c r="D86">
        <f t="shared" si="3"/>
        <v>4</v>
      </c>
      <c r="E86" s="2" t="s">
        <v>1038</v>
      </c>
      <c r="G86" s="11">
        <f>ROUND(('Parameters definition'!C329)*32768,0)</f>
        <v>532</v>
      </c>
      <c r="H86" s="9" t="str">
        <f>IF(G86&lt;&gt;"",IF(C86="float32",FLOAT2HEX(G86),DEC2HEX(G86,8)),"")</f>
        <v>00000214</v>
      </c>
      <c r="I86" s="9">
        <f>IF(G86&lt;&gt;"",HEX2DEC(H86),"")</f>
        <v>532</v>
      </c>
    </row>
    <row r="87" spans="1:9" ht="15" customHeight="1" x14ac:dyDescent="0.25">
      <c r="A87" s="56">
        <f>IF(I87&lt;&gt;"",MAX(A$1:A86)+1,"")</f>
        <v>80</v>
      </c>
      <c r="B87" s="45" t="s">
        <v>907</v>
      </c>
      <c r="C87" t="s">
        <v>57</v>
      </c>
      <c r="D87">
        <f t="shared" si="3"/>
        <v>4</v>
      </c>
      <c r="E87" s="2" t="s">
        <v>908</v>
      </c>
      <c r="G87" s="11">
        <f>ROUND(('Parameters definition'!C263)/BASE_CURRENT*32768,0)</f>
        <v>3986</v>
      </c>
      <c r="H87" s="9" t="str">
        <f>IF(G87&lt;&gt;"",IF(C87="float32",FLOAT2HEX(G87),DEC2HEX(G87,8)),"")</f>
        <v>00000F92</v>
      </c>
      <c r="I87" s="9">
        <f t="shared" si="1"/>
        <v>3986</v>
      </c>
    </row>
    <row r="88" spans="1:9" ht="15" customHeight="1" x14ac:dyDescent="0.25">
      <c r="A88" s="56">
        <f>IF(I88&lt;&gt;"",MAX(A$1:A87)+1,"")</f>
        <v>81</v>
      </c>
      <c r="B88" s="45" t="s">
        <v>1039</v>
      </c>
      <c r="C88" t="s">
        <v>57</v>
      </c>
      <c r="D88">
        <f t="shared" si="3"/>
        <v>4</v>
      </c>
      <c r="E88" s="2" t="s">
        <v>1040</v>
      </c>
      <c r="G88" s="11">
        <f>ROUND(('Parameters definition'!C330)*32768,0)</f>
        <v>551</v>
      </c>
      <c r="H88" s="9" t="str">
        <f>IF(G88&lt;&gt;"",IF(C88="float32",FLOAT2HEX(G88),DEC2HEX(G88,8)),"")</f>
        <v>00000227</v>
      </c>
      <c r="I88" s="9">
        <f>IF(G88&lt;&gt;"",HEX2DEC(H88),"")</f>
        <v>551</v>
      </c>
    </row>
    <row r="89" spans="1:9" ht="15" customHeight="1" x14ac:dyDescent="0.25">
      <c r="A89" s="56">
        <f>IF(I89&lt;&gt;"",MAX(A$1:A88)+1,"")</f>
        <v>82</v>
      </c>
      <c r="B89" s="45" t="s">
        <v>909</v>
      </c>
      <c r="C89" t="s">
        <v>57</v>
      </c>
      <c r="D89">
        <f t="shared" si="3"/>
        <v>4</v>
      </c>
      <c r="E89" s="2" t="s">
        <v>910</v>
      </c>
      <c r="G89" s="11">
        <f>ROUND(('Parameters definition'!C264)/BASE_CURRENT*32768,0)</f>
        <v>4485</v>
      </c>
      <c r="H89" s="9" t="str">
        <f>IF(G89&lt;&gt;"",IF(C89="float32",FLOAT2HEX(G89),DEC2HEX(G89,8)),"")</f>
        <v>00001185</v>
      </c>
      <c r="I89" s="9">
        <f t="shared" si="1"/>
        <v>4485</v>
      </c>
    </row>
    <row r="90" spans="1:9" ht="15" customHeight="1" x14ac:dyDescent="0.25">
      <c r="A90" s="56">
        <f>IF(I90&lt;&gt;"",MAX(A$1:A89)+1,"")</f>
        <v>83</v>
      </c>
      <c r="B90" s="45" t="s">
        <v>1041</v>
      </c>
      <c r="C90" t="s">
        <v>57</v>
      </c>
      <c r="D90">
        <f t="shared" si="3"/>
        <v>4</v>
      </c>
      <c r="E90" s="2" t="s">
        <v>1042</v>
      </c>
      <c r="G90" s="11">
        <f>ROUND(('Parameters definition'!C331)*32768,0)</f>
        <v>572</v>
      </c>
      <c r="H90" s="9" t="str">
        <f>IF(G90&lt;&gt;"",IF(C90="float32",FLOAT2HEX(G90),DEC2HEX(G90,8)),"")</f>
        <v>0000023C</v>
      </c>
      <c r="I90" s="9">
        <f>IF(G90&lt;&gt;"",HEX2DEC(H90),"")</f>
        <v>572</v>
      </c>
    </row>
    <row r="91" spans="1:9" ht="15" customHeight="1" x14ac:dyDescent="0.25">
      <c r="A91" s="56">
        <f>IF(I91&lt;&gt;"",MAX(A$1:A90)+1,"")</f>
        <v>84</v>
      </c>
      <c r="B91" s="45" t="s">
        <v>911</v>
      </c>
      <c r="C91" t="s">
        <v>57</v>
      </c>
      <c r="D91">
        <f t="shared" si="3"/>
        <v>4</v>
      </c>
      <c r="E91" s="2" t="s">
        <v>912</v>
      </c>
      <c r="G91" s="11">
        <f>ROUND(('Parameters definition'!C265)/BASE_CURRENT*32768,0)</f>
        <v>4983</v>
      </c>
      <c r="H91" s="9" t="str">
        <f>IF(G91&lt;&gt;"",IF(C91="float32",FLOAT2HEX(G91),DEC2HEX(G91,8)),"")</f>
        <v>00001377</v>
      </c>
      <c r="I91" s="9">
        <f t="shared" si="1"/>
        <v>4983</v>
      </c>
    </row>
    <row r="92" spans="1:9" ht="15" customHeight="1" x14ac:dyDescent="0.25">
      <c r="A92" s="56">
        <f>IF(I92&lt;&gt;"",MAX(A$1:A91)+1,"")</f>
        <v>85</v>
      </c>
      <c r="B92" s="45" t="s">
        <v>1043</v>
      </c>
      <c r="C92" t="s">
        <v>57</v>
      </c>
      <c r="D92">
        <f t="shared" si="3"/>
        <v>4</v>
      </c>
      <c r="E92" s="2" t="s">
        <v>1044</v>
      </c>
      <c r="G92" s="11">
        <f>ROUND(('Parameters definition'!C332)*32768,0)</f>
        <v>598</v>
      </c>
      <c r="H92" s="9" t="str">
        <f>IF(G92&lt;&gt;"",IF(C92="float32",FLOAT2HEX(G92),DEC2HEX(G92,8)),"")</f>
        <v>00000256</v>
      </c>
      <c r="I92" s="9">
        <f>IF(G92&lt;&gt;"",HEX2DEC(H92),"")</f>
        <v>598</v>
      </c>
    </row>
    <row r="93" spans="1:9" ht="15" customHeight="1" x14ac:dyDescent="0.25">
      <c r="A93" s="56">
        <f>IF(I93&lt;&gt;"",MAX(A$1:A92)+1,"")</f>
        <v>86</v>
      </c>
      <c r="B93" s="45" t="s">
        <v>913</v>
      </c>
      <c r="C93" t="s">
        <v>57</v>
      </c>
      <c r="D93">
        <f t="shared" si="3"/>
        <v>4</v>
      </c>
      <c r="E93" s="2" t="s">
        <v>914</v>
      </c>
      <c r="G93" s="11">
        <f>ROUND(('Parameters definition'!C266)/BASE_CURRENT*32768,0)</f>
        <v>5481</v>
      </c>
      <c r="H93" s="9" t="str">
        <f>IF(G93&lt;&gt;"",IF(C93="float32",FLOAT2HEX(G93),DEC2HEX(G93,8)),"")</f>
        <v>00001569</v>
      </c>
      <c r="I93" s="9">
        <f t="shared" si="1"/>
        <v>5481</v>
      </c>
    </row>
    <row r="94" spans="1:9" ht="15" customHeight="1" x14ac:dyDescent="0.25">
      <c r="A94" s="56">
        <f>IF(I94&lt;&gt;"",MAX(A$1:A93)+1,"")</f>
        <v>87</v>
      </c>
      <c r="B94" s="45" t="s">
        <v>1045</v>
      </c>
      <c r="C94" t="s">
        <v>57</v>
      </c>
      <c r="D94">
        <f t="shared" si="3"/>
        <v>4</v>
      </c>
      <c r="E94" s="2" t="s">
        <v>1046</v>
      </c>
      <c r="G94" s="11">
        <f>ROUND(('Parameters definition'!C333)*32768,0)</f>
        <v>627</v>
      </c>
      <c r="H94" s="9" t="str">
        <f>IF(G94&lt;&gt;"",IF(C94="float32",FLOAT2HEX(G94),DEC2HEX(G94,8)),"")</f>
        <v>00000273</v>
      </c>
      <c r="I94" s="9">
        <f>IF(G94&lt;&gt;"",HEX2DEC(H94),"")</f>
        <v>627</v>
      </c>
    </row>
    <row r="95" spans="1:9" ht="15" customHeight="1" x14ac:dyDescent="0.25">
      <c r="A95" s="56">
        <f>IF(I95&lt;&gt;"",MAX(A$1:A94)+1,"")</f>
        <v>88</v>
      </c>
      <c r="B95" s="45" t="s">
        <v>915</v>
      </c>
      <c r="C95" t="s">
        <v>57</v>
      </c>
      <c r="D95">
        <f t="shared" si="3"/>
        <v>4</v>
      </c>
      <c r="E95" s="2" t="s">
        <v>916</v>
      </c>
      <c r="G95" s="11">
        <f>ROUND(('Parameters definition'!C267)/BASE_CURRENT*32768,0)</f>
        <v>5980</v>
      </c>
      <c r="H95" s="9" t="str">
        <f>IF(G95&lt;&gt;"",IF(C95="float32",FLOAT2HEX(G95),DEC2HEX(G95,8)),"")</f>
        <v>0000175C</v>
      </c>
      <c r="I95" s="9">
        <f t="shared" si="1"/>
        <v>5980</v>
      </c>
    </row>
    <row r="96" spans="1:9" ht="15" customHeight="1" x14ac:dyDescent="0.25">
      <c r="A96" s="56">
        <f>IF(I96&lt;&gt;"",MAX(A$1:A95)+1,"")</f>
        <v>89</v>
      </c>
      <c r="B96" s="45" t="s">
        <v>1047</v>
      </c>
      <c r="C96" t="s">
        <v>57</v>
      </c>
      <c r="D96">
        <f t="shared" si="3"/>
        <v>4</v>
      </c>
      <c r="E96" s="2" t="s">
        <v>1048</v>
      </c>
      <c r="G96" s="11">
        <f>ROUND(('Parameters definition'!C334)*32768,0)</f>
        <v>657</v>
      </c>
      <c r="H96" s="9" t="str">
        <f>IF(G96&lt;&gt;"",IF(C96="float32",FLOAT2HEX(G96),DEC2HEX(G96,8)),"")</f>
        <v>00000291</v>
      </c>
      <c r="I96" s="9">
        <f>IF(G96&lt;&gt;"",HEX2DEC(H96),"")</f>
        <v>657</v>
      </c>
    </row>
    <row r="97" spans="1:9" ht="15" customHeight="1" x14ac:dyDescent="0.25">
      <c r="A97" s="56">
        <f>IF(I97&lt;&gt;"",MAX(A$1:A96)+1,"")</f>
        <v>90</v>
      </c>
      <c r="B97" s="45" t="s">
        <v>917</v>
      </c>
      <c r="C97" t="s">
        <v>57</v>
      </c>
      <c r="D97">
        <f t="shared" si="3"/>
        <v>4</v>
      </c>
      <c r="E97" s="2" t="s">
        <v>918</v>
      </c>
      <c r="G97" s="11">
        <f>ROUND(('Parameters definition'!C268)/BASE_CURRENT*32768,0)</f>
        <v>6478</v>
      </c>
      <c r="H97" s="9" t="str">
        <f>IF(G97&lt;&gt;"",IF(C97="float32",FLOAT2HEX(G97),DEC2HEX(G97,8)),"")</f>
        <v>0000194E</v>
      </c>
      <c r="I97" s="9">
        <f t="shared" si="1"/>
        <v>6478</v>
      </c>
    </row>
    <row r="98" spans="1:9" ht="15" customHeight="1" x14ac:dyDescent="0.25">
      <c r="A98" s="56">
        <f>IF(I98&lt;&gt;"",MAX(A$1:A97)+1,"")</f>
        <v>91</v>
      </c>
      <c r="B98" s="45" t="s">
        <v>1049</v>
      </c>
      <c r="C98" t="s">
        <v>57</v>
      </c>
      <c r="D98">
        <f t="shared" si="3"/>
        <v>4</v>
      </c>
      <c r="E98" s="2" t="s">
        <v>1050</v>
      </c>
      <c r="G98" s="11">
        <f>ROUND(('Parameters definition'!C335)*32768,0)</f>
        <v>686</v>
      </c>
      <c r="H98" s="9" t="str">
        <f>IF(G98&lt;&gt;"",IF(C98="float32",FLOAT2HEX(G98),DEC2HEX(G98,8)),"")</f>
        <v>000002AE</v>
      </c>
      <c r="I98" s="9">
        <f>IF(G98&lt;&gt;"",HEX2DEC(H98),"")</f>
        <v>686</v>
      </c>
    </row>
    <row r="99" spans="1:9" ht="15" customHeight="1" x14ac:dyDescent="0.25">
      <c r="A99" s="56">
        <f>IF(I99&lt;&gt;"",MAX(A$1:A98)+1,"")</f>
        <v>92</v>
      </c>
      <c r="B99" s="45" t="s">
        <v>919</v>
      </c>
      <c r="C99" t="s">
        <v>57</v>
      </c>
      <c r="D99">
        <f t="shared" si="3"/>
        <v>4</v>
      </c>
      <c r="E99" s="2" t="s">
        <v>920</v>
      </c>
      <c r="G99" s="11">
        <f>ROUND(('Parameters definition'!C269)/BASE_CURRENT*32768,0)</f>
        <v>6976</v>
      </c>
      <c r="H99" s="9" t="str">
        <f>IF(G99&lt;&gt;"",IF(C99="float32",FLOAT2HEX(G99),DEC2HEX(G99,8)),"")</f>
        <v>00001B40</v>
      </c>
      <c r="I99" s="9">
        <f t="shared" si="1"/>
        <v>6976</v>
      </c>
    </row>
    <row r="100" spans="1:9" ht="15" customHeight="1" x14ac:dyDescent="0.25">
      <c r="A100" s="56">
        <f>IF(I100&lt;&gt;"",MAX(A$1:A99)+1,"")</f>
        <v>93</v>
      </c>
      <c r="B100" s="45" t="s">
        <v>1051</v>
      </c>
      <c r="C100" t="s">
        <v>57</v>
      </c>
      <c r="D100">
        <f t="shared" si="3"/>
        <v>4</v>
      </c>
      <c r="E100" s="2" t="s">
        <v>1052</v>
      </c>
      <c r="G100" s="11">
        <f>ROUND(('Parameters definition'!C336)*32768,0)</f>
        <v>687</v>
      </c>
      <c r="H100" s="9" t="str">
        <f>IF(G100&lt;&gt;"",IF(C100="float32",FLOAT2HEX(G100),DEC2HEX(G100,8)),"")</f>
        <v>000002AF</v>
      </c>
      <c r="I100" s="9">
        <f>IF(G100&lt;&gt;"",HEX2DEC(H100),"")</f>
        <v>687</v>
      </c>
    </row>
    <row r="101" spans="1:9" ht="15" customHeight="1" x14ac:dyDescent="0.25">
      <c r="A101" s="56">
        <f>IF(I101&lt;&gt;"",MAX(A$1:A100)+1,"")</f>
        <v>94</v>
      </c>
      <c r="B101" s="45" t="s">
        <v>921</v>
      </c>
      <c r="C101" t="s">
        <v>57</v>
      </c>
      <c r="D101">
        <f t="shared" si="3"/>
        <v>4</v>
      </c>
      <c r="E101" s="2" t="s">
        <v>922</v>
      </c>
      <c r="G101" s="11">
        <f>ROUND(('Parameters definition'!C270)/BASE_CURRENT*32768,0)</f>
        <v>7474</v>
      </c>
      <c r="H101" s="9" t="str">
        <f>IF(G101&lt;&gt;"",IF(C101="float32",FLOAT2HEX(G101),DEC2HEX(G101,8)),"")</f>
        <v>00001D32</v>
      </c>
      <c r="I101" s="9">
        <f t="shared" si="1"/>
        <v>7474</v>
      </c>
    </row>
    <row r="102" spans="1:9" ht="15" customHeight="1" x14ac:dyDescent="0.25">
      <c r="A102" s="56">
        <f>IF(I102&lt;&gt;"",MAX(A$1:A101)+1,"")</f>
        <v>95</v>
      </c>
      <c r="B102" s="45" t="s">
        <v>1053</v>
      </c>
      <c r="C102" t="s">
        <v>57</v>
      </c>
      <c r="D102">
        <f t="shared" si="3"/>
        <v>4</v>
      </c>
      <c r="E102" s="2" t="s">
        <v>1054</v>
      </c>
      <c r="G102" s="11">
        <f>ROUND(('Parameters definition'!C337)*32768,0)</f>
        <v>720</v>
      </c>
      <c r="H102" s="9" t="str">
        <f>IF(G102&lt;&gt;"",IF(C102="float32",FLOAT2HEX(G102),DEC2HEX(G102,8)),"")</f>
        <v>000002D0</v>
      </c>
      <c r="I102" s="9">
        <f>IF(G102&lt;&gt;"",HEX2DEC(H102),"")</f>
        <v>720</v>
      </c>
    </row>
    <row r="103" spans="1:9" ht="15" customHeight="1" x14ac:dyDescent="0.25">
      <c r="A103" s="56">
        <f>IF(I103&lt;&gt;"",MAX(A$1:A102)+1,"")</f>
        <v>96</v>
      </c>
      <c r="B103" s="45" t="s">
        <v>923</v>
      </c>
      <c r="C103" t="s">
        <v>57</v>
      </c>
      <c r="D103">
        <f t="shared" ref="D103:D120" si="4">IF(OR(C103="sint64",C103="uint64",C103="double64"), 8, IF(OR(C103="sint32",C103="uint32",C103="float32"),4,IF(OR(C103="sint16",C103="uint16"),2,  IF(OR(C103="sint8",C103="uint8"),1,""))))</f>
        <v>4</v>
      </c>
      <c r="E103" s="2" t="s">
        <v>924</v>
      </c>
      <c r="G103" s="11">
        <f>ROUND(('Parameters definition'!C271)/BASE_CURRENT*32768,0)</f>
        <v>7973</v>
      </c>
      <c r="H103" s="9" t="str">
        <f>IF(G103&lt;&gt;"",IF(C103="float32",FLOAT2HEX(G103),DEC2HEX(G103,8)),"")</f>
        <v>00001F25</v>
      </c>
      <c r="I103" s="9">
        <f t="shared" si="1"/>
        <v>7973</v>
      </c>
    </row>
    <row r="104" spans="1:9" ht="15" customHeight="1" x14ac:dyDescent="0.25">
      <c r="A104" s="56">
        <f>IF(I104&lt;&gt;"",MAX(A$1:A103)+1,"")</f>
        <v>97</v>
      </c>
      <c r="B104" s="45" t="s">
        <v>1055</v>
      </c>
      <c r="C104" t="s">
        <v>57</v>
      </c>
      <c r="D104">
        <f t="shared" si="4"/>
        <v>4</v>
      </c>
      <c r="E104" s="2" t="s">
        <v>1056</v>
      </c>
      <c r="G104" s="11">
        <f>ROUND(('Parameters definition'!C338)*32768,0)</f>
        <v>739</v>
      </c>
      <c r="H104" s="9" t="str">
        <f>IF(G104&lt;&gt;"",IF(C104="float32",FLOAT2HEX(G104),DEC2HEX(G104,8)),"")</f>
        <v>000002E3</v>
      </c>
      <c r="I104" s="9">
        <f>IF(G104&lt;&gt;"",HEX2DEC(H104),"")</f>
        <v>739</v>
      </c>
    </row>
    <row r="105" spans="1:9" ht="15" customHeight="1" x14ac:dyDescent="0.25">
      <c r="A105" s="56">
        <f>IF(I105&lt;&gt;"",MAX(A$1:A104)+1,"")</f>
        <v>98</v>
      </c>
      <c r="B105" s="45" t="s">
        <v>925</v>
      </c>
      <c r="C105" t="s">
        <v>57</v>
      </c>
      <c r="D105">
        <f t="shared" si="4"/>
        <v>4</v>
      </c>
      <c r="E105" s="2" t="s">
        <v>926</v>
      </c>
      <c r="G105" s="11">
        <f>ROUND(('Parameters definition'!C272)/BASE_CURRENT*32768,0)</f>
        <v>8471</v>
      </c>
      <c r="H105" s="9" t="str">
        <f>IF(G105&lt;&gt;"",IF(C105="float32",FLOAT2HEX(G105),DEC2HEX(G105,8)),"")</f>
        <v>00002117</v>
      </c>
      <c r="I105" s="9">
        <f t="shared" si="1"/>
        <v>8471</v>
      </c>
    </row>
    <row r="106" spans="1:9" ht="15" customHeight="1" x14ac:dyDescent="0.25">
      <c r="A106" s="56">
        <f>IF(I106&lt;&gt;"",MAX(A$1:A105)+1,"")</f>
        <v>99</v>
      </c>
      <c r="B106" s="45" t="s">
        <v>1057</v>
      </c>
      <c r="C106" t="s">
        <v>57</v>
      </c>
      <c r="D106">
        <f t="shared" si="4"/>
        <v>4</v>
      </c>
      <c r="E106" s="2" t="s">
        <v>1058</v>
      </c>
      <c r="G106" s="11">
        <f>ROUND(('Parameters definition'!C339)*32768,0)</f>
        <v>750</v>
      </c>
      <c r="H106" s="9" t="str">
        <f>IF(G106&lt;&gt;"",IF(C106="float32",FLOAT2HEX(G106),DEC2HEX(G106,8)),"")</f>
        <v>000002EE</v>
      </c>
      <c r="I106" s="9">
        <f>IF(G106&lt;&gt;"",HEX2DEC(H106),"")</f>
        <v>750</v>
      </c>
    </row>
    <row r="107" spans="1:9" ht="15" customHeight="1" x14ac:dyDescent="0.25">
      <c r="A107" s="56">
        <f>IF(I107&lt;&gt;"",MAX(A$1:A106)+1,"")</f>
        <v>100</v>
      </c>
      <c r="B107" s="45" t="s">
        <v>927</v>
      </c>
      <c r="C107" t="s">
        <v>57</v>
      </c>
      <c r="D107">
        <f t="shared" si="4"/>
        <v>4</v>
      </c>
      <c r="E107" s="2" t="s">
        <v>928</v>
      </c>
      <c r="G107" s="11">
        <f>ROUND(('Parameters definition'!C273)/BASE_CURRENT*32768,0)</f>
        <v>8969</v>
      </c>
      <c r="H107" s="9" t="str">
        <f>IF(G107&lt;&gt;"",IF(C107="float32",FLOAT2HEX(G107),DEC2HEX(G107,8)),"")</f>
        <v>00002309</v>
      </c>
      <c r="I107" s="9">
        <f t="shared" si="1"/>
        <v>8969</v>
      </c>
    </row>
    <row r="108" spans="1:9" ht="15" customHeight="1" x14ac:dyDescent="0.25">
      <c r="A108" s="56">
        <f>IF(I108&lt;&gt;"",MAX(A$1:A107)+1,"")</f>
        <v>101</v>
      </c>
      <c r="B108" s="45" t="s">
        <v>1059</v>
      </c>
      <c r="C108" t="s">
        <v>57</v>
      </c>
      <c r="D108">
        <f t="shared" si="4"/>
        <v>4</v>
      </c>
      <c r="E108" s="2" t="s">
        <v>1060</v>
      </c>
      <c r="G108" s="11">
        <f>ROUND(('Parameters definition'!C340)*32768,0)</f>
        <v>756</v>
      </c>
      <c r="H108" s="9" t="str">
        <f>IF(G108&lt;&gt;"",IF(C108="float32",FLOAT2HEX(G108),DEC2HEX(G108,8)),"")</f>
        <v>000002F4</v>
      </c>
      <c r="I108" s="9">
        <f>IF(G108&lt;&gt;"",HEX2DEC(H108),"")</f>
        <v>756</v>
      </c>
    </row>
    <row r="109" spans="1:9" ht="15" customHeight="1" x14ac:dyDescent="0.25">
      <c r="A109" s="56">
        <f>IF(I109&lt;&gt;"",MAX(A$1:A108)+1,"")</f>
        <v>102</v>
      </c>
      <c r="B109" s="45" t="s">
        <v>929</v>
      </c>
      <c r="C109" t="s">
        <v>57</v>
      </c>
      <c r="D109">
        <f t="shared" si="4"/>
        <v>4</v>
      </c>
      <c r="E109" s="2" t="s">
        <v>930</v>
      </c>
      <c r="G109" s="11">
        <f>ROUND(('Parameters definition'!C274)/BASE_CURRENT*32768,0)</f>
        <v>9468</v>
      </c>
      <c r="H109" s="9" t="str">
        <f>IF(G109&lt;&gt;"",IF(C109="float32",FLOAT2HEX(G109),DEC2HEX(G109,8)),"")</f>
        <v>000024FC</v>
      </c>
      <c r="I109" s="9">
        <f t="shared" si="1"/>
        <v>9468</v>
      </c>
    </row>
    <row r="110" spans="1:9" ht="15" customHeight="1" x14ac:dyDescent="0.25">
      <c r="A110" s="56">
        <f>IF(I110&lt;&gt;"",MAX(A$1:A109)+1,"")</f>
        <v>103</v>
      </c>
      <c r="B110" s="45" t="s">
        <v>1061</v>
      </c>
      <c r="C110" t="s">
        <v>57</v>
      </c>
      <c r="D110">
        <f t="shared" si="4"/>
        <v>4</v>
      </c>
      <c r="E110" s="2" t="s">
        <v>1062</v>
      </c>
      <c r="G110" s="11">
        <f>ROUND(('Parameters definition'!C341)*32768,0)</f>
        <v>760</v>
      </c>
      <c r="H110" s="9" t="str">
        <f>IF(G110&lt;&gt;"",IF(C110="float32",FLOAT2HEX(G110),DEC2HEX(G110,8)),"")</f>
        <v>000002F8</v>
      </c>
      <c r="I110" s="9">
        <f>IF(G110&lt;&gt;"",HEX2DEC(H110),"")</f>
        <v>760</v>
      </c>
    </row>
    <row r="111" spans="1:9" ht="15" customHeight="1" x14ac:dyDescent="0.25">
      <c r="A111" s="56">
        <f>IF(I111&lt;&gt;"",MAX(A$1:A110)+1,"")</f>
        <v>104</v>
      </c>
      <c r="B111" s="45" t="s">
        <v>931</v>
      </c>
      <c r="C111" t="s">
        <v>57</v>
      </c>
      <c r="D111">
        <f t="shared" si="4"/>
        <v>4</v>
      </c>
      <c r="E111" s="2" t="s">
        <v>932</v>
      </c>
      <c r="G111" s="11">
        <f>ROUND(('Parameters definition'!C275)/BASE_CURRENT*32768,0)</f>
        <v>9966</v>
      </c>
      <c r="H111" s="9" t="str">
        <f>IF(G111&lt;&gt;"",IF(C111="float32",FLOAT2HEX(G111),DEC2HEX(G111,8)),"")</f>
        <v>000026EE</v>
      </c>
      <c r="I111" s="9">
        <f t="shared" si="1"/>
        <v>9966</v>
      </c>
    </row>
    <row r="112" spans="1:9" ht="15" customHeight="1" x14ac:dyDescent="0.25">
      <c r="A112" s="56">
        <f>IF(I112&lt;&gt;"",MAX(A$1:A111)+1,"")</f>
        <v>105</v>
      </c>
      <c r="B112" s="45" t="s">
        <v>1063</v>
      </c>
      <c r="C112" t="s">
        <v>57</v>
      </c>
      <c r="D112">
        <f t="shared" si="4"/>
        <v>4</v>
      </c>
      <c r="E112" s="2" t="s">
        <v>1064</v>
      </c>
      <c r="G112" s="11">
        <f>ROUND(('Parameters definition'!C342)*32768,0)</f>
        <v>762</v>
      </c>
      <c r="H112" s="9" t="str">
        <f>IF(G112&lt;&gt;"",IF(C112="float32",FLOAT2HEX(G112),DEC2HEX(G112,8)),"")</f>
        <v>000002FA</v>
      </c>
      <c r="I112" s="9">
        <f>IF(G112&lt;&gt;"",HEX2DEC(H112),"")</f>
        <v>762</v>
      </c>
    </row>
    <row r="113" spans="1:9" ht="15" customHeight="1" x14ac:dyDescent="0.25">
      <c r="A113" s="56">
        <f>IF(I113&lt;&gt;"",MAX(A$1:A112)+1,"")</f>
        <v>106</v>
      </c>
      <c r="B113" s="45" t="s">
        <v>933</v>
      </c>
      <c r="C113" t="s">
        <v>57</v>
      </c>
      <c r="D113">
        <f t="shared" si="4"/>
        <v>4</v>
      </c>
      <c r="E113" s="2" t="s">
        <v>934</v>
      </c>
      <c r="G113" s="11">
        <f>ROUND(('Parameters definition'!C276)/BASE_CURRENT*32768,0)</f>
        <v>10464</v>
      </c>
      <c r="H113" s="9" t="str">
        <f>IF(G113&lt;&gt;"",IF(C113="float32",FLOAT2HEX(G113),DEC2HEX(G113,8)),"")</f>
        <v>000028E0</v>
      </c>
      <c r="I113" s="9">
        <f t="shared" si="1"/>
        <v>10464</v>
      </c>
    </row>
    <row r="114" spans="1:9" ht="15" customHeight="1" x14ac:dyDescent="0.25">
      <c r="A114" s="56">
        <f>IF(I114&lt;&gt;"",MAX(A$1:A113)+1,"")</f>
        <v>107</v>
      </c>
      <c r="B114" s="45" t="s">
        <v>1065</v>
      </c>
      <c r="C114" t="s">
        <v>57</v>
      </c>
      <c r="D114">
        <f t="shared" si="4"/>
        <v>4</v>
      </c>
      <c r="E114" s="2" t="s">
        <v>1066</v>
      </c>
      <c r="G114" s="11">
        <f>ROUND(('Parameters definition'!C343)*32768,0)</f>
        <v>765</v>
      </c>
      <c r="H114" s="9" t="str">
        <f>IF(G114&lt;&gt;"",IF(C114="float32",FLOAT2HEX(G114),DEC2HEX(G114,8)),"")</f>
        <v>000002FD</v>
      </c>
      <c r="I114" s="9">
        <f>IF(G114&lt;&gt;"",HEX2DEC(H114),"")</f>
        <v>765</v>
      </c>
    </row>
    <row r="115" spans="1:9" ht="15" customHeight="1" x14ac:dyDescent="0.25">
      <c r="A115" s="56">
        <f>IF(I115&lt;&gt;"",MAX(A$1:A114)+1,"")</f>
        <v>108</v>
      </c>
      <c r="B115" s="45" t="s">
        <v>935</v>
      </c>
      <c r="C115" t="s">
        <v>57</v>
      </c>
      <c r="D115">
        <f t="shared" si="4"/>
        <v>4</v>
      </c>
      <c r="E115" s="2" t="s">
        <v>936</v>
      </c>
      <c r="G115" s="11">
        <f>ROUND(('Parameters definition'!C277)/BASE_CURRENT*32768,0)</f>
        <v>10963</v>
      </c>
      <c r="H115" s="9" t="str">
        <f>IF(G115&lt;&gt;"",IF(C115="float32",FLOAT2HEX(G115),DEC2HEX(G115,8)),"")</f>
        <v>00002AD3</v>
      </c>
      <c r="I115" s="9">
        <f t="shared" si="1"/>
        <v>10963</v>
      </c>
    </row>
    <row r="116" spans="1:9" ht="15" customHeight="1" x14ac:dyDescent="0.25">
      <c r="A116" s="56">
        <f>IF(I116&lt;&gt;"",MAX(A$1:A115)+1,"")</f>
        <v>109</v>
      </c>
      <c r="B116" s="45" t="s">
        <v>1067</v>
      </c>
      <c r="C116" t="s">
        <v>57</v>
      </c>
      <c r="D116">
        <f t="shared" si="4"/>
        <v>4</v>
      </c>
      <c r="E116" s="2" t="s">
        <v>1068</v>
      </c>
      <c r="G116" s="11">
        <f>ROUND(('Parameters definition'!C344)*32768,0)</f>
        <v>769</v>
      </c>
      <c r="H116" s="9" t="str">
        <f>IF(G116&lt;&gt;"",IF(C116="float32",FLOAT2HEX(G116),DEC2HEX(G116,8)),"")</f>
        <v>00000301</v>
      </c>
      <c r="I116" s="9">
        <f>IF(G116&lt;&gt;"",HEX2DEC(H116),"")</f>
        <v>769</v>
      </c>
    </row>
    <row r="117" spans="1:9" ht="15" customHeight="1" x14ac:dyDescent="0.25">
      <c r="A117" s="56">
        <f>IF(I117&lt;&gt;"",MAX(A$1:A116)+1,"")</f>
        <v>110</v>
      </c>
      <c r="B117" s="45" t="s">
        <v>937</v>
      </c>
      <c r="C117" t="s">
        <v>57</v>
      </c>
      <c r="D117">
        <f t="shared" si="4"/>
        <v>4</v>
      </c>
      <c r="E117" s="2" t="s">
        <v>938</v>
      </c>
      <c r="G117" s="11">
        <f>ROUND(('Parameters definition'!C278)/BASE_CURRENT*32768,0)</f>
        <v>11461</v>
      </c>
      <c r="H117" s="9" t="str">
        <f>IF(G117&lt;&gt;"",IF(C117="float32",FLOAT2HEX(G117),DEC2HEX(G117,8)),"")</f>
        <v>00002CC5</v>
      </c>
      <c r="I117" s="9">
        <f t="shared" si="1"/>
        <v>11461</v>
      </c>
    </row>
    <row r="118" spans="1:9" ht="15" customHeight="1" x14ac:dyDescent="0.25">
      <c r="A118" s="56">
        <f>IF(I118&lt;&gt;"",MAX(A$1:A117)+1,"")</f>
        <v>111</v>
      </c>
      <c r="B118" s="45" t="s">
        <v>1069</v>
      </c>
      <c r="C118" t="s">
        <v>57</v>
      </c>
      <c r="D118">
        <f t="shared" si="4"/>
        <v>4</v>
      </c>
      <c r="E118" s="2" t="s">
        <v>1070</v>
      </c>
      <c r="G118" s="11">
        <f>ROUND(('Parameters definition'!C345)*32768,0)</f>
        <v>773</v>
      </c>
      <c r="H118" s="9" t="str">
        <f>IF(G118&lt;&gt;"",IF(C118="float32",FLOAT2HEX(G118),DEC2HEX(G118,8)),"")</f>
        <v>00000305</v>
      </c>
      <c r="I118" s="9">
        <f>IF(G118&lt;&gt;"",HEX2DEC(H118),"")</f>
        <v>773</v>
      </c>
    </row>
    <row r="119" spans="1:9" ht="15" customHeight="1" x14ac:dyDescent="0.25">
      <c r="A119" s="56">
        <f>IF(I119&lt;&gt;"",MAX(A$1:A118)+1,"")</f>
        <v>112</v>
      </c>
      <c r="B119" s="45" t="s">
        <v>939</v>
      </c>
      <c r="C119" t="s">
        <v>57</v>
      </c>
      <c r="D119">
        <f t="shared" si="4"/>
        <v>4</v>
      </c>
      <c r="E119" s="2" t="s">
        <v>940</v>
      </c>
      <c r="G119" s="11">
        <f>ROUND(('Parameters definition'!C279)/BASE_CURRENT*32768,0)</f>
        <v>11959</v>
      </c>
      <c r="H119" s="9" t="str">
        <f>IF(G119&lt;&gt;"",IF(C119="float32",FLOAT2HEX(G119),DEC2HEX(G119,8)),"")</f>
        <v>00002EB7</v>
      </c>
      <c r="I119" s="9">
        <f t="shared" si="1"/>
        <v>11959</v>
      </c>
    </row>
    <row r="120" spans="1:9" ht="15" customHeight="1" x14ac:dyDescent="0.25">
      <c r="A120" s="56">
        <f>IF(I120&lt;&gt;"",MAX(A$1:A119)+1,"")</f>
        <v>113</v>
      </c>
      <c r="B120" s="45" t="s">
        <v>1071</v>
      </c>
      <c r="C120" t="s">
        <v>57</v>
      </c>
      <c r="D120">
        <f t="shared" si="4"/>
        <v>4</v>
      </c>
      <c r="E120" s="2" t="s">
        <v>1072</v>
      </c>
      <c r="G120" s="11">
        <f>ROUND(('Parameters definition'!C346)*32768,0)</f>
        <v>778</v>
      </c>
      <c r="H120" s="9" t="str">
        <f>IF(G120&lt;&gt;"",IF(C120="float32",FLOAT2HEX(G120),DEC2HEX(G120,8)),"")</f>
        <v>0000030A</v>
      </c>
      <c r="I120" s="9">
        <f>IF(G120&lt;&gt;"",HEX2DEC(H120),"")</f>
        <v>778</v>
      </c>
    </row>
    <row r="121" spans="1:9" ht="15" customHeight="1" x14ac:dyDescent="0.25">
      <c r="A121" s="56">
        <f>IF(I121&lt;&gt;"",MAX(A$1:A120)+1,"")</f>
        <v>114</v>
      </c>
      <c r="B121" s="45" t="s">
        <v>941</v>
      </c>
      <c r="C121" t="s">
        <v>57</v>
      </c>
      <c r="D121">
        <f t="shared" ref="D121:D137" si="5">IF(OR(C121="sint64",C121="uint64",C121="double64"), 8, IF(OR(C121="sint32",C121="uint32",C121="float32"),4,IF(OR(C121="sint16",C121="uint16"),2,  IF(OR(C121="sint8",C121="uint8"),1,""))))</f>
        <v>4</v>
      </c>
      <c r="E121" s="2" t="s">
        <v>942</v>
      </c>
      <c r="G121" s="11">
        <f>ROUND(('Parameters definition'!C280)/BASE_CURRENT*32768,0)</f>
        <v>12457</v>
      </c>
      <c r="H121" s="9" t="str">
        <f>IF(G121&lt;&gt;"",IF(C121="float32",FLOAT2HEX(G121),DEC2HEX(G121,8)),"")</f>
        <v>000030A9</v>
      </c>
      <c r="I121" s="9">
        <f t="shared" si="1"/>
        <v>12457</v>
      </c>
    </row>
    <row r="122" spans="1:9" ht="15" customHeight="1" x14ac:dyDescent="0.25">
      <c r="A122" s="56">
        <f>IF(I122&lt;&gt;"",MAX(A$1:A121)+1,"")</f>
        <v>115</v>
      </c>
      <c r="B122" s="45" t="s">
        <v>1073</v>
      </c>
      <c r="C122" t="s">
        <v>57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1074</v>
      </c>
      <c r="G122" s="11">
        <f>ROUND(('Parameters definition'!C347)*32768,0)</f>
        <v>783</v>
      </c>
      <c r="H122" s="9" t="str">
        <f>IF(G122&lt;&gt;"",IF(C122="float32",FLOAT2HEX(G122),DEC2HEX(G122,8)),"")</f>
        <v>0000030F</v>
      </c>
      <c r="I122" s="9">
        <f>IF(G122&lt;&gt;"",HEX2DEC(H122),"")</f>
        <v>783</v>
      </c>
    </row>
    <row r="123" spans="1:9" ht="15" customHeight="1" x14ac:dyDescent="0.25">
      <c r="A123" s="56">
        <f>IF(I123&lt;&gt;"",MAX(A$1:A122)+1,"")</f>
        <v>116</v>
      </c>
      <c r="B123" s="45" t="s">
        <v>943</v>
      </c>
      <c r="C123" t="s">
        <v>57</v>
      </c>
      <c r="D123">
        <f t="shared" si="5"/>
        <v>4</v>
      </c>
      <c r="E123" s="2" t="s">
        <v>944</v>
      </c>
      <c r="G123" s="11">
        <f>ROUND(('Parameters definition'!C281)/BASE_CURRENT*32768,0)</f>
        <v>12956</v>
      </c>
      <c r="H123" s="9" t="str">
        <f>IF(G123&lt;&gt;"",IF(C123="float32",FLOAT2HEX(G123),DEC2HEX(G123,8)),"")</f>
        <v>0000329C</v>
      </c>
      <c r="I123" s="9">
        <f t="shared" ref="I123:I137" si="6">IF(G123&lt;&gt;"",HEX2DEC(H123),"")</f>
        <v>12956</v>
      </c>
    </row>
    <row r="124" spans="1:9" ht="15" customHeight="1" x14ac:dyDescent="0.25">
      <c r="A124" s="56">
        <f>IF(I124&lt;&gt;"",MAX(A$1:A123)+1,"")</f>
        <v>117</v>
      </c>
      <c r="B124" s="45" t="s">
        <v>1075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2" t="s">
        <v>1076</v>
      </c>
      <c r="G124" s="11">
        <f>ROUND(('Parameters definition'!C348)*32768,0)</f>
        <v>788</v>
      </c>
      <c r="H124" s="9" t="str">
        <f>IF(G124&lt;&gt;"",IF(C124="float32",FLOAT2HEX(G124),DEC2HEX(G124,8)),"")</f>
        <v>00000314</v>
      </c>
      <c r="I124" s="9">
        <f>IF(G124&lt;&gt;"",HEX2DEC(H124),"")</f>
        <v>788</v>
      </c>
    </row>
    <row r="125" spans="1:9" ht="15" customHeight="1" x14ac:dyDescent="0.25">
      <c r="A125" s="56">
        <f>IF(I125&lt;&gt;"",MAX(A$1:A124)+1,"")</f>
        <v>118</v>
      </c>
      <c r="B125" s="45" t="s">
        <v>945</v>
      </c>
      <c r="C125" t="s">
        <v>57</v>
      </c>
      <c r="D125">
        <f t="shared" si="5"/>
        <v>4</v>
      </c>
      <c r="E125" s="2" t="s">
        <v>946</v>
      </c>
      <c r="G125" s="11">
        <f>ROUND(('Parameters definition'!C282)/BASE_CURRENT*32768,0)</f>
        <v>13454</v>
      </c>
      <c r="H125" s="9" t="str">
        <f>IF(G125&lt;&gt;"",IF(C125="float32",FLOAT2HEX(G125),DEC2HEX(G125,8)),"")</f>
        <v>0000348E</v>
      </c>
      <c r="I125" s="9">
        <f t="shared" si="6"/>
        <v>13454</v>
      </c>
    </row>
    <row r="126" spans="1:9" ht="15" customHeight="1" x14ac:dyDescent="0.25">
      <c r="A126" s="56">
        <f>IF(I126&lt;&gt;"",MAX(A$1:A125)+1,"")</f>
        <v>119</v>
      </c>
      <c r="B126" s="45" t="s">
        <v>1077</v>
      </c>
      <c r="C126" t="s">
        <v>57</v>
      </c>
      <c r="D126">
        <f>IF(OR(C126="sint64",C126="uint64",C126="double64"), 8, IF(OR(C126="sint32",C126="uint32",C126="float32"),4,IF(OR(C126="sint16",C126="uint16"),2,  IF(OR(C126="sint8",C126="uint8"),1,""))))</f>
        <v>4</v>
      </c>
      <c r="E126" s="2" t="s">
        <v>1078</v>
      </c>
      <c r="G126" s="11">
        <f>ROUND(('Parameters definition'!C349)*32768,0)</f>
        <v>793</v>
      </c>
      <c r="H126" s="9" t="str">
        <f>IF(G126&lt;&gt;"",IF(C126="float32",FLOAT2HEX(G126),DEC2HEX(G126,8)),"")</f>
        <v>00000319</v>
      </c>
      <c r="I126" s="9">
        <f>IF(G126&lt;&gt;"",HEX2DEC(H126),"")</f>
        <v>793</v>
      </c>
    </row>
    <row r="127" spans="1:9" ht="15" customHeight="1" x14ac:dyDescent="0.25">
      <c r="A127" s="56">
        <f>IF(I127&lt;&gt;"",MAX(A$1:A126)+1,"")</f>
        <v>120</v>
      </c>
      <c r="B127" s="45" t="s">
        <v>947</v>
      </c>
      <c r="C127" t="s">
        <v>57</v>
      </c>
      <c r="D127">
        <f t="shared" si="5"/>
        <v>4</v>
      </c>
      <c r="E127" s="2" t="s">
        <v>948</v>
      </c>
      <c r="G127" s="11">
        <f>ROUND(('Parameters definition'!C283)/BASE_CURRENT*32768,0)</f>
        <v>13952</v>
      </c>
      <c r="H127" s="9" t="str">
        <f>IF(G127&lt;&gt;"",IF(C127="float32",FLOAT2HEX(G127),DEC2HEX(G127,8)),"")</f>
        <v>00003680</v>
      </c>
      <c r="I127" s="9">
        <f t="shared" si="6"/>
        <v>13952</v>
      </c>
    </row>
    <row r="128" spans="1:9" ht="15" customHeight="1" x14ac:dyDescent="0.25">
      <c r="A128" s="56">
        <f>IF(I128&lt;&gt;"",MAX(A$1:A127)+1,"")</f>
        <v>121</v>
      </c>
      <c r="B128" s="45" t="s">
        <v>1079</v>
      </c>
      <c r="C128" t="s">
        <v>57</v>
      </c>
      <c r="D128">
        <f>IF(OR(C128="sint64",C128="uint64",C128="double64"), 8, IF(OR(C128="sint32",C128="uint32",C128="float32"),4,IF(OR(C128="sint16",C128="uint16"),2,  IF(OR(C128="sint8",C128="uint8"),1,""))))</f>
        <v>4</v>
      </c>
      <c r="E128" s="2" t="s">
        <v>1080</v>
      </c>
      <c r="G128" s="11">
        <f>ROUND(('Parameters definition'!C350)*32768,0)</f>
        <v>796</v>
      </c>
      <c r="H128" s="9" t="str">
        <f>IF(G128&lt;&gt;"",IF(C128="float32",FLOAT2HEX(G128),DEC2HEX(G128,8)),"")</f>
        <v>0000031C</v>
      </c>
      <c r="I128" s="9">
        <f>IF(G128&lt;&gt;"",HEX2DEC(H128),"")</f>
        <v>796</v>
      </c>
    </row>
    <row r="129" spans="1:9" ht="15" customHeight="1" x14ac:dyDescent="0.25">
      <c r="A129" s="56">
        <f>IF(I129&lt;&gt;"",MAX(A$1:A128)+1,"")</f>
        <v>122</v>
      </c>
      <c r="B129" s="45" t="s">
        <v>949</v>
      </c>
      <c r="C129" t="s">
        <v>57</v>
      </c>
      <c r="D129">
        <f t="shared" si="5"/>
        <v>4</v>
      </c>
      <c r="E129" s="2" t="s">
        <v>950</v>
      </c>
      <c r="G129" s="11">
        <f>ROUND(('Parameters definition'!C284)/BASE_CURRENT*32768,0)</f>
        <v>14451</v>
      </c>
      <c r="H129" s="9" t="str">
        <f>IF(G129&lt;&gt;"",IF(C129="float32",FLOAT2HEX(G129),DEC2HEX(G129,8)),"")</f>
        <v>00003873</v>
      </c>
      <c r="I129" s="9">
        <f t="shared" si="6"/>
        <v>14451</v>
      </c>
    </row>
    <row r="130" spans="1:9" ht="15" customHeight="1" x14ac:dyDescent="0.25">
      <c r="A130" s="56">
        <f>IF(I130&lt;&gt;"",MAX(A$1:A129)+1,"")</f>
        <v>123</v>
      </c>
      <c r="B130" s="45" t="s">
        <v>1081</v>
      </c>
      <c r="C130" t="s">
        <v>57</v>
      </c>
      <c r="D130">
        <f>IF(OR(C130="sint64",C130="uint64",C130="double64"), 8, IF(OR(C130="sint32",C130="uint32",C130="float32"),4,IF(OR(C130="sint16",C130="uint16"),2,  IF(OR(C130="sint8",C130="uint8"),1,""))))</f>
        <v>4</v>
      </c>
      <c r="E130" s="2" t="s">
        <v>1082</v>
      </c>
      <c r="G130" s="11">
        <f>ROUND(('Parameters definition'!C351)*32768,0)</f>
        <v>800</v>
      </c>
      <c r="H130" s="9" t="str">
        <f>IF(G130&lt;&gt;"",IF(C130="float32",FLOAT2HEX(G130),DEC2HEX(G130,8)),"")</f>
        <v>00000320</v>
      </c>
      <c r="I130" s="9">
        <f>IF(G130&lt;&gt;"",HEX2DEC(H130),"")</f>
        <v>800</v>
      </c>
    </row>
    <row r="131" spans="1:9" ht="15" customHeight="1" x14ac:dyDescent="0.25">
      <c r="A131" s="56">
        <f>IF(I131&lt;&gt;"",MAX(A$1:A130)+1,"")</f>
        <v>124</v>
      </c>
      <c r="B131" s="45" t="s">
        <v>951</v>
      </c>
      <c r="C131" t="s">
        <v>57</v>
      </c>
      <c r="D131">
        <f t="shared" si="5"/>
        <v>4</v>
      </c>
      <c r="E131" s="2" t="s">
        <v>952</v>
      </c>
      <c r="G131" s="11">
        <f>ROUND(('Parameters definition'!C285)/BASE_CURRENT*32768,0)</f>
        <v>14949</v>
      </c>
      <c r="H131" s="9" t="str">
        <f>IF(G131&lt;&gt;"",IF(C131="float32",FLOAT2HEX(G131),DEC2HEX(G131,8)),"")</f>
        <v>00003A65</v>
      </c>
      <c r="I131" s="9">
        <f t="shared" si="6"/>
        <v>14949</v>
      </c>
    </row>
    <row r="132" spans="1:9" ht="15" customHeight="1" x14ac:dyDescent="0.25">
      <c r="A132" s="56">
        <f>IF(I132&lt;&gt;"",MAX(A$1:A131)+1,"")</f>
        <v>125</v>
      </c>
      <c r="B132" s="45" t="s">
        <v>1083</v>
      </c>
      <c r="C132" t="s">
        <v>57</v>
      </c>
      <c r="D132">
        <f>IF(OR(C132="sint64",C132="uint64",C132="double64"), 8, IF(OR(C132="sint32",C132="uint32",C132="float32"),4,IF(OR(C132="sint16",C132="uint16"),2,  IF(OR(C132="sint8",C132="uint8"),1,""))))</f>
        <v>4</v>
      </c>
      <c r="E132" s="2" t="s">
        <v>1084</v>
      </c>
      <c r="G132" s="11">
        <f>ROUND(('Parameters definition'!C352)*32768,0)</f>
        <v>803</v>
      </c>
      <c r="H132" s="9" t="str">
        <f>IF(G132&lt;&gt;"",IF(C132="float32",FLOAT2HEX(G132),DEC2HEX(G132,8)),"")</f>
        <v>00000323</v>
      </c>
      <c r="I132" s="9">
        <f>IF(G132&lt;&gt;"",HEX2DEC(H132),"")</f>
        <v>803</v>
      </c>
    </row>
    <row r="133" spans="1:9" ht="15" customHeight="1" x14ac:dyDescent="0.25">
      <c r="A133" s="56">
        <f>IF(I133&lt;&gt;"",MAX(A$1:A132)+1,"")</f>
        <v>126</v>
      </c>
      <c r="B133" s="45" t="s">
        <v>953</v>
      </c>
      <c r="C133" t="s">
        <v>57</v>
      </c>
      <c r="D133">
        <f t="shared" si="5"/>
        <v>4</v>
      </c>
      <c r="E133" s="2" t="s">
        <v>954</v>
      </c>
      <c r="G133" s="11">
        <f>ROUND(('Parameters definition'!C286)/BASE_CURRENT*32768,0)</f>
        <v>15447</v>
      </c>
      <c r="H133" s="9" t="str">
        <f>IF(G133&lt;&gt;"",IF(C133="float32",FLOAT2HEX(G133),DEC2HEX(G133,8)),"")</f>
        <v>00003C57</v>
      </c>
      <c r="I133" s="9">
        <f t="shared" si="6"/>
        <v>15447</v>
      </c>
    </row>
    <row r="134" spans="1:9" ht="15" customHeight="1" x14ac:dyDescent="0.25">
      <c r="A134" s="56">
        <f>IF(I134&lt;&gt;"",MAX(A$1:A133)+1,"")</f>
        <v>127</v>
      </c>
      <c r="B134" s="45" t="s">
        <v>1085</v>
      </c>
      <c r="C134" t="s">
        <v>57</v>
      </c>
      <c r="D134">
        <f>IF(OR(C134="sint64",C134="uint64",C134="double64"), 8, IF(OR(C134="sint32",C134="uint32",C134="float32"),4,IF(OR(C134="sint16",C134="uint16"),2,  IF(OR(C134="sint8",C134="uint8"),1,""))))</f>
        <v>4</v>
      </c>
      <c r="E134" s="2" t="s">
        <v>1086</v>
      </c>
      <c r="G134" s="11">
        <f>ROUND(('Parameters definition'!C353)*32768,0)</f>
        <v>807</v>
      </c>
      <c r="H134" s="9" t="str">
        <f>IF(G134&lt;&gt;"",IF(C134="float32",FLOAT2HEX(G134),DEC2HEX(G134,8)),"")</f>
        <v>00000327</v>
      </c>
      <c r="I134" s="9">
        <f>IF(G134&lt;&gt;"",HEX2DEC(H134),"")</f>
        <v>807</v>
      </c>
    </row>
    <row r="135" spans="1:9" ht="15" customHeight="1" x14ac:dyDescent="0.25">
      <c r="A135" s="56">
        <f>IF(I135&lt;&gt;"",MAX(A$1:A134)+1,"")</f>
        <v>128</v>
      </c>
      <c r="B135" s="45" t="s">
        <v>955</v>
      </c>
      <c r="C135" t="s">
        <v>57</v>
      </c>
      <c r="D135">
        <f t="shared" si="5"/>
        <v>4</v>
      </c>
      <c r="E135" s="2" t="s">
        <v>956</v>
      </c>
      <c r="G135" s="11">
        <f>ROUND(('Parameters definition'!C287)/BASE_CURRENT*32768,0)</f>
        <v>15945</v>
      </c>
      <c r="H135" s="9" t="str">
        <f>IF(G135&lt;&gt;"",IF(C135="float32",FLOAT2HEX(G135),DEC2HEX(G135,8)),"")</f>
        <v>00003E49</v>
      </c>
      <c r="I135" s="9">
        <f t="shared" si="6"/>
        <v>15945</v>
      </c>
    </row>
    <row r="136" spans="1:9" ht="15" customHeight="1" x14ac:dyDescent="0.25">
      <c r="A136" s="56">
        <f>IF(I136&lt;&gt;"",MAX(A$1:A135)+1,"")</f>
        <v>129</v>
      </c>
      <c r="B136" s="45" t="s">
        <v>1087</v>
      </c>
      <c r="C136" t="s">
        <v>57</v>
      </c>
      <c r="D136">
        <f>IF(OR(C136="sint64",C136="uint64",C136="double64"), 8, IF(OR(C136="sint32",C136="uint32",C136="float32"),4,IF(OR(C136="sint16",C136="uint16"),2,  IF(OR(C136="sint8",C136="uint8"),1,""))))</f>
        <v>4</v>
      </c>
      <c r="E136" s="2" t="s">
        <v>1088</v>
      </c>
      <c r="G136" s="11">
        <f>ROUND(('Parameters definition'!C354)*32768,0)</f>
        <v>814</v>
      </c>
      <c r="H136" s="9" t="str">
        <f>IF(G136&lt;&gt;"",IF(C136="float32",FLOAT2HEX(G136),DEC2HEX(G136,8)),"")</f>
        <v>0000032E</v>
      </c>
      <c r="I136" s="9">
        <f>IF(G136&lt;&gt;"",HEX2DEC(H136),"")</f>
        <v>814</v>
      </c>
    </row>
    <row r="137" spans="1:9" ht="15" customHeight="1" x14ac:dyDescent="0.25">
      <c r="A137" s="56">
        <f>IF(I137&lt;&gt;"",MAX(A$1:A136)+1,"")</f>
        <v>130</v>
      </c>
      <c r="B137" s="45" t="s">
        <v>957</v>
      </c>
      <c r="C137" t="s">
        <v>57</v>
      </c>
      <c r="D137">
        <f t="shared" si="5"/>
        <v>4</v>
      </c>
      <c r="E137" s="2" t="s">
        <v>958</v>
      </c>
      <c r="G137" s="11">
        <f>ROUND(('Parameters definition'!C288)/BASE_CURRENT*32768,0)</f>
        <v>15945</v>
      </c>
      <c r="H137" s="9" t="str">
        <f>IF(G137&lt;&gt;"",IF(C137="float32",FLOAT2HEX(G137),DEC2HEX(G137,8)),"")</f>
        <v>00003E49</v>
      </c>
      <c r="I137" s="9">
        <f t="shared" si="6"/>
        <v>15945</v>
      </c>
    </row>
    <row r="138" spans="1:9" ht="15" customHeight="1" x14ac:dyDescent="0.25">
      <c r="A138" s="56">
        <f>IF(I138&lt;&gt;"",MAX(A$1:A137)+1,"")</f>
        <v>131</v>
      </c>
      <c r="B138" s="45" t="s">
        <v>1089</v>
      </c>
      <c r="C138" t="s">
        <v>57</v>
      </c>
      <c r="D138">
        <f>IF(OR(C138="sint64",C138="uint64",C138="double64"), 8, IF(OR(C138="sint32",C138="uint32",C138="float32"),4,IF(OR(C138="sint16",C138="uint16"),2,  IF(OR(C138="sint8",C138="uint8"),1,""))))</f>
        <v>4</v>
      </c>
      <c r="E138" s="2" t="s">
        <v>1090</v>
      </c>
      <c r="G138" s="11">
        <f>ROUND(('Parameters definition'!C355)*32768,0)</f>
        <v>814</v>
      </c>
      <c r="H138" s="9" t="str">
        <f>IF(G138&lt;&gt;"",IF(C138="float32",FLOAT2HEX(G138),DEC2HEX(G138,8)),"")</f>
        <v>0000032E</v>
      </c>
      <c r="I138" s="9">
        <f>IF(G138&lt;&gt;"",HEX2DEC(H138),"")</f>
        <v>814</v>
      </c>
    </row>
    <row r="139" spans="1:9" x14ac:dyDescent="0.25">
      <c r="A139" s="96">
        <f>IF(I139&lt;&gt;"",MAX(A$1:A138)+1,"")</f>
        <v>132</v>
      </c>
      <c r="B139" s="97" t="s">
        <v>3118</v>
      </c>
      <c r="C139" s="103" t="s">
        <v>57</v>
      </c>
      <c r="D139" s="103">
        <f>IF(OR(C139="sint64",C139="uint64",C139="double64"), 8, IF(OR(C139="sint32",C139="uint32",C139="float32"),4,IF(OR(C139="sint16",C139="uint16"),2,  IF(OR(C139="sint8",C139="uint8"),1,""))))</f>
        <v>4</v>
      </c>
      <c r="E139" s="89" t="s">
        <v>3117</v>
      </c>
      <c r="F139" s="103"/>
      <c r="G139" s="103">
        <f>ROUND(BASE_CURRENT/('Parameters definition'!C224-'Parameters definition'!C223),0)</f>
        <v>66</v>
      </c>
      <c r="H139" s="94" t="str">
        <f>IF(G139&lt;&gt;"",IF(C139="float32",FLOAT2HEX(G139),DEC2HEX(G139,8)),"")</f>
        <v>00000042</v>
      </c>
      <c r="I139" s="94">
        <f>IF(G139&lt;&gt;"",HEX2DEC(H139),"")</f>
        <v>66</v>
      </c>
    </row>
    <row r="140" spans="1:9" x14ac:dyDescent="0.25">
      <c r="A140" s="96">
        <f>IF(I140&lt;&gt;"",MAX(A$1:A139)+1,"")</f>
        <v>133</v>
      </c>
      <c r="B140" s="97" t="s">
        <v>3124</v>
      </c>
      <c r="C140" s="103" t="s">
        <v>57</v>
      </c>
      <c r="D140" s="103">
        <f>IF(OR(C140="sint64",C140="uint64",C140="double64"), 8, IF(OR(C140="sint32",C140="uint32",C140="float32"),4,IF(OR(C140="sint16",C140="uint16"),2,  IF(OR(C140="sint8",C140="uint8"),1,""))))</f>
        <v>4</v>
      </c>
      <c r="E140" s="89" t="s">
        <v>3125</v>
      </c>
      <c r="F140" s="103"/>
      <c r="G140" s="103">
        <f>(A138+1)/2-1</f>
        <v>65</v>
      </c>
      <c r="H140" s="94" t="str">
        <f>IF(G140&lt;&gt;"",IF(C140="float32",FLOAT2HEX(G140),DEC2HEX(G140,8)),"")</f>
        <v>00000041</v>
      </c>
      <c r="I140" s="94">
        <f>IF(G140&lt;&gt;"",HEX2DEC(H140),"")</f>
        <v>65</v>
      </c>
    </row>
    <row r="143" spans="1:9" x14ac:dyDescent="0.25">
      <c r="A143" s="22"/>
      <c r="H143" s="9" t="str">
        <f>IF(G143&lt;&gt;"",IF(C143="float32",FLOAT2HEX(G143),DEC2HEX(G143,8)),"")</f>
        <v/>
      </c>
      <c r="I143" s="9" t="str">
        <f t="shared" ref="I143:I171" si="7">IF(G143&lt;&gt;"",HEX2DEC(H143),"")</f>
        <v/>
      </c>
    </row>
    <row r="144" spans="1:9" x14ac:dyDescent="0.25">
      <c r="A144" s="22"/>
      <c r="H144" s="9" t="str">
        <f>IF(G144&lt;&gt;"",IF(C144="float32",FLOAT2HEX(G144),DEC2HEX(G144,8)),"")</f>
        <v/>
      </c>
      <c r="I144" s="9" t="str">
        <f t="shared" si="7"/>
        <v/>
      </c>
    </row>
    <row r="145" spans="1:9" x14ac:dyDescent="0.25">
      <c r="A145" s="22"/>
      <c r="H145" s="9" t="str">
        <f>IF(G145&lt;&gt;"",IF(C145="float32",FLOAT2HEX(G145),DEC2HEX(G145,8)),"")</f>
        <v/>
      </c>
      <c r="I145" s="9" t="str">
        <f t="shared" si="7"/>
        <v/>
      </c>
    </row>
    <row r="146" spans="1:9" x14ac:dyDescent="0.25">
      <c r="A146" s="22"/>
      <c r="H146" s="9" t="str">
        <f>IF(G146&lt;&gt;"",IF(C146="float32",FLOAT2HEX(G146),DEC2HEX(G146,8)),"")</f>
        <v/>
      </c>
      <c r="I146" s="9" t="str">
        <f t="shared" si="7"/>
        <v/>
      </c>
    </row>
    <row r="147" spans="1:9" x14ac:dyDescent="0.25">
      <c r="A147" s="22"/>
      <c r="H147" s="9" t="str">
        <f>IF(G147&lt;&gt;"",IF(C147="float32",FLOAT2HEX(G147),DEC2HEX(G147,8)),"")</f>
        <v/>
      </c>
      <c r="I147" s="9" t="str">
        <f t="shared" si="7"/>
        <v/>
      </c>
    </row>
    <row r="148" spans="1:9" x14ac:dyDescent="0.25">
      <c r="A148" s="22"/>
      <c r="H148" s="9" t="str">
        <f>IF(G148&lt;&gt;"",IF(C148="float32",FLOAT2HEX(G148),DEC2HEX(G148,8)),"")</f>
        <v/>
      </c>
      <c r="I148" s="9" t="str">
        <f t="shared" si="7"/>
        <v/>
      </c>
    </row>
    <row r="149" spans="1:9" x14ac:dyDescent="0.25">
      <c r="A149" s="22"/>
      <c r="H149" s="9" t="str">
        <f>IF(G149&lt;&gt;"",IF(C149="float32",FLOAT2HEX(G149),DEC2HEX(G149,8)),"")</f>
        <v/>
      </c>
      <c r="I149" s="9" t="str">
        <f t="shared" si="7"/>
        <v/>
      </c>
    </row>
    <row r="150" spans="1:9" x14ac:dyDescent="0.25">
      <c r="A150" s="22"/>
      <c r="H150" s="9" t="str">
        <f>IF(G150&lt;&gt;"",IF(C150="float32",FLOAT2HEX(G150),DEC2HEX(G150,8)),"")</f>
        <v/>
      </c>
      <c r="I150" s="9" t="str">
        <f t="shared" si="7"/>
        <v/>
      </c>
    </row>
    <row r="151" spans="1:9" x14ac:dyDescent="0.25">
      <c r="A151" s="22"/>
      <c r="H151" s="9" t="str">
        <f>IF(G151&lt;&gt;"",IF(C151="float32",FLOAT2HEX(G151),DEC2HEX(G151,8)),"")</f>
        <v/>
      </c>
      <c r="I151" s="9" t="str">
        <f t="shared" si="7"/>
        <v/>
      </c>
    </row>
    <row r="152" spans="1:9" x14ac:dyDescent="0.25">
      <c r="A152" s="22"/>
      <c r="H152" s="9" t="str">
        <f>IF(G152&lt;&gt;"",IF(C152="float32",FLOAT2HEX(G152),DEC2HEX(G152,8)),"")</f>
        <v/>
      </c>
      <c r="I152" s="9" t="str">
        <f t="shared" si="7"/>
        <v/>
      </c>
    </row>
    <row r="153" spans="1:9" x14ac:dyDescent="0.25">
      <c r="A153" s="22"/>
      <c r="H153" s="9" t="str">
        <f>IF(G153&lt;&gt;"",IF(C153="float32",FLOAT2HEX(G153),DEC2HEX(G153,8)),"")</f>
        <v/>
      </c>
      <c r="I153" s="9" t="str">
        <f t="shared" si="7"/>
        <v/>
      </c>
    </row>
    <row r="154" spans="1:9" x14ac:dyDescent="0.25">
      <c r="A154" s="22"/>
      <c r="H154" s="9" t="str">
        <f>IF(G154&lt;&gt;"",IF(C154="float32",FLOAT2HEX(G154),DEC2HEX(G154,8)),"")</f>
        <v/>
      </c>
      <c r="I154" s="9" t="str">
        <f t="shared" si="7"/>
        <v/>
      </c>
    </row>
    <row r="155" spans="1:9" x14ac:dyDescent="0.25">
      <c r="A155" s="22"/>
      <c r="H155" s="9" t="str">
        <f>IF(G155&lt;&gt;"",IF(C155="float32",FLOAT2HEX(G155),DEC2HEX(G155,8)),"")</f>
        <v/>
      </c>
      <c r="I155" s="9" t="str">
        <f t="shared" si="7"/>
        <v/>
      </c>
    </row>
    <row r="156" spans="1:9" x14ac:dyDescent="0.25">
      <c r="A156" s="22"/>
      <c r="H156" s="9" t="str">
        <f>IF(G156&lt;&gt;"",IF(C156="float32",FLOAT2HEX(G156),DEC2HEX(G156,8)),"")</f>
        <v/>
      </c>
      <c r="I156" s="9" t="str">
        <f t="shared" si="7"/>
        <v/>
      </c>
    </row>
    <row r="157" spans="1:9" x14ac:dyDescent="0.25">
      <c r="A157" s="22"/>
      <c r="H157" s="9" t="str">
        <f>IF(G157&lt;&gt;"",IF(C157="float32",FLOAT2HEX(G157),DEC2HEX(G157,8)),"")</f>
        <v/>
      </c>
      <c r="I157" s="9" t="str">
        <f t="shared" si="7"/>
        <v/>
      </c>
    </row>
    <row r="158" spans="1:9" x14ac:dyDescent="0.25">
      <c r="A158" s="22"/>
      <c r="H158" s="9" t="str">
        <f>IF(G158&lt;&gt;"",IF(C158="float32",FLOAT2HEX(G158),DEC2HEX(G158,8)),"")</f>
        <v/>
      </c>
      <c r="I158" s="9" t="str">
        <f t="shared" si="7"/>
        <v/>
      </c>
    </row>
    <row r="159" spans="1:9" x14ac:dyDescent="0.25">
      <c r="A159" s="22"/>
      <c r="H159" s="9" t="str">
        <f>IF(G159&lt;&gt;"",IF(C159="float32",FLOAT2HEX(G159),DEC2HEX(G159,8)),"")</f>
        <v/>
      </c>
      <c r="I159" s="9" t="str">
        <f t="shared" si="7"/>
        <v/>
      </c>
    </row>
    <row r="160" spans="1:9" x14ac:dyDescent="0.25">
      <c r="A160" s="22" t="str">
        <f>IF(I160&lt;&gt;"",MAX(A$1:A159)+1,"")</f>
        <v/>
      </c>
      <c r="H160" s="9" t="str">
        <f>IF(G160&lt;&gt;"",IF(C160="float32",FLOAT2HEX(G160),DEC2HEX(G160,8)),"")</f>
        <v/>
      </c>
      <c r="I160" s="9" t="str">
        <f t="shared" si="7"/>
        <v/>
      </c>
    </row>
    <row r="161" spans="1:9" x14ac:dyDescent="0.25">
      <c r="A161" s="22" t="str">
        <f>IF(I161&lt;&gt;"",MAX(A$1:A160)+1,"")</f>
        <v/>
      </c>
      <c r="H161" s="9" t="str">
        <f>IF(G161&lt;&gt;"",IF(C161="float32",FLOAT2HEX(G161),DEC2HEX(G161,8)),"")</f>
        <v/>
      </c>
      <c r="I161" s="9" t="str">
        <f t="shared" si="7"/>
        <v/>
      </c>
    </row>
    <row r="162" spans="1:9" x14ac:dyDescent="0.25">
      <c r="A162" s="22" t="str">
        <f>IF(I162&lt;&gt;"",MAX(A$1:A161)+1,"")</f>
        <v/>
      </c>
      <c r="H162" s="9" t="str">
        <f>IF(G162&lt;&gt;"",IF(C162="float32",FLOAT2HEX(G162),DEC2HEX(G162,8)),"")</f>
        <v/>
      </c>
      <c r="I162" s="9" t="str">
        <f t="shared" si="7"/>
        <v/>
      </c>
    </row>
    <row r="163" spans="1:9" x14ac:dyDescent="0.25">
      <c r="A163" s="22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si="7"/>
        <v/>
      </c>
    </row>
    <row r="164" spans="1:9" x14ac:dyDescent="0.25">
      <c r="A164" s="22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7"/>
        <v/>
      </c>
    </row>
    <row r="165" spans="1:9" x14ac:dyDescent="0.25">
      <c r="A165" s="22" t="str">
        <f>IF(I165&lt;&gt;"",MAX(A$1:A164)+1,"")</f>
        <v/>
      </c>
      <c r="H165" s="9" t="str">
        <f>IF(G165&lt;&gt;"",IF(C165="float32",FLOAT2HEX(G165),DEC2HEX(G165,8)),"")</f>
        <v/>
      </c>
      <c r="I165" s="9" t="str">
        <f t="shared" si="7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7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7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7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7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7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7"/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3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170"/>
  <sheetViews>
    <sheetView zoomScale="85" zoomScaleNormal="85" workbookViewId="0">
      <pane ySplit="5" topLeftCell="A51" activePane="bottomLeft" state="frozen"/>
      <selection activeCell="A285" sqref="A285"/>
      <selection pane="bottomLeft" activeCell="G58" sqref="G58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1" width="9.140625" style="95"/>
    <col min="22" max="16384" width="9.140625" style="103"/>
  </cols>
  <sheetData>
    <row r="1" spans="1:21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4" customFormat="1" ht="19.5" customHeight="1" x14ac:dyDescent="0.3">
      <c r="A3" s="23"/>
      <c r="B3" s="115" t="s">
        <v>194</v>
      </c>
      <c r="C3" s="115"/>
      <c r="D3" s="24">
        <f>SUM(D9:D1485)</f>
        <v>648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4" customFormat="1" ht="20.25" customHeight="1" x14ac:dyDescent="0.25">
      <c r="A6" s="96"/>
      <c r="B6" s="82" t="s">
        <v>1167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96">
        <v>0</v>
      </c>
      <c r="B7" s="97" t="s">
        <v>3124</v>
      </c>
      <c r="C7" s="103" t="s">
        <v>57</v>
      </c>
      <c r="D7" s="103">
        <f>IF(OR(C7="sint64",C7="uint64",C7="double64"), 8, IF(OR(C7="sint32",C7="uint32",C7="float32"),4,IF(OR(C7="sint16",C7="uint16"),2,  IF(OR(C7="sint8",C7="uint8"),1,""))))</f>
        <v>4</v>
      </c>
      <c r="E7" s="89" t="s">
        <v>3125</v>
      </c>
      <c r="G7" s="103">
        <f>SIZE_MTPA-1</f>
        <v>24</v>
      </c>
      <c r="H7" s="94" t="str">
        <f>IF(G7&lt;&gt;"",IF(C7="float32",FLOAT2HEX(G7),DEC2HEX(G7,8)),"")</f>
        <v>00000018</v>
      </c>
      <c r="I7" s="94">
        <f t="shared" ref="I7" si="0">IF(G7&lt;&gt;"",HEX2DEC(H7),"")</f>
        <v>24</v>
      </c>
    </row>
    <row r="8" spans="1:21" x14ac:dyDescent="0.25">
      <c r="A8" s="96">
        <f>IF(I8&lt;&gt;"",MAX(A$1:A7)+1,"")</f>
        <v>1</v>
      </c>
      <c r="B8" s="97" t="s">
        <v>3119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3120</v>
      </c>
      <c r="G8" s="103">
        <f>ROUND(BASE_TORQ/(MTPATorque_1-MTPATorque_0),0)</f>
        <v>95</v>
      </c>
      <c r="H8" s="94" t="str">
        <f>IF(G8&lt;&gt;"",IF(C8="float32",FLOAT2HEX(G8),DEC2HEX(G8,8)),"")</f>
        <v>0000005F</v>
      </c>
      <c r="I8" s="94">
        <f t="shared" ref="I8" si="1">IF(G8&lt;&gt;"",HEX2DEC(H8),"")</f>
        <v>95</v>
      </c>
    </row>
    <row r="9" spans="1:21" s="95" customFormat="1" ht="15" customHeight="1" x14ac:dyDescent="0.25">
      <c r="A9" s="96">
        <f>IF(I9&lt;&gt;"",MAX(A$1:A8)+1,"")</f>
        <v>2</v>
      </c>
      <c r="B9" s="97" t="s">
        <v>1330</v>
      </c>
      <c r="C9" s="103" t="s">
        <v>57</v>
      </c>
      <c r="D9" s="103">
        <f t="shared" ref="D9:D40" si="2">IF(OR(C9="sint64",C9="uint64",C9="double64"), 8, IF(OR(C9="sint32",C9="uint32",C9="float32"),4,IF(OR(C9="sint16",C9="uint16"),2,  IF(OR(C9="sint8",C9="uint8"),1,""))))</f>
        <v>4</v>
      </c>
      <c r="E9" s="89" t="s">
        <v>1492</v>
      </c>
      <c r="F9" s="103"/>
      <c r="G9" s="95">
        <f>ROUND((32768/BASE_TORQ) * MTPATorque_0,0)</f>
        <v>2</v>
      </c>
      <c r="H9" s="94" t="str">
        <f>IF(G9&lt;&gt;"",IF(C9="float32",FLOAT2HEX(G9),DEC2HEX(G9,8)),"")</f>
        <v>00000002</v>
      </c>
      <c r="I9" s="94">
        <f>IF(AND(G9&lt;&gt;"",(ROW()-8)&lt;(($G$7+1)*2+1)),HEX2DEC(H9),"")</f>
        <v>2</v>
      </c>
    </row>
    <row r="10" spans="1:21" s="95" customFormat="1" ht="15" customHeight="1" x14ac:dyDescent="0.25">
      <c r="A10" s="96">
        <f>IF(I10&lt;&gt;"",MAX(A$1:A9)+1,"")</f>
        <v>3</v>
      </c>
      <c r="B10" s="74" t="s">
        <v>1411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1493</v>
      </c>
      <c r="F10" s="103"/>
      <c r="G10" s="95">
        <f>ROUND((32768/BASE_FLUX) * MTPAFlux_0,0)</f>
        <v>10458</v>
      </c>
      <c r="H10" s="94" t="str">
        <f>IF(G10&lt;&gt;"",IF(C10="float32",FLOAT2HEX(G10),DEC2HEX(G10,8)),"")</f>
        <v>000028DA</v>
      </c>
      <c r="I10" s="94">
        <f t="shared" ref="I10:I73" si="3">IF(AND(G10&lt;&gt;"",(ROW()-8)&lt;(($G$7+1)*2+1)),HEX2DEC(H10),"")</f>
        <v>10458</v>
      </c>
    </row>
    <row r="11" spans="1:21" s="95" customFormat="1" ht="15" customHeight="1" x14ac:dyDescent="0.25">
      <c r="A11" s="96">
        <f>IF(I11&lt;&gt;"",MAX(A$1:A10)+1,"")</f>
        <v>4</v>
      </c>
      <c r="B11" s="97" t="s">
        <v>1331</v>
      </c>
      <c r="C11" s="103" t="s">
        <v>57</v>
      </c>
      <c r="D11" s="103">
        <f t="shared" si="2"/>
        <v>4</v>
      </c>
      <c r="E11" s="89" t="s">
        <v>1494</v>
      </c>
      <c r="F11" s="103"/>
      <c r="G11" s="95">
        <f>ROUND((32768/BASE_TORQ) * MTPATorque_1,0)</f>
        <v>348</v>
      </c>
      <c r="H11" s="94" t="str">
        <f>IF(G11&lt;&gt;"",IF(C11="float32",FLOAT2HEX(G11),DEC2HEX(G11,8)),"")</f>
        <v>0000015C</v>
      </c>
      <c r="I11" s="94">
        <f t="shared" si="3"/>
        <v>348</v>
      </c>
    </row>
    <row r="12" spans="1:21" s="95" customFormat="1" ht="15" customHeight="1" x14ac:dyDescent="0.25">
      <c r="A12" s="96">
        <f>IF(I12&lt;&gt;"",MAX(A$1:A11)+1,"")</f>
        <v>5</v>
      </c>
      <c r="B12" s="74" t="s">
        <v>1412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1495</v>
      </c>
      <c r="F12" s="103"/>
      <c r="G12" s="95">
        <f>ROUND((32768/BASE_FLUX) * MTPAFlux_1,0)</f>
        <v>10485</v>
      </c>
      <c r="H12" s="94" t="str">
        <f>IF(G12&lt;&gt;"",IF(C12="float32",FLOAT2HEX(G12),DEC2HEX(G12,8)),"")</f>
        <v>000028F5</v>
      </c>
      <c r="I12" s="94">
        <f t="shared" si="3"/>
        <v>10485</v>
      </c>
    </row>
    <row r="13" spans="1:21" s="95" customFormat="1" ht="15" customHeight="1" x14ac:dyDescent="0.25">
      <c r="A13" s="96">
        <f>IF(I13&lt;&gt;"",MAX(A$1:A12)+1,"")</f>
        <v>6</v>
      </c>
      <c r="B13" s="97" t="s">
        <v>1332</v>
      </c>
      <c r="C13" s="103" t="s">
        <v>57</v>
      </c>
      <c r="D13" s="103">
        <f t="shared" si="2"/>
        <v>4</v>
      </c>
      <c r="E13" s="89" t="s">
        <v>1496</v>
      </c>
      <c r="F13" s="103"/>
      <c r="G13" s="95">
        <f>ROUND((32768/BASE_TORQ) * MTPATorque_2,0)</f>
        <v>694</v>
      </c>
      <c r="H13" s="94" t="str">
        <f>IF(G13&lt;&gt;"",IF(C13="float32",FLOAT2HEX(G13),DEC2HEX(G13,8)),"")</f>
        <v>000002B6</v>
      </c>
      <c r="I13" s="94">
        <f t="shared" si="3"/>
        <v>694</v>
      </c>
    </row>
    <row r="14" spans="1:21" s="95" customFormat="1" ht="15" customHeight="1" x14ac:dyDescent="0.25">
      <c r="A14" s="96">
        <f>IF(I14&lt;&gt;"",MAX(A$1:A13)+1,"")</f>
        <v>7</v>
      </c>
      <c r="B14" s="74" t="s">
        <v>1413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1497</v>
      </c>
      <c r="F14" s="103"/>
      <c r="G14" s="95">
        <f>ROUND((32768/BASE_FLUX) * MTPAFlux_2,0)</f>
        <v>10558</v>
      </c>
      <c r="H14" s="94" t="str">
        <f>IF(G14&lt;&gt;"",IF(C14="float32",FLOAT2HEX(G14),DEC2HEX(G14,8)),"")</f>
        <v>0000293E</v>
      </c>
      <c r="I14" s="94">
        <f t="shared" si="3"/>
        <v>10558</v>
      </c>
    </row>
    <row r="15" spans="1:21" s="95" customFormat="1" ht="15" customHeight="1" x14ac:dyDescent="0.25">
      <c r="A15" s="96">
        <f>IF(I15&lt;&gt;"",MAX(A$1:A14)+1,"")</f>
        <v>8</v>
      </c>
      <c r="B15" s="97" t="s">
        <v>1333</v>
      </c>
      <c r="C15" s="103" t="s">
        <v>57</v>
      </c>
      <c r="D15" s="103">
        <f t="shared" si="2"/>
        <v>4</v>
      </c>
      <c r="E15" s="89" t="s">
        <v>1498</v>
      </c>
      <c r="F15" s="103"/>
      <c r="G15" s="95">
        <f>ROUND((32768/BASE_TORQ) * MTPATorque_3,0)</f>
        <v>1040</v>
      </c>
      <c r="H15" s="94" t="str">
        <f>IF(G15&lt;&gt;"",IF(C15="float32",FLOAT2HEX(G15),DEC2HEX(G15,8)),"")</f>
        <v>00000410</v>
      </c>
      <c r="I15" s="94">
        <f t="shared" si="3"/>
        <v>1040</v>
      </c>
    </row>
    <row r="16" spans="1:21" s="95" customFormat="1" ht="15" customHeight="1" x14ac:dyDescent="0.25">
      <c r="A16" s="96">
        <f>IF(I16&lt;&gt;"",MAX(A$1:A15)+1,"")</f>
        <v>9</v>
      </c>
      <c r="B16" s="74" t="s">
        <v>1414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1499</v>
      </c>
      <c r="F16" s="103"/>
      <c r="G16" s="95">
        <f>ROUND((32768/BASE_FLUX) * MTPAFlux_3,0)</f>
        <v>10677</v>
      </c>
      <c r="H16" s="94" t="str">
        <f>IF(G16&lt;&gt;"",IF(C16="float32",FLOAT2HEX(G16),DEC2HEX(G16,8)),"")</f>
        <v>000029B5</v>
      </c>
      <c r="I16" s="94">
        <f t="shared" si="3"/>
        <v>10677</v>
      </c>
    </row>
    <row r="17" spans="1:9" s="95" customFormat="1" ht="15" customHeight="1" x14ac:dyDescent="0.25">
      <c r="A17" s="96">
        <f>IF(I17&lt;&gt;"",MAX(A$1:A16)+1,"")</f>
        <v>10</v>
      </c>
      <c r="B17" s="97" t="s">
        <v>1334</v>
      </c>
      <c r="C17" s="103" t="s">
        <v>57</v>
      </c>
      <c r="D17" s="103">
        <f t="shared" si="2"/>
        <v>4</v>
      </c>
      <c r="E17" s="89" t="s">
        <v>1500</v>
      </c>
      <c r="F17" s="103"/>
      <c r="G17" s="95">
        <f>ROUND((32768/BASE_TORQ) * MTPATorque_4,0)</f>
        <v>1386</v>
      </c>
      <c r="H17" s="94" t="str">
        <f>IF(G17&lt;&gt;"",IF(C17="float32",FLOAT2HEX(G17),DEC2HEX(G17,8)),"")</f>
        <v>0000056A</v>
      </c>
      <c r="I17" s="94">
        <f t="shared" si="3"/>
        <v>1386</v>
      </c>
    </row>
    <row r="18" spans="1:9" s="95" customFormat="1" ht="15" customHeight="1" x14ac:dyDescent="0.25">
      <c r="A18" s="96">
        <f>IF(I18&lt;&gt;"",MAX(A$1:A17)+1,"")</f>
        <v>11</v>
      </c>
      <c r="B18" s="74" t="s">
        <v>1415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1501</v>
      </c>
      <c r="F18" s="103"/>
      <c r="G18" s="95">
        <f>ROUND((32768/BASE_FLUX) * MTPAFlux_4,0)</f>
        <v>10843</v>
      </c>
      <c r="H18" s="94" t="str">
        <f>IF(G18&lt;&gt;"",IF(C18="float32",FLOAT2HEX(G18),DEC2HEX(G18,8)),"")</f>
        <v>00002A5B</v>
      </c>
      <c r="I18" s="94">
        <f t="shared" si="3"/>
        <v>10843</v>
      </c>
    </row>
    <row r="19" spans="1:9" s="95" customFormat="1" ht="15" customHeight="1" x14ac:dyDescent="0.25">
      <c r="A19" s="96">
        <f>IF(I19&lt;&gt;"",MAX(A$1:A18)+1,"")</f>
        <v>12</v>
      </c>
      <c r="B19" s="97" t="s">
        <v>1335</v>
      </c>
      <c r="C19" s="103" t="s">
        <v>57</v>
      </c>
      <c r="D19" s="103">
        <f t="shared" si="2"/>
        <v>4</v>
      </c>
      <c r="E19" s="89" t="s">
        <v>1502</v>
      </c>
      <c r="F19" s="103"/>
      <c r="G19" s="95">
        <f>ROUND((32768/BASE_TORQ) * MTPATorque_5,0)</f>
        <v>1732</v>
      </c>
      <c r="H19" s="94" t="str">
        <f>IF(G19&lt;&gt;"",IF(C19="float32",FLOAT2HEX(G19),DEC2HEX(G19,8)),"")</f>
        <v>000006C4</v>
      </c>
      <c r="I19" s="94">
        <f t="shared" si="3"/>
        <v>1732</v>
      </c>
    </row>
    <row r="20" spans="1:9" s="95" customFormat="1" ht="15" customHeight="1" x14ac:dyDescent="0.25">
      <c r="A20" s="96">
        <f>IF(I20&lt;&gt;"",MAX(A$1:A19)+1,"")</f>
        <v>13</v>
      </c>
      <c r="B20" s="74" t="s">
        <v>1416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1503</v>
      </c>
      <c r="F20" s="103"/>
      <c r="G20" s="95">
        <f>ROUND((32768/BASE_FLUX) * MTPAFlux_5,0)</f>
        <v>11056</v>
      </c>
      <c r="H20" s="94" t="str">
        <f>IF(G20&lt;&gt;"",IF(C20="float32",FLOAT2HEX(G20),DEC2HEX(G20,8)),"")</f>
        <v>00002B30</v>
      </c>
      <c r="I20" s="94">
        <f t="shared" si="3"/>
        <v>11056</v>
      </c>
    </row>
    <row r="21" spans="1:9" s="95" customFormat="1" ht="15" customHeight="1" x14ac:dyDescent="0.25">
      <c r="A21" s="96">
        <f>IF(I21&lt;&gt;"",MAX(A$1:A20)+1,"")</f>
        <v>14</v>
      </c>
      <c r="B21" s="97" t="s">
        <v>1336</v>
      </c>
      <c r="C21" s="103" t="s">
        <v>57</v>
      </c>
      <c r="D21" s="103">
        <f t="shared" si="2"/>
        <v>4</v>
      </c>
      <c r="E21" s="89" t="s">
        <v>1504</v>
      </c>
      <c r="F21" s="103"/>
      <c r="G21" s="95">
        <f>ROUND((32768/BASE_TORQ) * MTPATorque_6,0)</f>
        <v>2078</v>
      </c>
      <c r="H21" s="94" t="str">
        <f>IF(G21&lt;&gt;"",IF(C21="float32",FLOAT2HEX(G21),DEC2HEX(G21,8)),"")</f>
        <v>0000081E</v>
      </c>
      <c r="I21" s="94">
        <f t="shared" si="3"/>
        <v>2078</v>
      </c>
    </row>
    <row r="22" spans="1:9" s="95" customFormat="1" ht="15" customHeight="1" x14ac:dyDescent="0.25">
      <c r="A22" s="96">
        <f>IF(I22&lt;&gt;"",MAX(A$1:A21)+1,"")</f>
        <v>15</v>
      </c>
      <c r="B22" s="74" t="s">
        <v>1417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1505</v>
      </c>
      <c r="F22" s="103"/>
      <c r="G22" s="95">
        <f>ROUND((32768/BASE_FLUX) * MTPAFlux_6,0)</f>
        <v>11312</v>
      </c>
      <c r="H22" s="94" t="str">
        <f>IF(G22&lt;&gt;"",IF(C22="float32",FLOAT2HEX(G22),DEC2HEX(G22,8)),"")</f>
        <v>00002C30</v>
      </c>
      <c r="I22" s="94">
        <f t="shared" si="3"/>
        <v>11312</v>
      </c>
    </row>
    <row r="23" spans="1:9" s="95" customFormat="1" ht="15" customHeight="1" x14ac:dyDescent="0.25">
      <c r="A23" s="96">
        <f>IF(I23&lt;&gt;"",MAX(A$1:A22)+1,"")</f>
        <v>16</v>
      </c>
      <c r="B23" s="97" t="s">
        <v>1337</v>
      </c>
      <c r="C23" s="103" t="s">
        <v>57</v>
      </c>
      <c r="D23" s="103">
        <f t="shared" si="2"/>
        <v>4</v>
      </c>
      <c r="E23" s="89" t="s">
        <v>1506</v>
      </c>
      <c r="F23" s="103"/>
      <c r="G23" s="95">
        <f>ROUND((32768/BASE_TORQ) * MTPATorque_7,0)</f>
        <v>2424</v>
      </c>
      <c r="H23" s="94" t="str">
        <f>IF(G23&lt;&gt;"",IF(C23="float32",FLOAT2HEX(G23),DEC2HEX(G23,8)),"")</f>
        <v>00000978</v>
      </c>
      <c r="I23" s="94">
        <f t="shared" si="3"/>
        <v>2424</v>
      </c>
    </row>
    <row r="24" spans="1:9" s="95" customFormat="1" ht="15" customHeight="1" x14ac:dyDescent="0.25">
      <c r="A24" s="96">
        <f>IF(I24&lt;&gt;"",MAX(A$1:A23)+1,"")</f>
        <v>17</v>
      </c>
      <c r="B24" s="74" t="s">
        <v>1418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1507</v>
      </c>
      <c r="F24" s="103"/>
      <c r="G24" s="95">
        <f>ROUND((32768/BASE_FLUX) * MTPAFlux_7,0)</f>
        <v>11603</v>
      </c>
      <c r="H24" s="94" t="str">
        <f>IF(G24&lt;&gt;"",IF(C24="float32",FLOAT2HEX(G24),DEC2HEX(G24,8)),"")</f>
        <v>00002D53</v>
      </c>
      <c r="I24" s="94">
        <f t="shared" si="3"/>
        <v>11603</v>
      </c>
    </row>
    <row r="25" spans="1:9" s="95" customFormat="1" ht="15" customHeight="1" x14ac:dyDescent="0.25">
      <c r="A25" s="96">
        <f>IF(I25&lt;&gt;"",MAX(A$1:A24)+1,"")</f>
        <v>18</v>
      </c>
      <c r="B25" s="97" t="s">
        <v>1338</v>
      </c>
      <c r="C25" s="103" t="s">
        <v>57</v>
      </c>
      <c r="D25" s="103">
        <f t="shared" si="2"/>
        <v>4</v>
      </c>
      <c r="E25" s="89" t="s">
        <v>1508</v>
      </c>
      <c r="F25" s="103"/>
      <c r="G25" s="95">
        <f>ROUND((32768/BASE_TORQ) * MTPATorque_8,0)</f>
        <v>2770</v>
      </c>
      <c r="H25" s="94" t="str">
        <f>IF(G25&lt;&gt;"",IF(C25="float32",FLOAT2HEX(G25),DEC2HEX(G25,8)),"")</f>
        <v>00000AD2</v>
      </c>
      <c r="I25" s="94">
        <f t="shared" si="3"/>
        <v>2770</v>
      </c>
    </row>
    <row r="26" spans="1:9" s="95" customFormat="1" ht="15" customHeight="1" x14ac:dyDescent="0.25">
      <c r="A26" s="96">
        <f>IF(I26&lt;&gt;"",MAX(A$1:A25)+1,"")</f>
        <v>19</v>
      </c>
      <c r="B26" s="74" t="s">
        <v>1419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1509</v>
      </c>
      <c r="F26" s="103"/>
      <c r="G26" s="95">
        <f>ROUND((32768/BASE_FLUX) * MTPAFlux_8,0)</f>
        <v>11923</v>
      </c>
      <c r="H26" s="94" t="str">
        <f>IF(G26&lt;&gt;"",IF(C26="float32",FLOAT2HEX(G26),DEC2HEX(G26,8)),"")</f>
        <v>00002E93</v>
      </c>
      <c r="I26" s="94">
        <f t="shared" si="3"/>
        <v>11923</v>
      </c>
    </row>
    <row r="27" spans="1:9" s="95" customFormat="1" ht="15" customHeight="1" x14ac:dyDescent="0.25">
      <c r="A27" s="96">
        <f>IF(I27&lt;&gt;"",MAX(A$1:A26)+1,"")</f>
        <v>20</v>
      </c>
      <c r="B27" s="97" t="s">
        <v>1339</v>
      </c>
      <c r="C27" s="103" t="s">
        <v>57</v>
      </c>
      <c r="D27" s="103">
        <f t="shared" si="2"/>
        <v>4</v>
      </c>
      <c r="E27" s="89" t="s">
        <v>1510</v>
      </c>
      <c r="F27" s="103"/>
      <c r="G27" s="95">
        <f>ROUND((32768/BASE_TORQ) * MTPATorque_9,0)</f>
        <v>3116</v>
      </c>
      <c r="H27" s="94" t="str">
        <f>IF(G27&lt;&gt;"",IF(C27="float32",FLOAT2HEX(G27),DEC2HEX(G27,8)),"")</f>
        <v>00000C2C</v>
      </c>
      <c r="I27" s="94">
        <f t="shared" si="3"/>
        <v>3116</v>
      </c>
    </row>
    <row r="28" spans="1:9" s="95" customFormat="1" ht="15" customHeight="1" x14ac:dyDescent="0.25">
      <c r="A28" s="96">
        <f>IF(I28&lt;&gt;"",MAX(A$1:A27)+1,"")</f>
        <v>21</v>
      </c>
      <c r="B28" s="74" t="s">
        <v>1420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1511</v>
      </c>
      <c r="F28" s="103"/>
      <c r="G28" s="95">
        <f>ROUND((32768/BASE_FLUX) * MTPAFlux_9,0)</f>
        <v>12276</v>
      </c>
      <c r="H28" s="94" t="str">
        <f>IF(G28&lt;&gt;"",IF(C28="float32",FLOAT2HEX(G28),DEC2HEX(G28,8)),"")</f>
        <v>00002FF4</v>
      </c>
      <c r="I28" s="94">
        <f t="shared" si="3"/>
        <v>12276</v>
      </c>
    </row>
    <row r="29" spans="1:9" s="95" customFormat="1" ht="15" customHeight="1" x14ac:dyDescent="0.25">
      <c r="A29" s="96">
        <f>IF(I29&lt;&gt;"",MAX(A$1:A28)+1,"")</f>
        <v>22</v>
      </c>
      <c r="B29" s="97" t="s">
        <v>1340</v>
      </c>
      <c r="C29" s="103" t="s">
        <v>57</v>
      </c>
      <c r="D29" s="103">
        <f t="shared" si="2"/>
        <v>4</v>
      </c>
      <c r="E29" s="89" t="s">
        <v>1512</v>
      </c>
      <c r="F29" s="103"/>
      <c r="G29" s="95">
        <f>ROUND((32768/BASE_TORQ) * MTPATorque_10,0)</f>
        <v>3462</v>
      </c>
      <c r="H29" s="94" t="str">
        <f>IF(G29&lt;&gt;"",IF(C29="float32",FLOAT2HEX(G29),DEC2HEX(G29,8)),"")</f>
        <v>00000D86</v>
      </c>
      <c r="I29" s="94">
        <f t="shared" si="3"/>
        <v>3462</v>
      </c>
    </row>
    <row r="30" spans="1:9" s="95" customFormat="1" ht="15" customHeight="1" x14ac:dyDescent="0.25">
      <c r="A30" s="96">
        <f>IF(I30&lt;&gt;"",MAX(A$1:A29)+1,"")</f>
        <v>23</v>
      </c>
      <c r="B30" s="74" t="s">
        <v>1421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1513</v>
      </c>
      <c r="F30" s="103"/>
      <c r="G30" s="95">
        <f>ROUND((32768/BASE_FLUX) * MTPAFlux_10,0)</f>
        <v>12653</v>
      </c>
      <c r="H30" s="94" t="str">
        <f>IF(G30&lt;&gt;"",IF(C30="float32",FLOAT2HEX(G30),DEC2HEX(G30,8)),"")</f>
        <v>0000316D</v>
      </c>
      <c r="I30" s="94">
        <f t="shared" si="3"/>
        <v>12653</v>
      </c>
    </row>
    <row r="31" spans="1:9" s="95" customFormat="1" ht="15" customHeight="1" x14ac:dyDescent="0.25">
      <c r="A31" s="96">
        <f>IF(I31&lt;&gt;"",MAX(A$1:A30)+1,"")</f>
        <v>24</v>
      </c>
      <c r="B31" s="97" t="s">
        <v>1341</v>
      </c>
      <c r="C31" s="103" t="s">
        <v>57</v>
      </c>
      <c r="D31" s="103">
        <f t="shared" si="2"/>
        <v>4</v>
      </c>
      <c r="E31" s="89" t="s">
        <v>1514</v>
      </c>
      <c r="F31" s="103"/>
      <c r="G31" s="95">
        <f>ROUND((32768/BASE_TORQ) * MTPATorque_11,0)</f>
        <v>3808</v>
      </c>
      <c r="H31" s="94" t="str">
        <f>IF(G31&lt;&gt;"",IF(C31="float32",FLOAT2HEX(G31),DEC2HEX(G31,8)),"")</f>
        <v>00000EE0</v>
      </c>
      <c r="I31" s="94">
        <f t="shared" si="3"/>
        <v>3808</v>
      </c>
    </row>
    <row r="32" spans="1:9" s="95" customFormat="1" ht="15" customHeight="1" x14ac:dyDescent="0.25">
      <c r="A32" s="96">
        <f>IF(I32&lt;&gt;"",MAX(A$1:A31)+1,"")</f>
        <v>25</v>
      </c>
      <c r="B32" s="74" t="s">
        <v>1422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1515</v>
      </c>
      <c r="F32" s="103"/>
      <c r="G32" s="95">
        <f>ROUND((32768/BASE_FLUX) * MTPAFlux_11,0)</f>
        <v>13045</v>
      </c>
      <c r="H32" s="94" t="str">
        <f>IF(G32&lt;&gt;"",IF(C32="float32",FLOAT2HEX(G32),DEC2HEX(G32,8)),"")</f>
        <v>000032F5</v>
      </c>
      <c r="I32" s="94">
        <f t="shared" si="3"/>
        <v>13045</v>
      </c>
    </row>
    <row r="33" spans="1:9" s="95" customFormat="1" ht="15" customHeight="1" x14ac:dyDescent="0.25">
      <c r="A33" s="96">
        <f>IF(I33&lt;&gt;"",MAX(A$1:A32)+1,"")</f>
        <v>26</v>
      </c>
      <c r="B33" s="97" t="s">
        <v>1342</v>
      </c>
      <c r="C33" s="103" t="s">
        <v>57</v>
      </c>
      <c r="D33" s="103">
        <f t="shared" si="2"/>
        <v>4</v>
      </c>
      <c r="E33" s="89" t="s">
        <v>1516</v>
      </c>
      <c r="F33" s="103"/>
      <c r="G33" s="95">
        <f>ROUND((32768/BASE_TORQ) * MTPATorque_12,0)</f>
        <v>4154</v>
      </c>
      <c r="H33" s="94" t="str">
        <f>IF(G33&lt;&gt;"",IF(C33="float32",FLOAT2HEX(G33),DEC2HEX(G33,8)),"")</f>
        <v>0000103A</v>
      </c>
      <c r="I33" s="94">
        <f t="shared" si="3"/>
        <v>4154</v>
      </c>
    </row>
    <row r="34" spans="1:9" s="95" customFormat="1" ht="15" customHeight="1" x14ac:dyDescent="0.25">
      <c r="A34" s="96">
        <f>IF(I34&lt;&gt;"",MAX(A$1:A33)+1,"")</f>
        <v>27</v>
      </c>
      <c r="B34" s="74" t="s">
        <v>1423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1517</v>
      </c>
      <c r="F34" s="103"/>
      <c r="G34" s="95">
        <f>ROUND((32768/BASE_FLUX) * MTPAFlux_12,0)</f>
        <v>13468</v>
      </c>
      <c r="H34" s="94" t="str">
        <f>IF(G34&lt;&gt;"",IF(C34="float32",FLOAT2HEX(G34),DEC2HEX(G34,8)),"")</f>
        <v>0000349C</v>
      </c>
      <c r="I34" s="94">
        <f t="shared" si="3"/>
        <v>13468</v>
      </c>
    </row>
    <row r="35" spans="1:9" s="95" customFormat="1" ht="15" customHeight="1" x14ac:dyDescent="0.25">
      <c r="A35" s="96">
        <f>IF(I35&lt;&gt;"",MAX(A$1:A34)+1,"")</f>
        <v>28</v>
      </c>
      <c r="B35" s="97" t="s">
        <v>1343</v>
      </c>
      <c r="C35" s="103" t="s">
        <v>57</v>
      </c>
      <c r="D35" s="103">
        <f t="shared" si="2"/>
        <v>4</v>
      </c>
      <c r="E35" s="89" t="s">
        <v>1518</v>
      </c>
      <c r="F35" s="103"/>
      <c r="G35" s="95">
        <f>ROUND((32768/BASE_TORQ) * MTPATorque_13,0)</f>
        <v>4500</v>
      </c>
      <c r="H35" s="94" t="str">
        <f>IF(G35&lt;&gt;"",IF(C35="float32",FLOAT2HEX(G35),DEC2HEX(G35,8)),"")</f>
        <v>00001194</v>
      </c>
      <c r="I35" s="94">
        <f t="shared" si="3"/>
        <v>4500</v>
      </c>
    </row>
    <row r="36" spans="1:9" s="95" customFormat="1" ht="15" customHeight="1" x14ac:dyDescent="0.25">
      <c r="A36" s="96">
        <f>IF(I36&lt;&gt;"",MAX(A$1:A35)+1,"")</f>
        <v>29</v>
      </c>
      <c r="B36" s="74" t="s">
        <v>1424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1519</v>
      </c>
      <c r="F36" s="103"/>
      <c r="G36" s="95">
        <f>ROUND((32768/BASE_FLUX) * MTPAFlux_13,0)</f>
        <v>13898</v>
      </c>
      <c r="H36" s="94" t="str">
        <f>IF(G36&lt;&gt;"",IF(C36="float32",FLOAT2HEX(G36),DEC2HEX(G36,8)),"")</f>
        <v>0000364A</v>
      </c>
      <c r="I36" s="94">
        <f t="shared" si="3"/>
        <v>13898</v>
      </c>
    </row>
    <row r="37" spans="1:9" s="95" customFormat="1" ht="15" customHeight="1" x14ac:dyDescent="0.25">
      <c r="A37" s="96">
        <f>IF(I37&lt;&gt;"",MAX(A$1:A36)+1,"")</f>
        <v>30</v>
      </c>
      <c r="B37" s="97" t="s">
        <v>1344</v>
      </c>
      <c r="C37" s="103" t="s">
        <v>57</v>
      </c>
      <c r="D37" s="103">
        <f t="shared" si="2"/>
        <v>4</v>
      </c>
      <c r="E37" s="89" t="s">
        <v>1520</v>
      </c>
      <c r="F37" s="103"/>
      <c r="G37" s="95">
        <f>ROUND((32768/BASE_TORQ) * MTPATorque_14,0)</f>
        <v>4846</v>
      </c>
      <c r="H37" s="94" t="str">
        <f>IF(G37&lt;&gt;"",IF(C37="float32",FLOAT2HEX(G37),DEC2HEX(G37,8)),"")</f>
        <v>000012EE</v>
      </c>
      <c r="I37" s="94">
        <f t="shared" si="3"/>
        <v>4846</v>
      </c>
    </row>
    <row r="38" spans="1:9" s="95" customFormat="1" ht="15" customHeight="1" x14ac:dyDescent="0.25">
      <c r="A38" s="96">
        <f>IF(I38&lt;&gt;"",MAX(A$1:A37)+1,"")</f>
        <v>31</v>
      </c>
      <c r="B38" s="74" t="s">
        <v>1425</v>
      </c>
      <c r="C38" s="103" t="s">
        <v>57</v>
      </c>
      <c r="D38" s="103">
        <f>IF(OR(C38="sint64",C38="uint64",C38="double64"), 8, IF(OR(C38="sint32",C38="uint32",C38="float32"),4,IF(OR(C38="sint16",C38="uint16"),2,  IF(OR(C38="sint8",C38="uint8"),1,""))))</f>
        <v>4</v>
      </c>
      <c r="E38" s="89" t="s">
        <v>1521</v>
      </c>
      <c r="F38" s="103"/>
      <c r="G38" s="95">
        <f>ROUND((32768/BASE_FLUX) * MTPAFlux_14,0)</f>
        <v>14344</v>
      </c>
      <c r="H38" s="94" t="str">
        <f>IF(G38&lt;&gt;"",IF(C38="float32",FLOAT2HEX(G38),DEC2HEX(G38,8)),"")</f>
        <v>00003808</v>
      </c>
      <c r="I38" s="94">
        <f t="shared" si="3"/>
        <v>14344</v>
      </c>
    </row>
    <row r="39" spans="1:9" s="95" customFormat="1" ht="15" customHeight="1" x14ac:dyDescent="0.25">
      <c r="A39" s="96">
        <f>IF(I39&lt;&gt;"",MAX(A$1:A38)+1,"")</f>
        <v>32</v>
      </c>
      <c r="B39" s="97" t="s">
        <v>1345</v>
      </c>
      <c r="C39" s="103" t="s">
        <v>57</v>
      </c>
      <c r="D39" s="103">
        <f t="shared" si="2"/>
        <v>4</v>
      </c>
      <c r="E39" s="89" t="s">
        <v>1522</v>
      </c>
      <c r="F39" s="103"/>
      <c r="G39" s="95">
        <f>ROUND((32768/BASE_TORQ) * MTPATorque_15,0)</f>
        <v>5192</v>
      </c>
      <c r="H39" s="94" t="str">
        <f>IF(G39&lt;&gt;"",IF(C39="float32",FLOAT2HEX(G39),DEC2HEX(G39,8)),"")</f>
        <v>00001448</v>
      </c>
      <c r="I39" s="94">
        <f t="shared" si="3"/>
        <v>5192</v>
      </c>
    </row>
    <row r="40" spans="1:9" s="95" customFormat="1" ht="15" customHeight="1" x14ac:dyDescent="0.25">
      <c r="A40" s="96">
        <f>IF(I40&lt;&gt;"",MAX(A$1:A39)+1,"")</f>
        <v>33</v>
      </c>
      <c r="B40" s="74" t="s">
        <v>1426</v>
      </c>
      <c r="C40" s="103" t="s">
        <v>57</v>
      </c>
      <c r="D40" s="103">
        <f t="shared" si="2"/>
        <v>4</v>
      </c>
      <c r="E40" s="89" t="s">
        <v>1523</v>
      </c>
      <c r="F40" s="103"/>
      <c r="G40" s="95">
        <f>ROUND((32768/BASE_FLUX) * MTPAFlux_15,0)</f>
        <v>14807</v>
      </c>
      <c r="H40" s="94" t="str">
        <f>IF(G40&lt;&gt;"",IF(C40="float32",FLOAT2HEX(G40),DEC2HEX(G40,8)),"")</f>
        <v>000039D7</v>
      </c>
      <c r="I40" s="94">
        <f t="shared" si="3"/>
        <v>14807</v>
      </c>
    </row>
    <row r="41" spans="1:9" s="95" customFormat="1" ht="15" customHeight="1" x14ac:dyDescent="0.25">
      <c r="A41" s="96">
        <f>IF(I41&lt;&gt;"",MAX(A$1:A40)+1,"")</f>
        <v>34</v>
      </c>
      <c r="B41" s="97" t="s">
        <v>1346</v>
      </c>
      <c r="C41" s="103" t="s">
        <v>57</v>
      </c>
      <c r="D41" s="103">
        <f t="shared" ref="D41:D104" si="4">IF(OR(C41="sint64",C41="uint64",C41="double64"), 8, IF(OR(C41="sint32",C41="uint32",C41="float32"),4,IF(OR(C41="sint16",C41="uint16"),2,  IF(OR(C41="sint8",C41="uint8"),1,""))))</f>
        <v>4</v>
      </c>
      <c r="E41" s="89" t="s">
        <v>1524</v>
      </c>
      <c r="F41" s="103"/>
      <c r="G41" s="95">
        <f>ROUND((32768/BASE_TORQ) * MTPATorque_16,0)</f>
        <v>5538</v>
      </c>
      <c r="H41" s="94" t="str">
        <f>IF(G41&lt;&gt;"",IF(C41="float32",FLOAT2HEX(G41),DEC2HEX(G41,8)),"")</f>
        <v>000015A2</v>
      </c>
      <c r="I41" s="94">
        <f t="shared" si="3"/>
        <v>5538</v>
      </c>
    </row>
    <row r="42" spans="1:9" x14ac:dyDescent="0.25">
      <c r="A42" s="96">
        <f>IF(I42&lt;&gt;"",MAX(A$1:A41)+1,"")</f>
        <v>35</v>
      </c>
      <c r="B42" s="74" t="s">
        <v>1427</v>
      </c>
      <c r="C42" s="103" t="s">
        <v>57</v>
      </c>
      <c r="D42" s="103">
        <f t="shared" si="4"/>
        <v>4</v>
      </c>
      <c r="E42" s="89" t="s">
        <v>1525</v>
      </c>
      <c r="G42" s="103">
        <f>ROUND((32768/BASE_FLUX) * MTPAFlux_16,0)</f>
        <v>15283</v>
      </c>
      <c r="H42" s="94" t="str">
        <f>IF(G42&lt;&gt;"",IF(C42="float32",FLOAT2HEX(G42),DEC2HEX(G42,8)),"")</f>
        <v>00003BB3</v>
      </c>
      <c r="I42" s="94">
        <f t="shared" si="3"/>
        <v>15283</v>
      </c>
    </row>
    <row r="43" spans="1:9" x14ac:dyDescent="0.25">
      <c r="A43" s="96">
        <f>IF(I43&lt;&gt;"",MAX(A$1:A42)+1,"")</f>
        <v>36</v>
      </c>
      <c r="B43" s="97" t="s">
        <v>1347</v>
      </c>
      <c r="C43" s="103" t="s">
        <v>57</v>
      </c>
      <c r="D43" s="103">
        <f t="shared" si="4"/>
        <v>4</v>
      </c>
      <c r="E43" s="89" t="s">
        <v>1526</v>
      </c>
      <c r="G43" s="103">
        <f>ROUND((32768/BASE_TORQ) * MTPATorque_17,0)</f>
        <v>5884</v>
      </c>
      <c r="H43" s="94" t="str">
        <f>IF(G43&lt;&gt;"",IF(C43="float32",FLOAT2HEX(G43),DEC2HEX(G43,8)),"")</f>
        <v>000016FC</v>
      </c>
      <c r="I43" s="94">
        <f t="shared" si="3"/>
        <v>5884</v>
      </c>
    </row>
    <row r="44" spans="1:9" x14ac:dyDescent="0.25">
      <c r="A44" s="96">
        <f>IF(I44&lt;&gt;"",MAX(A$1:A43)+1,"")</f>
        <v>37</v>
      </c>
      <c r="B44" s="74" t="s">
        <v>1428</v>
      </c>
      <c r="C44" s="103" t="s">
        <v>57</v>
      </c>
      <c r="D44" s="103">
        <f t="shared" si="4"/>
        <v>4</v>
      </c>
      <c r="E44" s="89" t="s">
        <v>1527</v>
      </c>
      <c r="G44" s="103">
        <f>ROUND((32768/BASE_FLUX) * MTPAFlux_17,0)</f>
        <v>15776</v>
      </c>
      <c r="H44" s="94" t="str">
        <f>IF(G44&lt;&gt;"",IF(C44="float32",FLOAT2HEX(G44),DEC2HEX(G44,8)),"")</f>
        <v>00003DA0</v>
      </c>
      <c r="I44" s="94">
        <f t="shared" si="3"/>
        <v>15776</v>
      </c>
    </row>
    <row r="45" spans="1:9" x14ac:dyDescent="0.25">
      <c r="A45" s="96">
        <f>IF(I45&lt;&gt;"",MAX(A$1:A44)+1,"")</f>
        <v>38</v>
      </c>
      <c r="B45" s="97" t="s">
        <v>1348</v>
      </c>
      <c r="C45" s="103" t="s">
        <v>57</v>
      </c>
      <c r="D45" s="103">
        <f t="shared" si="4"/>
        <v>4</v>
      </c>
      <c r="E45" s="89" t="s">
        <v>1528</v>
      </c>
      <c r="G45" s="103">
        <f>ROUND((32768/BASE_TORQ) * MTPATorque_18,0)</f>
        <v>6230</v>
      </c>
      <c r="H45" s="94" t="str">
        <f>IF(G45&lt;&gt;"",IF(C45="float32",FLOAT2HEX(G45),DEC2HEX(G45,8)),"")</f>
        <v>00001856</v>
      </c>
      <c r="I45" s="94">
        <f t="shared" si="3"/>
        <v>6230</v>
      </c>
    </row>
    <row r="46" spans="1:9" x14ac:dyDescent="0.25">
      <c r="A46" s="96">
        <f>IF(I46&lt;&gt;"",MAX(A$1:A45)+1,"")</f>
        <v>39</v>
      </c>
      <c r="B46" s="74" t="s">
        <v>1429</v>
      </c>
      <c r="C46" s="103" t="s">
        <v>57</v>
      </c>
      <c r="D46" s="103">
        <f t="shared" si="4"/>
        <v>4</v>
      </c>
      <c r="E46" s="89" t="s">
        <v>1529</v>
      </c>
      <c r="G46" s="103">
        <f>ROUND((32768/BASE_FLUX) * MTPAFlux_18,0)</f>
        <v>16274</v>
      </c>
      <c r="H46" s="94" t="str">
        <f>IF(G46&lt;&gt;"",IF(C46="float32",FLOAT2HEX(G46),DEC2HEX(G46,8)),"")</f>
        <v>00003F92</v>
      </c>
      <c r="I46" s="94">
        <f t="shared" si="3"/>
        <v>16274</v>
      </c>
    </row>
    <row r="47" spans="1:9" x14ac:dyDescent="0.25">
      <c r="A47" s="96">
        <f>IF(I47&lt;&gt;"",MAX(A$1:A46)+1,"")</f>
        <v>40</v>
      </c>
      <c r="B47" s="97" t="s">
        <v>1349</v>
      </c>
      <c r="C47" s="103" t="s">
        <v>57</v>
      </c>
      <c r="D47" s="103">
        <f t="shared" si="4"/>
        <v>4</v>
      </c>
      <c r="E47" s="89" t="s">
        <v>1530</v>
      </c>
      <c r="G47" s="103">
        <f>ROUND((32768/BASE_TORQ) * MTPATorque_19,0)</f>
        <v>6576</v>
      </c>
      <c r="H47" s="94" t="str">
        <f>IF(G47&lt;&gt;"",IF(C47="float32",FLOAT2HEX(G47),DEC2HEX(G47,8)),"")</f>
        <v>000019B0</v>
      </c>
      <c r="I47" s="94">
        <f t="shared" si="3"/>
        <v>6576</v>
      </c>
    </row>
    <row r="48" spans="1:9" x14ac:dyDescent="0.25">
      <c r="A48" s="96">
        <f>IF(I48&lt;&gt;"",MAX(A$1:A47)+1,"")</f>
        <v>41</v>
      </c>
      <c r="B48" s="74" t="s">
        <v>1430</v>
      </c>
      <c r="C48" s="103" t="s">
        <v>57</v>
      </c>
      <c r="D48" s="103">
        <f t="shared" si="4"/>
        <v>4</v>
      </c>
      <c r="E48" s="89" t="s">
        <v>1531</v>
      </c>
      <c r="G48" s="103">
        <f>ROUND((32768/BASE_FLUX) * MTPAFlux_19,0)</f>
        <v>16794</v>
      </c>
      <c r="H48" s="94" t="str">
        <f>IF(G48&lt;&gt;"",IF(C48="float32",FLOAT2HEX(G48),DEC2HEX(G48,8)),"")</f>
        <v>0000419A</v>
      </c>
      <c r="I48" s="94">
        <f t="shared" si="3"/>
        <v>16794</v>
      </c>
    </row>
    <row r="49" spans="1:9" x14ac:dyDescent="0.25">
      <c r="A49" s="96">
        <f>IF(I49&lt;&gt;"",MAX(A$1:A48)+1,"")</f>
        <v>42</v>
      </c>
      <c r="B49" s="97" t="s">
        <v>1350</v>
      </c>
      <c r="C49" s="103" t="s">
        <v>57</v>
      </c>
      <c r="D49" s="103">
        <f t="shared" si="4"/>
        <v>4</v>
      </c>
      <c r="E49" s="89" t="s">
        <v>1532</v>
      </c>
      <c r="G49" s="103">
        <f>ROUND((32768/BASE_TORQ) * MTPATorque_20,0)</f>
        <v>6922</v>
      </c>
      <c r="H49" s="94" t="str">
        <f>IF(G49&lt;&gt;"",IF(C49="float32",FLOAT2HEX(G49),DEC2HEX(G49,8)),"")</f>
        <v>00001B0A</v>
      </c>
      <c r="I49" s="94">
        <f t="shared" si="3"/>
        <v>6922</v>
      </c>
    </row>
    <row r="50" spans="1:9" x14ac:dyDescent="0.25">
      <c r="A50" s="96">
        <f>IF(I50&lt;&gt;"",MAX(A$1:A49)+1,"")</f>
        <v>43</v>
      </c>
      <c r="B50" s="74" t="s">
        <v>1431</v>
      </c>
      <c r="C50" s="103" t="s">
        <v>57</v>
      </c>
      <c r="D50" s="103">
        <f t="shared" si="4"/>
        <v>4</v>
      </c>
      <c r="E50" s="89" t="s">
        <v>1533</v>
      </c>
      <c r="G50" s="103">
        <f>ROUND((32768/BASE_FLUX) * MTPAFlux_20,0)</f>
        <v>17324</v>
      </c>
      <c r="H50" s="94" t="str">
        <f>IF(G50&lt;&gt;"",IF(C50="float32",FLOAT2HEX(G50),DEC2HEX(G50,8)),"")</f>
        <v>000043AC</v>
      </c>
      <c r="I50" s="94">
        <f t="shared" si="3"/>
        <v>17324</v>
      </c>
    </row>
    <row r="51" spans="1:9" x14ac:dyDescent="0.25">
      <c r="A51" s="96">
        <f>IF(I51&lt;&gt;"",MAX(A$1:A50)+1,"")</f>
        <v>44</v>
      </c>
      <c r="B51" s="97" t="s">
        <v>1351</v>
      </c>
      <c r="C51" s="103" t="s">
        <v>57</v>
      </c>
      <c r="D51" s="103">
        <f t="shared" si="4"/>
        <v>4</v>
      </c>
      <c r="E51" s="89" t="s">
        <v>1534</v>
      </c>
      <c r="G51" s="103">
        <f>ROUND((32768/BASE_TORQ) * MTPATorque_21,0)</f>
        <v>7268</v>
      </c>
      <c r="H51" s="94" t="str">
        <f>IF(G51&lt;&gt;"",IF(C51="float32",FLOAT2HEX(G51),DEC2HEX(G51,8)),"")</f>
        <v>00001C64</v>
      </c>
      <c r="I51" s="94">
        <f t="shared" si="3"/>
        <v>7268</v>
      </c>
    </row>
    <row r="52" spans="1:9" x14ac:dyDescent="0.25">
      <c r="A52" s="96">
        <f>IF(I52&lt;&gt;"",MAX(A$1:A51)+1,"")</f>
        <v>45</v>
      </c>
      <c r="B52" s="74" t="s">
        <v>1432</v>
      </c>
      <c r="C52" s="103" t="s">
        <v>57</v>
      </c>
      <c r="D52" s="103">
        <f t="shared" si="4"/>
        <v>4</v>
      </c>
      <c r="E52" s="89" t="s">
        <v>1535</v>
      </c>
      <c r="G52" s="103">
        <f>ROUND((32768/BASE_FLUX) * MTPAFlux_21,0)</f>
        <v>17868</v>
      </c>
      <c r="H52" s="94" t="str">
        <f>IF(G52&lt;&gt;"",IF(C52="float32",FLOAT2HEX(G52),DEC2HEX(G52,8)),"")</f>
        <v>000045CC</v>
      </c>
      <c r="I52" s="94">
        <f t="shared" si="3"/>
        <v>17868</v>
      </c>
    </row>
    <row r="53" spans="1:9" x14ac:dyDescent="0.25">
      <c r="A53" s="96">
        <f>IF(I53&lt;&gt;"",MAX(A$1:A52)+1,"")</f>
        <v>46</v>
      </c>
      <c r="B53" s="97" t="s">
        <v>1352</v>
      </c>
      <c r="C53" s="103" t="s">
        <v>57</v>
      </c>
      <c r="D53" s="103">
        <f t="shared" si="4"/>
        <v>4</v>
      </c>
      <c r="E53" s="89" t="s">
        <v>1536</v>
      </c>
      <c r="G53" s="103">
        <f>ROUND((32768/BASE_TORQ) * MTPATorque_22,0)</f>
        <v>7614</v>
      </c>
      <c r="H53" s="94" t="str">
        <f>IF(G53&lt;&gt;"",IF(C53="float32",FLOAT2HEX(G53),DEC2HEX(G53,8)),"")</f>
        <v>00001DBE</v>
      </c>
      <c r="I53" s="94">
        <f t="shared" si="3"/>
        <v>7614</v>
      </c>
    </row>
    <row r="54" spans="1:9" x14ac:dyDescent="0.25">
      <c r="A54" s="96">
        <f>IF(I54&lt;&gt;"",MAX(A$1:A53)+1,"")</f>
        <v>47</v>
      </c>
      <c r="B54" s="74" t="s">
        <v>1433</v>
      </c>
      <c r="C54" s="103" t="s">
        <v>57</v>
      </c>
      <c r="D54" s="103">
        <f t="shared" si="4"/>
        <v>4</v>
      </c>
      <c r="E54" s="89" t="s">
        <v>1537</v>
      </c>
      <c r="G54" s="103">
        <f>ROUND((32768/BASE_FLUX) * MTPAFlux_22,0)</f>
        <v>18423</v>
      </c>
      <c r="H54" s="94" t="str">
        <f>IF(G54&lt;&gt;"",IF(C54="float32",FLOAT2HEX(G54),DEC2HEX(G54,8)),"")</f>
        <v>000047F7</v>
      </c>
      <c r="I54" s="94">
        <f t="shared" si="3"/>
        <v>18423</v>
      </c>
    </row>
    <row r="55" spans="1:9" x14ac:dyDescent="0.25">
      <c r="A55" s="96">
        <f>IF(I55&lt;&gt;"",MAX(A$1:A54)+1,"")</f>
        <v>48</v>
      </c>
      <c r="B55" s="97" t="s">
        <v>1353</v>
      </c>
      <c r="C55" s="103" t="s">
        <v>57</v>
      </c>
      <c r="D55" s="103">
        <f t="shared" si="4"/>
        <v>4</v>
      </c>
      <c r="E55" s="89" t="s">
        <v>1538</v>
      </c>
      <c r="G55" s="103">
        <f>ROUND((32768/BASE_TORQ) * MTPATorque_23,0)</f>
        <v>7960</v>
      </c>
      <c r="H55" s="94" t="str">
        <f>IF(G55&lt;&gt;"",IF(C55="float32",FLOAT2HEX(G55),DEC2HEX(G55,8)),"")</f>
        <v>00001F18</v>
      </c>
      <c r="I55" s="94">
        <f t="shared" si="3"/>
        <v>7960</v>
      </c>
    </row>
    <row r="56" spans="1:9" x14ac:dyDescent="0.25">
      <c r="A56" s="96">
        <f>IF(I56&lt;&gt;"",MAX(A$1:A55)+1,"")</f>
        <v>49</v>
      </c>
      <c r="B56" s="74" t="s">
        <v>1434</v>
      </c>
      <c r="C56" s="103" t="s">
        <v>57</v>
      </c>
      <c r="D56" s="103">
        <f t="shared" si="4"/>
        <v>4</v>
      </c>
      <c r="E56" s="89" t="s">
        <v>1539</v>
      </c>
      <c r="G56" s="103">
        <f>ROUND((32768/BASE_FLUX) * MTPAFlux_23,0)</f>
        <v>18978</v>
      </c>
      <c r="H56" s="94" t="str">
        <f>IF(G56&lt;&gt;"",IF(C56="float32",FLOAT2HEX(G56),DEC2HEX(G56,8)),"")</f>
        <v>00004A22</v>
      </c>
      <c r="I56" s="94">
        <f t="shared" si="3"/>
        <v>18978</v>
      </c>
    </row>
    <row r="57" spans="1:9" x14ac:dyDescent="0.25">
      <c r="A57" s="96">
        <f>IF(I57&lt;&gt;"",MAX(A$1:A56)+1,"")</f>
        <v>50</v>
      </c>
      <c r="B57" s="97" t="s">
        <v>1354</v>
      </c>
      <c r="C57" s="103" t="s">
        <v>57</v>
      </c>
      <c r="D57" s="103">
        <f t="shared" si="4"/>
        <v>4</v>
      </c>
      <c r="E57" s="89" t="s">
        <v>1540</v>
      </c>
      <c r="G57" s="103">
        <f>ROUND((32768/BASE_TORQ) * MTPATorque_24,0)</f>
        <v>7960</v>
      </c>
      <c r="H57" s="94" t="str">
        <f>IF(G57&lt;&gt;"",IF(C57="float32",FLOAT2HEX(G57),DEC2HEX(G57,8)),"")</f>
        <v>00001F18</v>
      </c>
      <c r="I57" s="94">
        <f t="shared" si="3"/>
        <v>7960</v>
      </c>
    </row>
    <row r="58" spans="1:9" x14ac:dyDescent="0.25">
      <c r="A58" s="96">
        <f>IF(I58&lt;&gt;"",MAX(A$1:A57)+1,"")</f>
        <v>51</v>
      </c>
      <c r="B58" s="74" t="s">
        <v>1435</v>
      </c>
      <c r="C58" s="103" t="s">
        <v>57</v>
      </c>
      <c r="D58" s="103">
        <f t="shared" si="4"/>
        <v>4</v>
      </c>
      <c r="E58" s="89" t="s">
        <v>1541</v>
      </c>
      <c r="G58" s="103">
        <f>ROUND((32768/BASE_FLUX) * MTPAFlux_24,0)</f>
        <v>18978</v>
      </c>
      <c r="H58" s="94" t="str">
        <f>IF(G58&lt;&gt;"",IF(C58="float32",FLOAT2HEX(G58),DEC2HEX(G58,8)),"")</f>
        <v>00004A22</v>
      </c>
      <c r="I58" s="94">
        <f t="shared" si="3"/>
        <v>18978</v>
      </c>
    </row>
    <row r="59" spans="1:9" x14ac:dyDescent="0.25">
      <c r="A59" s="96" t="str">
        <f>IF(I59&lt;&gt;"",MAX(A$1:A58)+1,"")</f>
        <v/>
      </c>
      <c r="B59" s="97" t="s">
        <v>1355</v>
      </c>
      <c r="C59" s="103" t="s">
        <v>57</v>
      </c>
      <c r="D59" s="103">
        <f t="shared" si="4"/>
        <v>4</v>
      </c>
      <c r="E59" s="89" t="s">
        <v>1542</v>
      </c>
      <c r="G59" s="103">
        <f>ROUND((32768/BASE_TORQ) * MTPATorque_25,0)</f>
        <v>2971</v>
      </c>
      <c r="H59" s="94" t="str">
        <f>IF(G59&lt;&gt;"",IF(C59="float32",FLOAT2HEX(G59),DEC2HEX(G59,8)),"")</f>
        <v>00000B9B</v>
      </c>
      <c r="I59" s="94" t="str">
        <f t="shared" si="3"/>
        <v/>
      </c>
    </row>
    <row r="60" spans="1:9" x14ac:dyDescent="0.25">
      <c r="A60" s="96" t="str">
        <f>IF(I60&lt;&gt;"",MAX(A$1:A59)+1,"")</f>
        <v/>
      </c>
      <c r="B60" s="74" t="s">
        <v>1436</v>
      </c>
      <c r="C60" s="103" t="s">
        <v>57</v>
      </c>
      <c r="D60" s="103">
        <f t="shared" si="4"/>
        <v>4</v>
      </c>
      <c r="E60" s="89" t="s">
        <v>1543</v>
      </c>
      <c r="G60" s="103">
        <f>ROUND((32768/BASE_FLUX) * MTPAFlux_25,0)</f>
        <v>11947</v>
      </c>
      <c r="H60" s="94" t="str">
        <f>IF(G60&lt;&gt;"",IF(C60="float32",FLOAT2HEX(G60),DEC2HEX(G60,8)),"")</f>
        <v>00002EAB</v>
      </c>
      <c r="I60" s="94" t="str">
        <f t="shared" si="3"/>
        <v/>
      </c>
    </row>
    <row r="61" spans="1:9" x14ac:dyDescent="0.25">
      <c r="A61" s="96" t="str">
        <f>IF(I61&lt;&gt;"",MAX(A$1:A60)+1,"")</f>
        <v/>
      </c>
      <c r="B61" s="97" t="s">
        <v>1356</v>
      </c>
      <c r="C61" s="103" t="s">
        <v>57</v>
      </c>
      <c r="D61" s="103">
        <f t="shared" si="4"/>
        <v>4</v>
      </c>
      <c r="E61" s="89" t="s">
        <v>1544</v>
      </c>
      <c r="G61" s="103">
        <f>ROUND((32768/BASE_TORQ) * MTPATorque_26,0)</f>
        <v>3090</v>
      </c>
      <c r="H61" s="94" t="str">
        <f>IF(G61&lt;&gt;"",IF(C61="float32",FLOAT2HEX(G61),DEC2HEX(G61,8)),"")</f>
        <v>00000C12</v>
      </c>
      <c r="I61" s="94" t="str">
        <f t="shared" si="3"/>
        <v/>
      </c>
    </row>
    <row r="62" spans="1:9" x14ac:dyDescent="0.25">
      <c r="A62" s="96" t="str">
        <f>IF(I62&lt;&gt;"",MAX(A$1:A61)+1,"")</f>
        <v/>
      </c>
      <c r="B62" s="74" t="s">
        <v>1437</v>
      </c>
      <c r="C62" s="103" t="s">
        <v>57</v>
      </c>
      <c r="D62" s="103">
        <f t="shared" si="4"/>
        <v>4</v>
      </c>
      <c r="E62" s="89" t="s">
        <v>1545</v>
      </c>
      <c r="G62" s="103">
        <f>ROUND((32768/BASE_FLUX) * MTPAFlux_26,0)</f>
        <v>12099</v>
      </c>
      <c r="H62" s="94" t="str">
        <f>IF(G62&lt;&gt;"",IF(C62="float32",FLOAT2HEX(G62),DEC2HEX(G62,8)),"")</f>
        <v>00002F43</v>
      </c>
      <c r="I62" s="94" t="str">
        <f t="shared" si="3"/>
        <v/>
      </c>
    </row>
    <row r="63" spans="1:9" x14ac:dyDescent="0.25">
      <c r="A63" s="96" t="str">
        <f>IF(I63&lt;&gt;"",MAX(A$1:A62)+1,"")</f>
        <v/>
      </c>
      <c r="B63" s="97" t="s">
        <v>1357</v>
      </c>
      <c r="C63" s="103" t="s">
        <v>57</v>
      </c>
      <c r="D63" s="103">
        <f t="shared" si="4"/>
        <v>4</v>
      </c>
      <c r="E63" s="89" t="s">
        <v>1546</v>
      </c>
      <c r="G63" s="103">
        <f>ROUND((32768/BASE_TORQ) * MTPATorque_27,0)</f>
        <v>3209</v>
      </c>
      <c r="H63" s="94" t="str">
        <f>IF(G63&lt;&gt;"",IF(C63="float32",FLOAT2HEX(G63),DEC2HEX(G63,8)),"")</f>
        <v>00000C89</v>
      </c>
      <c r="I63" s="94" t="str">
        <f t="shared" si="3"/>
        <v/>
      </c>
    </row>
    <row r="64" spans="1:9" x14ac:dyDescent="0.25">
      <c r="A64" s="96" t="str">
        <f>IF(I64&lt;&gt;"",MAX(A$1:A63)+1,"")</f>
        <v/>
      </c>
      <c r="B64" s="74" t="s">
        <v>1438</v>
      </c>
      <c r="C64" s="103" t="s">
        <v>57</v>
      </c>
      <c r="D64" s="103">
        <f t="shared" si="4"/>
        <v>4</v>
      </c>
      <c r="E64" s="89" t="s">
        <v>1547</v>
      </c>
      <c r="G64" s="103">
        <f>ROUND((32768/BASE_FLUX) * MTPAFlux_27,0)</f>
        <v>12251</v>
      </c>
      <c r="H64" s="94" t="str">
        <f>IF(G64&lt;&gt;"",IF(C64="float32",FLOAT2HEX(G64),DEC2HEX(G64,8)),"")</f>
        <v>00002FDB</v>
      </c>
      <c r="I64" s="94" t="str">
        <f t="shared" si="3"/>
        <v/>
      </c>
    </row>
    <row r="65" spans="1:9" x14ac:dyDescent="0.25">
      <c r="A65" s="96" t="str">
        <f>IF(I65&lt;&gt;"",MAX(A$1:A64)+1,"")</f>
        <v/>
      </c>
      <c r="B65" s="97" t="s">
        <v>1358</v>
      </c>
      <c r="C65" s="103" t="s">
        <v>57</v>
      </c>
      <c r="D65" s="103">
        <f t="shared" si="4"/>
        <v>4</v>
      </c>
      <c r="E65" s="89" t="s">
        <v>1548</v>
      </c>
      <c r="G65" s="103">
        <f>ROUND((32768/BASE_TORQ) * MTPATorque_28,0)</f>
        <v>3328</v>
      </c>
      <c r="H65" s="94" t="str">
        <f>IF(G65&lt;&gt;"",IF(C65="float32",FLOAT2HEX(G65),DEC2HEX(G65,8)),"")</f>
        <v>00000D00</v>
      </c>
      <c r="I65" s="94" t="str">
        <f t="shared" si="3"/>
        <v/>
      </c>
    </row>
    <row r="66" spans="1:9" x14ac:dyDescent="0.25">
      <c r="A66" s="96" t="str">
        <f>IF(I66&lt;&gt;"",MAX(A$1:A65)+1,"")</f>
        <v/>
      </c>
      <c r="B66" s="74" t="s">
        <v>1439</v>
      </c>
      <c r="C66" s="103" t="s">
        <v>57</v>
      </c>
      <c r="D66" s="103">
        <f t="shared" si="4"/>
        <v>4</v>
      </c>
      <c r="E66" s="89" t="s">
        <v>1549</v>
      </c>
      <c r="G66" s="103">
        <f>ROUND((32768/BASE_FLUX) * MTPAFlux_28,0)</f>
        <v>12404</v>
      </c>
      <c r="H66" s="94" t="str">
        <f>IF(G66&lt;&gt;"",IF(C66="float32",FLOAT2HEX(G66),DEC2HEX(G66,8)),"")</f>
        <v>00003074</v>
      </c>
      <c r="I66" s="94" t="str">
        <f t="shared" si="3"/>
        <v/>
      </c>
    </row>
    <row r="67" spans="1:9" x14ac:dyDescent="0.25">
      <c r="A67" s="96" t="str">
        <f>IF(I67&lt;&gt;"",MAX(A$1:A66)+1,"")</f>
        <v/>
      </c>
      <c r="B67" s="97" t="s">
        <v>1359</v>
      </c>
      <c r="C67" s="103" t="s">
        <v>57</v>
      </c>
      <c r="D67" s="103">
        <f t="shared" si="4"/>
        <v>4</v>
      </c>
      <c r="E67" s="89" t="s">
        <v>1550</v>
      </c>
      <c r="G67" s="103">
        <f>ROUND((32768/BASE_TORQ) * MTPATorque_29,0)</f>
        <v>3447</v>
      </c>
      <c r="H67" s="94" t="str">
        <f>IF(G67&lt;&gt;"",IF(C67="float32",FLOAT2HEX(G67),DEC2HEX(G67,8)),"")</f>
        <v>00000D77</v>
      </c>
      <c r="I67" s="94" t="str">
        <f t="shared" si="3"/>
        <v/>
      </c>
    </row>
    <row r="68" spans="1:9" x14ac:dyDescent="0.25">
      <c r="A68" s="96" t="str">
        <f>IF(I68&lt;&gt;"",MAX(A$1:A67)+1,"")</f>
        <v/>
      </c>
      <c r="B68" s="74" t="s">
        <v>1440</v>
      </c>
      <c r="C68" s="103" t="s">
        <v>57</v>
      </c>
      <c r="D68" s="103">
        <f t="shared" si="4"/>
        <v>4</v>
      </c>
      <c r="E68" s="89" t="s">
        <v>1551</v>
      </c>
      <c r="G68" s="103">
        <f>ROUND((32768/BASE_FLUX) * MTPAFlux_29,0)</f>
        <v>12568</v>
      </c>
      <c r="H68" s="94" t="str">
        <f>IF(G68&lt;&gt;"",IF(C68="float32",FLOAT2HEX(G68),DEC2HEX(G68,8)),"")</f>
        <v>00003118</v>
      </c>
      <c r="I68" s="94" t="str">
        <f t="shared" si="3"/>
        <v/>
      </c>
    </row>
    <row r="69" spans="1:9" x14ac:dyDescent="0.25">
      <c r="A69" s="96" t="str">
        <f>IF(I69&lt;&gt;"",MAX(A$1:A68)+1,"")</f>
        <v/>
      </c>
      <c r="B69" s="97" t="s">
        <v>1360</v>
      </c>
      <c r="C69" s="103" t="s">
        <v>57</v>
      </c>
      <c r="D69" s="103">
        <f t="shared" si="4"/>
        <v>4</v>
      </c>
      <c r="E69" s="89" t="s">
        <v>1552</v>
      </c>
      <c r="G69" s="103">
        <f>ROUND((32768/BASE_TORQ) * MTPATorque_30,0)</f>
        <v>3566</v>
      </c>
      <c r="H69" s="94" t="str">
        <f>IF(G69&lt;&gt;"",IF(C69="float32",FLOAT2HEX(G69),DEC2HEX(G69,8)),"")</f>
        <v>00000DEE</v>
      </c>
      <c r="I69" s="94" t="str">
        <f t="shared" si="3"/>
        <v/>
      </c>
    </row>
    <row r="70" spans="1:9" x14ac:dyDescent="0.25">
      <c r="A70" s="96" t="str">
        <f>IF(I70&lt;&gt;"",MAX(A$1:A69)+1,"")</f>
        <v/>
      </c>
      <c r="B70" s="74" t="s">
        <v>1441</v>
      </c>
      <c r="C70" s="103" t="s">
        <v>57</v>
      </c>
      <c r="D70" s="103">
        <f t="shared" si="4"/>
        <v>4</v>
      </c>
      <c r="E70" s="89" t="s">
        <v>1553</v>
      </c>
      <c r="G70" s="103">
        <f>ROUND((32768/BASE_FLUX) * MTPAFlux_30,0)</f>
        <v>12732</v>
      </c>
      <c r="H70" s="94" t="str">
        <f>IF(G70&lt;&gt;"",IF(C70="float32",FLOAT2HEX(G70),DEC2HEX(G70,8)),"")</f>
        <v>000031BC</v>
      </c>
      <c r="I70" s="94" t="str">
        <f t="shared" si="3"/>
        <v/>
      </c>
    </row>
    <row r="71" spans="1:9" x14ac:dyDescent="0.25">
      <c r="A71" s="96" t="str">
        <f>IF(I71&lt;&gt;"",MAX(A$1:A70)+1,"")</f>
        <v/>
      </c>
      <c r="B71" s="97" t="s">
        <v>1361</v>
      </c>
      <c r="C71" s="103" t="s">
        <v>57</v>
      </c>
      <c r="D71" s="103">
        <f t="shared" si="4"/>
        <v>4</v>
      </c>
      <c r="E71" s="89" t="s">
        <v>1554</v>
      </c>
      <c r="G71" s="103">
        <f>ROUND((32768/BASE_TORQ) * MTPATorque_31,0)</f>
        <v>3684</v>
      </c>
      <c r="H71" s="94" t="str">
        <f>IF(G71&lt;&gt;"",IF(C71="float32",FLOAT2HEX(G71),DEC2HEX(G71,8)),"")</f>
        <v>00000E64</v>
      </c>
      <c r="I71" s="94" t="str">
        <f t="shared" si="3"/>
        <v/>
      </c>
    </row>
    <row r="72" spans="1:9" x14ac:dyDescent="0.25">
      <c r="A72" s="96" t="str">
        <f>IF(I72&lt;&gt;"",MAX(A$1:A71)+1,"")</f>
        <v/>
      </c>
      <c r="B72" s="74" t="s">
        <v>1442</v>
      </c>
      <c r="C72" s="103" t="s">
        <v>57</v>
      </c>
      <c r="D72" s="103">
        <f t="shared" si="4"/>
        <v>4</v>
      </c>
      <c r="E72" s="89" t="s">
        <v>1555</v>
      </c>
      <c r="G72" s="103">
        <f>ROUND((32768/BASE_FLUX) * MTPAFlux_31,0)</f>
        <v>12767</v>
      </c>
      <c r="H72" s="94" t="str">
        <f>IF(G72&lt;&gt;"",IF(C72="float32",FLOAT2HEX(G72),DEC2HEX(G72,8)),"")</f>
        <v>000031DF</v>
      </c>
      <c r="I72" s="94" t="str">
        <f t="shared" si="3"/>
        <v/>
      </c>
    </row>
    <row r="73" spans="1:9" x14ac:dyDescent="0.25">
      <c r="A73" s="96" t="str">
        <f>IF(I73&lt;&gt;"",MAX(A$1:A72)+1,"")</f>
        <v/>
      </c>
      <c r="B73" s="97" t="s">
        <v>1362</v>
      </c>
      <c r="C73" s="103" t="s">
        <v>57</v>
      </c>
      <c r="D73" s="103">
        <f t="shared" si="4"/>
        <v>4</v>
      </c>
      <c r="E73" s="89" t="s">
        <v>1556</v>
      </c>
      <c r="G73" s="103">
        <f>ROUND((32768/BASE_TORQ) * MTPATorque_32,0)</f>
        <v>3803</v>
      </c>
      <c r="H73" s="94" t="str">
        <f>IF(G73&lt;&gt;"",IF(C73="float32",FLOAT2HEX(G73),DEC2HEX(G73,8)),"")</f>
        <v>00000EDB</v>
      </c>
      <c r="I73" s="94" t="str">
        <f t="shared" si="3"/>
        <v/>
      </c>
    </row>
    <row r="74" spans="1:9" x14ac:dyDescent="0.25">
      <c r="A74" s="96" t="str">
        <f>IF(I74&lt;&gt;"",MAX(A$1:A73)+1,"")</f>
        <v/>
      </c>
      <c r="B74" s="74" t="s">
        <v>1443</v>
      </c>
      <c r="C74" s="103" t="s">
        <v>57</v>
      </c>
      <c r="D74" s="103">
        <f t="shared" si="4"/>
        <v>4</v>
      </c>
      <c r="E74" s="89" t="s">
        <v>1557</v>
      </c>
      <c r="G74" s="103">
        <f>ROUND((32768/BASE_FLUX) * MTPAFlux_32,0)</f>
        <v>12799</v>
      </c>
      <c r="H74" s="94" t="str">
        <f>IF(G74&lt;&gt;"",IF(C74="float32",FLOAT2HEX(G74),DEC2HEX(G74,8)),"")</f>
        <v>000031FF</v>
      </c>
      <c r="I74" s="94" t="str">
        <f t="shared" ref="I74:I137" si="5">IF(AND(G74&lt;&gt;"",(ROW()-8)&lt;(($G$7+1)*2+1)),HEX2DEC(H74),"")</f>
        <v/>
      </c>
    </row>
    <row r="75" spans="1:9" x14ac:dyDescent="0.25">
      <c r="A75" s="96" t="str">
        <f>IF(I75&lt;&gt;"",MAX(A$1:A74)+1,"")</f>
        <v/>
      </c>
      <c r="B75" s="97" t="s">
        <v>1363</v>
      </c>
      <c r="C75" s="103" t="s">
        <v>57</v>
      </c>
      <c r="D75" s="103">
        <f t="shared" si="4"/>
        <v>4</v>
      </c>
      <c r="E75" s="89" t="s">
        <v>1558</v>
      </c>
      <c r="G75" s="103">
        <f>ROUND((32768/BASE_TORQ) * MTPATorque_33,0)</f>
        <v>3922</v>
      </c>
      <c r="H75" s="94" t="str">
        <f>IF(G75&lt;&gt;"",IF(C75="float32",FLOAT2HEX(G75),DEC2HEX(G75,8)),"")</f>
        <v>00000F52</v>
      </c>
      <c r="I75" s="94" t="str">
        <f t="shared" si="5"/>
        <v/>
      </c>
    </row>
    <row r="76" spans="1:9" x14ac:dyDescent="0.25">
      <c r="A76" s="96" t="str">
        <f>IF(I76&lt;&gt;"",MAX(A$1:A75)+1,"")</f>
        <v/>
      </c>
      <c r="B76" s="74" t="s">
        <v>1444</v>
      </c>
      <c r="C76" s="103" t="s">
        <v>57</v>
      </c>
      <c r="D76" s="103">
        <f t="shared" si="4"/>
        <v>4</v>
      </c>
      <c r="E76" s="89" t="s">
        <v>1559</v>
      </c>
      <c r="G76" s="103">
        <f>ROUND((32768/BASE_FLUX) * MTPAFlux_33,0)</f>
        <v>12839</v>
      </c>
      <c r="H76" s="94" t="str">
        <f>IF(G76&lt;&gt;"",IF(C76="float32",FLOAT2HEX(G76),DEC2HEX(G76,8)),"")</f>
        <v>00003227</v>
      </c>
      <c r="I76" s="94" t="str">
        <f t="shared" si="5"/>
        <v/>
      </c>
    </row>
    <row r="77" spans="1:9" x14ac:dyDescent="0.25">
      <c r="A77" s="96" t="str">
        <f>IF(I77&lt;&gt;"",MAX(A$1:A76)+1,"")</f>
        <v/>
      </c>
      <c r="B77" s="97" t="s">
        <v>1364</v>
      </c>
      <c r="C77" s="103" t="s">
        <v>57</v>
      </c>
      <c r="D77" s="103">
        <f t="shared" si="4"/>
        <v>4</v>
      </c>
      <c r="E77" s="89" t="s">
        <v>1560</v>
      </c>
      <c r="G77" s="103">
        <f>ROUND((32768/BASE_TORQ) * MTPATorque_34,0)</f>
        <v>4041</v>
      </c>
      <c r="H77" s="94" t="str">
        <f>IF(G77&lt;&gt;"",IF(C77="float32",FLOAT2HEX(G77),DEC2HEX(G77,8)),"")</f>
        <v>00000FC9</v>
      </c>
      <c r="I77" s="94" t="str">
        <f t="shared" si="5"/>
        <v/>
      </c>
    </row>
    <row r="78" spans="1:9" x14ac:dyDescent="0.25">
      <c r="A78" s="96" t="str">
        <f>IF(I78&lt;&gt;"",MAX(A$1:A77)+1,"")</f>
        <v/>
      </c>
      <c r="B78" s="74" t="s">
        <v>1445</v>
      </c>
      <c r="C78" s="103" t="s">
        <v>57</v>
      </c>
      <c r="D78" s="103">
        <f t="shared" si="4"/>
        <v>4</v>
      </c>
      <c r="E78" s="89" t="s">
        <v>1561</v>
      </c>
      <c r="G78" s="103">
        <f>ROUND((32768/BASE_FLUX) * MTPAFlux_34,0)</f>
        <v>12876</v>
      </c>
      <c r="H78" s="94" t="str">
        <f>IF(G78&lt;&gt;"",IF(C78="float32",FLOAT2HEX(G78),DEC2HEX(G78,8)),"")</f>
        <v>0000324C</v>
      </c>
      <c r="I78" s="94" t="str">
        <f t="shared" si="5"/>
        <v/>
      </c>
    </row>
    <row r="79" spans="1:9" x14ac:dyDescent="0.25">
      <c r="A79" s="96" t="str">
        <f>IF(I79&lt;&gt;"",MAX(A$1:A78)+1,"")</f>
        <v/>
      </c>
      <c r="B79" s="97" t="s">
        <v>1365</v>
      </c>
      <c r="C79" s="103" t="s">
        <v>57</v>
      </c>
      <c r="D79" s="103">
        <f t="shared" si="4"/>
        <v>4</v>
      </c>
      <c r="E79" s="89" t="s">
        <v>1562</v>
      </c>
      <c r="G79" s="103">
        <f>ROUND((32768/BASE_TORQ) * MTPATorque_35,0)</f>
        <v>4160</v>
      </c>
      <c r="H79" s="94" t="str">
        <f>IF(G79&lt;&gt;"",IF(C79="float32",FLOAT2HEX(G79),DEC2HEX(G79,8)),"")</f>
        <v>00001040</v>
      </c>
      <c r="I79" s="94" t="str">
        <f t="shared" si="5"/>
        <v/>
      </c>
    </row>
    <row r="80" spans="1:9" x14ac:dyDescent="0.25">
      <c r="A80" s="96" t="str">
        <f>IF(I80&lt;&gt;"",MAX(A$1:A79)+1,"")</f>
        <v/>
      </c>
      <c r="B80" s="74" t="s">
        <v>1446</v>
      </c>
      <c r="C80" s="103" t="s">
        <v>57</v>
      </c>
      <c r="D80" s="103">
        <f t="shared" si="4"/>
        <v>4</v>
      </c>
      <c r="E80" s="89" t="s">
        <v>1563</v>
      </c>
      <c r="G80" s="103">
        <f>ROUND((32768/BASE_FLUX) * MTPAFlux_35,0)</f>
        <v>12920</v>
      </c>
      <c r="H80" s="94" t="str">
        <f>IF(G80&lt;&gt;"",IF(C80="float32",FLOAT2HEX(G80),DEC2HEX(G80,8)),"")</f>
        <v>00003278</v>
      </c>
      <c r="I80" s="94" t="str">
        <f t="shared" si="5"/>
        <v/>
      </c>
    </row>
    <row r="81" spans="1:9" x14ac:dyDescent="0.25">
      <c r="A81" s="96" t="str">
        <f>IF(I81&lt;&gt;"",MAX(A$1:A80)+1,"")</f>
        <v/>
      </c>
      <c r="B81" s="97" t="s">
        <v>1366</v>
      </c>
      <c r="C81" s="103" t="s">
        <v>57</v>
      </c>
      <c r="D81" s="103">
        <f t="shared" si="4"/>
        <v>4</v>
      </c>
      <c r="E81" s="89" t="s">
        <v>1564</v>
      </c>
      <c r="G81" s="103">
        <f>ROUND((32768/BASE_TORQ) * MTPATorque_36,0)</f>
        <v>4279</v>
      </c>
      <c r="H81" s="94" t="str">
        <f>IF(G81&lt;&gt;"",IF(C81="float32",FLOAT2HEX(G81),DEC2HEX(G81,8)),"")</f>
        <v>000010B7</v>
      </c>
      <c r="I81" s="94" t="str">
        <f t="shared" si="5"/>
        <v/>
      </c>
    </row>
    <row r="82" spans="1:9" x14ac:dyDescent="0.25">
      <c r="A82" s="96" t="str">
        <f>IF(I82&lt;&gt;"",MAX(A$1:A81)+1,"")</f>
        <v/>
      </c>
      <c r="B82" s="74" t="s">
        <v>1447</v>
      </c>
      <c r="C82" s="103" t="s">
        <v>57</v>
      </c>
      <c r="D82" s="103">
        <f t="shared" si="4"/>
        <v>4</v>
      </c>
      <c r="E82" s="89" t="s">
        <v>1565</v>
      </c>
      <c r="G82" s="103">
        <f>ROUND((32768/BASE_FLUX) * MTPAFlux_36,0)</f>
        <v>12949</v>
      </c>
      <c r="H82" s="94" t="str">
        <f>IF(G82&lt;&gt;"",IF(C82="float32",FLOAT2HEX(G82),DEC2HEX(G82,8)),"")</f>
        <v>00003295</v>
      </c>
      <c r="I82" s="94" t="str">
        <f t="shared" si="5"/>
        <v/>
      </c>
    </row>
    <row r="83" spans="1:9" x14ac:dyDescent="0.25">
      <c r="A83" s="96" t="str">
        <f>IF(I83&lt;&gt;"",MAX(A$1:A82)+1,"")</f>
        <v/>
      </c>
      <c r="B83" s="97" t="s">
        <v>1367</v>
      </c>
      <c r="C83" s="103" t="s">
        <v>57</v>
      </c>
      <c r="D83" s="103">
        <f t="shared" si="4"/>
        <v>4</v>
      </c>
      <c r="E83" s="89" t="s">
        <v>1566</v>
      </c>
      <c r="G83" s="103">
        <f>ROUND((32768/BASE_TORQ) * MTPATorque_37,0)</f>
        <v>4398</v>
      </c>
      <c r="H83" s="94" t="str">
        <f>IF(G83&lt;&gt;"",IF(C83="float32",FLOAT2HEX(G83),DEC2HEX(G83,8)),"")</f>
        <v>0000112E</v>
      </c>
      <c r="I83" s="94" t="str">
        <f t="shared" si="5"/>
        <v/>
      </c>
    </row>
    <row r="84" spans="1:9" x14ac:dyDescent="0.25">
      <c r="A84" s="96" t="str">
        <f>IF(I84&lt;&gt;"",MAX(A$1:A83)+1,"")</f>
        <v/>
      </c>
      <c r="B84" s="74" t="s">
        <v>1448</v>
      </c>
      <c r="C84" s="103" t="s">
        <v>57</v>
      </c>
      <c r="D84" s="103">
        <f t="shared" si="4"/>
        <v>4</v>
      </c>
      <c r="E84" s="89" t="s">
        <v>1567</v>
      </c>
      <c r="G84" s="103">
        <f>ROUND((32768/BASE_FLUX) * MTPAFlux_37,0)</f>
        <v>12986</v>
      </c>
      <c r="H84" s="94" t="str">
        <f>IF(G84&lt;&gt;"",IF(C84="float32",FLOAT2HEX(G84),DEC2HEX(G84,8)),"")</f>
        <v>000032BA</v>
      </c>
      <c r="I84" s="94" t="str">
        <f t="shared" si="5"/>
        <v/>
      </c>
    </row>
    <row r="85" spans="1:9" x14ac:dyDescent="0.25">
      <c r="A85" s="96" t="str">
        <f>IF(I85&lt;&gt;"",MAX(A$1:A84)+1,"")</f>
        <v/>
      </c>
      <c r="B85" s="97" t="s">
        <v>1368</v>
      </c>
      <c r="C85" s="103" t="s">
        <v>57</v>
      </c>
      <c r="D85" s="103">
        <f t="shared" si="4"/>
        <v>4</v>
      </c>
      <c r="E85" s="89" t="s">
        <v>1568</v>
      </c>
      <c r="G85" s="103">
        <f>ROUND((32768/BASE_TORQ) * MTPATorque_38,0)</f>
        <v>4516</v>
      </c>
      <c r="H85" s="94" t="str">
        <f>IF(G85&lt;&gt;"",IF(C85="float32",FLOAT2HEX(G85),DEC2HEX(G85,8)),"")</f>
        <v>000011A4</v>
      </c>
      <c r="I85" s="94" t="str">
        <f t="shared" si="5"/>
        <v/>
      </c>
    </row>
    <row r="86" spans="1:9" x14ac:dyDescent="0.25">
      <c r="A86" s="96" t="str">
        <f>IF(I86&lt;&gt;"",MAX(A$1:A85)+1,"")</f>
        <v/>
      </c>
      <c r="B86" s="74" t="s">
        <v>1449</v>
      </c>
      <c r="C86" s="103" t="s">
        <v>57</v>
      </c>
      <c r="D86" s="103">
        <f t="shared" si="4"/>
        <v>4</v>
      </c>
      <c r="E86" s="89" t="s">
        <v>1569</v>
      </c>
      <c r="G86" s="103">
        <f>ROUND((32768/BASE_FLUX) * MTPAFlux_38,0)</f>
        <v>13019</v>
      </c>
      <c r="H86" s="94" t="str">
        <f>IF(G86&lt;&gt;"",IF(C86="float32",FLOAT2HEX(G86),DEC2HEX(G86,8)),"")</f>
        <v>000032DB</v>
      </c>
      <c r="I86" s="94" t="str">
        <f t="shared" si="5"/>
        <v/>
      </c>
    </row>
    <row r="87" spans="1:9" x14ac:dyDescent="0.25">
      <c r="A87" s="96" t="str">
        <f>IF(I87&lt;&gt;"",MAX(A$1:A86)+1,"")</f>
        <v/>
      </c>
      <c r="B87" s="97" t="s">
        <v>1369</v>
      </c>
      <c r="C87" s="103" t="s">
        <v>57</v>
      </c>
      <c r="D87" s="103">
        <f t="shared" si="4"/>
        <v>4</v>
      </c>
      <c r="E87" s="89" t="s">
        <v>1570</v>
      </c>
      <c r="G87" s="103">
        <f>ROUND((32768/BASE_TORQ) * MTPATorque_39,0)</f>
        <v>4635</v>
      </c>
      <c r="H87" s="94" t="str">
        <f>IF(G87&lt;&gt;"",IF(C87="float32",FLOAT2HEX(G87),DEC2HEX(G87,8)),"")</f>
        <v>0000121B</v>
      </c>
      <c r="I87" s="94" t="str">
        <f t="shared" si="5"/>
        <v/>
      </c>
    </row>
    <row r="88" spans="1:9" x14ac:dyDescent="0.25">
      <c r="A88" s="96" t="str">
        <f>IF(I88&lt;&gt;"",MAX(A$1:A87)+1,"")</f>
        <v/>
      </c>
      <c r="B88" s="74" t="s">
        <v>1450</v>
      </c>
      <c r="C88" s="103" t="s">
        <v>57</v>
      </c>
      <c r="D88" s="103">
        <f t="shared" si="4"/>
        <v>4</v>
      </c>
      <c r="E88" s="89" t="s">
        <v>1571</v>
      </c>
      <c r="G88" s="103">
        <f>ROUND((32768/BASE_FLUX) * MTPAFlux_39,0)</f>
        <v>13048</v>
      </c>
      <c r="H88" s="94" t="str">
        <f>IF(G88&lt;&gt;"",IF(C88="float32",FLOAT2HEX(G88),DEC2HEX(G88,8)),"")</f>
        <v>000032F8</v>
      </c>
      <c r="I88" s="94" t="str">
        <f t="shared" si="5"/>
        <v/>
      </c>
    </row>
    <row r="89" spans="1:9" x14ac:dyDescent="0.25">
      <c r="A89" s="96" t="str">
        <f>IF(I89&lt;&gt;"",MAX(A$1:A88)+1,"")</f>
        <v/>
      </c>
      <c r="B89" s="97" t="s">
        <v>1370</v>
      </c>
      <c r="C89" s="103" t="s">
        <v>57</v>
      </c>
      <c r="D89" s="103">
        <f t="shared" si="4"/>
        <v>4</v>
      </c>
      <c r="E89" s="89" t="s">
        <v>1572</v>
      </c>
      <c r="G89" s="103">
        <f>ROUND((32768/BASE_TORQ) * MTPATorque_40,0)</f>
        <v>4754</v>
      </c>
      <c r="H89" s="94" t="str">
        <f>IF(G89&lt;&gt;"",IF(C89="float32",FLOAT2HEX(G89),DEC2HEX(G89,8)),"")</f>
        <v>00001292</v>
      </c>
      <c r="I89" s="94" t="str">
        <f t="shared" si="5"/>
        <v/>
      </c>
    </row>
    <row r="90" spans="1:9" x14ac:dyDescent="0.25">
      <c r="A90" s="96" t="str">
        <f>IF(I90&lt;&gt;"",MAX(A$1:A89)+1,"")</f>
        <v/>
      </c>
      <c r="B90" s="74" t="s">
        <v>1451</v>
      </c>
      <c r="C90" s="103" t="s">
        <v>57</v>
      </c>
      <c r="D90" s="103">
        <f t="shared" si="4"/>
        <v>4</v>
      </c>
      <c r="E90" s="89" t="s">
        <v>1573</v>
      </c>
      <c r="G90" s="103">
        <f>ROUND((32768/BASE_FLUX) * MTPAFlux_40,0)</f>
        <v>13073</v>
      </c>
      <c r="H90" s="94" t="str">
        <f>IF(G90&lt;&gt;"",IF(C90="float32",FLOAT2HEX(G90),DEC2HEX(G90,8)),"")</f>
        <v>00003311</v>
      </c>
      <c r="I90" s="94" t="str">
        <f t="shared" si="5"/>
        <v/>
      </c>
    </row>
    <row r="91" spans="1:9" x14ac:dyDescent="0.25">
      <c r="A91" s="96" t="str">
        <f>IF(I91&lt;&gt;"",MAX(A$1:A90)+1,"")</f>
        <v/>
      </c>
      <c r="B91" s="97" t="s">
        <v>1371</v>
      </c>
      <c r="C91" s="103" t="s">
        <v>57</v>
      </c>
      <c r="D91" s="103">
        <f t="shared" si="4"/>
        <v>4</v>
      </c>
      <c r="E91" s="89" t="s">
        <v>1574</v>
      </c>
      <c r="G91" s="103">
        <f>ROUND((32768/BASE_TORQ) * MTPATorque_41,0)</f>
        <v>4873</v>
      </c>
      <c r="H91" s="94" t="str">
        <f>IF(G91&lt;&gt;"",IF(C91="float32",FLOAT2HEX(G91),DEC2HEX(G91,8)),"")</f>
        <v>00001309</v>
      </c>
      <c r="I91" s="94" t="str">
        <f t="shared" si="5"/>
        <v/>
      </c>
    </row>
    <row r="92" spans="1:9" x14ac:dyDescent="0.25">
      <c r="A92" s="96" t="str">
        <f>IF(I92&lt;&gt;"",MAX(A$1:A91)+1,"")</f>
        <v/>
      </c>
      <c r="B92" s="74" t="s">
        <v>1452</v>
      </c>
      <c r="C92" s="103" t="s">
        <v>57</v>
      </c>
      <c r="D92" s="103">
        <f t="shared" si="4"/>
        <v>4</v>
      </c>
      <c r="E92" s="89" t="s">
        <v>1575</v>
      </c>
      <c r="G92" s="103">
        <f>ROUND((32768/BASE_FLUX) * MTPAFlux_41,0)</f>
        <v>13095</v>
      </c>
      <c r="H92" s="94" t="str">
        <f>IF(G92&lt;&gt;"",IF(C92="float32",FLOAT2HEX(G92),DEC2HEX(G92,8)),"")</f>
        <v>00003327</v>
      </c>
      <c r="I92" s="94" t="str">
        <f t="shared" si="5"/>
        <v/>
      </c>
    </row>
    <row r="93" spans="1:9" x14ac:dyDescent="0.25">
      <c r="A93" s="96" t="str">
        <f>IF(I93&lt;&gt;"",MAX(A$1:A92)+1,"")</f>
        <v/>
      </c>
      <c r="B93" s="97" t="s">
        <v>1372</v>
      </c>
      <c r="C93" s="103" t="s">
        <v>57</v>
      </c>
      <c r="D93" s="103">
        <f t="shared" si="4"/>
        <v>4</v>
      </c>
      <c r="E93" s="89" t="s">
        <v>1576</v>
      </c>
      <c r="G93" s="103">
        <f>ROUND((32768/BASE_TORQ) * MTPATorque_42,0)</f>
        <v>4992</v>
      </c>
      <c r="H93" s="94" t="str">
        <f>IF(G93&lt;&gt;"",IF(C93="float32",FLOAT2HEX(G93),DEC2HEX(G93,8)),"")</f>
        <v>00001380</v>
      </c>
      <c r="I93" s="94" t="str">
        <f t="shared" si="5"/>
        <v/>
      </c>
    </row>
    <row r="94" spans="1:9" x14ac:dyDescent="0.25">
      <c r="A94" s="96" t="str">
        <f>IF(I94&lt;&gt;"",MAX(A$1:A93)+1,"")</f>
        <v/>
      </c>
      <c r="B94" s="74" t="s">
        <v>1453</v>
      </c>
      <c r="C94" s="103" t="s">
        <v>57</v>
      </c>
      <c r="D94" s="103">
        <f t="shared" si="4"/>
        <v>4</v>
      </c>
      <c r="E94" s="89" t="s">
        <v>1577</v>
      </c>
      <c r="G94" s="103">
        <f>ROUND((32768/BASE_FLUX) * MTPAFlux_42,0)</f>
        <v>13123</v>
      </c>
      <c r="H94" s="94" t="str">
        <f>IF(G94&lt;&gt;"",IF(C94="float32",FLOAT2HEX(G94),DEC2HEX(G94,8)),"")</f>
        <v>00003343</v>
      </c>
      <c r="I94" s="94" t="str">
        <f t="shared" si="5"/>
        <v/>
      </c>
    </row>
    <row r="95" spans="1:9" x14ac:dyDescent="0.25">
      <c r="A95" s="96" t="str">
        <f>IF(I95&lt;&gt;"",MAX(A$1:A94)+1,"")</f>
        <v/>
      </c>
      <c r="B95" s="97" t="s">
        <v>1373</v>
      </c>
      <c r="C95" s="103" t="s">
        <v>57</v>
      </c>
      <c r="D95" s="103">
        <f t="shared" si="4"/>
        <v>4</v>
      </c>
      <c r="E95" s="89" t="s">
        <v>1578</v>
      </c>
      <c r="G95" s="103">
        <f>ROUND((32768/BASE_TORQ) * MTPATorque_43,0)</f>
        <v>5111</v>
      </c>
      <c r="H95" s="94" t="str">
        <f>IF(G95&lt;&gt;"",IF(C95="float32",FLOAT2HEX(G95),DEC2HEX(G95,8)),"")</f>
        <v>000013F7</v>
      </c>
      <c r="I95" s="94" t="str">
        <f t="shared" si="5"/>
        <v/>
      </c>
    </row>
    <row r="96" spans="1:9" x14ac:dyDescent="0.25">
      <c r="A96" s="96" t="str">
        <f>IF(I96&lt;&gt;"",MAX(A$1:A95)+1,"")</f>
        <v/>
      </c>
      <c r="B96" s="74" t="s">
        <v>1454</v>
      </c>
      <c r="C96" s="103" t="s">
        <v>57</v>
      </c>
      <c r="D96" s="103">
        <f t="shared" si="4"/>
        <v>4</v>
      </c>
      <c r="E96" s="89" t="s">
        <v>1579</v>
      </c>
      <c r="G96" s="103">
        <f>ROUND((32768/BASE_FLUX) * MTPAFlux_43,0)</f>
        <v>13147</v>
      </c>
      <c r="H96" s="94" t="str">
        <f>IF(G96&lt;&gt;"",IF(C96="float32",FLOAT2HEX(G96),DEC2HEX(G96,8)),"")</f>
        <v>0000335B</v>
      </c>
      <c r="I96" s="94" t="str">
        <f t="shared" si="5"/>
        <v/>
      </c>
    </row>
    <row r="97" spans="1:9" x14ac:dyDescent="0.25">
      <c r="A97" s="96" t="str">
        <f>IF(I97&lt;&gt;"",MAX(A$1:A96)+1,"")</f>
        <v/>
      </c>
      <c r="B97" s="97" t="s">
        <v>1374</v>
      </c>
      <c r="C97" s="103" t="s">
        <v>57</v>
      </c>
      <c r="D97" s="103">
        <f t="shared" si="4"/>
        <v>4</v>
      </c>
      <c r="E97" s="89" t="s">
        <v>1580</v>
      </c>
      <c r="G97" s="103">
        <f>ROUND((32768/BASE_TORQ) * MTPATorque_44,0)</f>
        <v>5230</v>
      </c>
      <c r="H97" s="94" t="str">
        <f>IF(G97&lt;&gt;"",IF(C97="float32",FLOAT2HEX(G97),DEC2HEX(G97,8)),"")</f>
        <v>0000146E</v>
      </c>
      <c r="I97" s="94" t="str">
        <f t="shared" si="5"/>
        <v/>
      </c>
    </row>
    <row r="98" spans="1:9" x14ac:dyDescent="0.25">
      <c r="A98" s="96" t="str">
        <f>IF(I98&lt;&gt;"",MAX(A$1:A97)+1,"")</f>
        <v/>
      </c>
      <c r="B98" s="74" t="s">
        <v>1455</v>
      </c>
      <c r="C98" s="103" t="s">
        <v>57</v>
      </c>
      <c r="D98" s="103">
        <f t="shared" si="4"/>
        <v>4</v>
      </c>
      <c r="E98" s="89" t="s">
        <v>1581</v>
      </c>
      <c r="G98" s="103">
        <f>ROUND((32768/BASE_FLUX) * MTPAFlux_44,0)</f>
        <v>13168</v>
      </c>
      <c r="H98" s="94" t="str">
        <f>IF(G98&lt;&gt;"",IF(C98="float32",FLOAT2HEX(G98),DEC2HEX(G98,8)),"")</f>
        <v>00003370</v>
      </c>
      <c r="I98" s="94" t="str">
        <f t="shared" si="5"/>
        <v/>
      </c>
    </row>
    <row r="99" spans="1:9" x14ac:dyDescent="0.25">
      <c r="A99" s="96" t="str">
        <f>IF(I99&lt;&gt;"",MAX(A$1:A98)+1,"")</f>
        <v/>
      </c>
      <c r="B99" s="97" t="s">
        <v>1375</v>
      </c>
      <c r="C99" s="103" t="s">
        <v>57</v>
      </c>
      <c r="D99" s="103">
        <f t="shared" si="4"/>
        <v>4</v>
      </c>
      <c r="E99" s="89" t="s">
        <v>1582</v>
      </c>
      <c r="G99" s="103">
        <f>ROUND((32768/BASE_TORQ) * MTPATorque_45,0)</f>
        <v>5348</v>
      </c>
      <c r="H99" s="94" t="str">
        <f>IF(G99&lt;&gt;"",IF(C99="float32",FLOAT2HEX(G99),DEC2HEX(G99,8)),"")</f>
        <v>000014E4</v>
      </c>
      <c r="I99" s="94" t="str">
        <f t="shared" si="5"/>
        <v/>
      </c>
    </row>
    <row r="100" spans="1:9" x14ac:dyDescent="0.25">
      <c r="A100" s="96" t="str">
        <f>IF(I100&lt;&gt;"",MAX(A$1:A99)+1,"")</f>
        <v/>
      </c>
      <c r="B100" s="74" t="s">
        <v>1456</v>
      </c>
      <c r="C100" s="103" t="s">
        <v>57</v>
      </c>
      <c r="D100" s="103">
        <f t="shared" si="4"/>
        <v>4</v>
      </c>
      <c r="E100" s="89" t="s">
        <v>1583</v>
      </c>
      <c r="G100" s="103">
        <f>ROUND((32768/BASE_FLUX) * MTPAFlux_45,0)</f>
        <v>13184</v>
      </c>
      <c r="H100" s="94" t="str">
        <f>IF(G100&lt;&gt;"",IF(C100="float32",FLOAT2HEX(G100),DEC2HEX(G100,8)),"")</f>
        <v>00003380</v>
      </c>
      <c r="I100" s="94" t="str">
        <f t="shared" si="5"/>
        <v/>
      </c>
    </row>
    <row r="101" spans="1:9" x14ac:dyDescent="0.25">
      <c r="A101" s="96" t="str">
        <f>IF(I101&lt;&gt;"",MAX(A$1:A100)+1,"")</f>
        <v/>
      </c>
      <c r="B101" s="97" t="s">
        <v>1376</v>
      </c>
      <c r="C101" s="103" t="s">
        <v>57</v>
      </c>
      <c r="D101" s="103">
        <f t="shared" si="4"/>
        <v>4</v>
      </c>
      <c r="E101" s="89" t="s">
        <v>1584</v>
      </c>
      <c r="G101" s="103">
        <f>ROUND((32768/BASE_TORQ) * MTPATorque_46,0)</f>
        <v>5467</v>
      </c>
      <c r="H101" s="94" t="str">
        <f>IF(G101&lt;&gt;"",IF(C101="float32",FLOAT2HEX(G101),DEC2HEX(G101,8)),"")</f>
        <v>0000155B</v>
      </c>
      <c r="I101" s="94" t="str">
        <f t="shared" si="5"/>
        <v/>
      </c>
    </row>
    <row r="102" spans="1:9" x14ac:dyDescent="0.25">
      <c r="A102" s="96" t="str">
        <f>IF(I102&lt;&gt;"",MAX(A$1:A101)+1,"")</f>
        <v/>
      </c>
      <c r="B102" s="74" t="s">
        <v>1457</v>
      </c>
      <c r="C102" s="103" t="s">
        <v>57</v>
      </c>
      <c r="D102" s="103">
        <f t="shared" si="4"/>
        <v>4</v>
      </c>
      <c r="E102" s="89" t="s">
        <v>1585</v>
      </c>
      <c r="G102" s="103">
        <f>ROUND((32768/BASE_FLUX) * MTPAFlux_46,0)</f>
        <v>13363</v>
      </c>
      <c r="H102" s="94" t="str">
        <f>IF(G102&lt;&gt;"",IF(C102="float32",FLOAT2HEX(G102),DEC2HEX(G102,8)),"")</f>
        <v>00003433</v>
      </c>
      <c r="I102" s="94" t="str">
        <f t="shared" si="5"/>
        <v/>
      </c>
    </row>
    <row r="103" spans="1:9" x14ac:dyDescent="0.25">
      <c r="A103" s="96" t="str">
        <f>IF(I103&lt;&gt;"",MAX(A$1:A102)+1,"")</f>
        <v/>
      </c>
      <c r="B103" s="97" t="s">
        <v>1377</v>
      </c>
      <c r="C103" s="103" t="s">
        <v>57</v>
      </c>
      <c r="D103" s="103">
        <f t="shared" si="4"/>
        <v>4</v>
      </c>
      <c r="E103" s="89" t="s">
        <v>1586</v>
      </c>
      <c r="G103" s="103">
        <f>ROUND((32768/BASE_TORQ) * MTPATorque_47,0)</f>
        <v>5586</v>
      </c>
      <c r="H103" s="94" t="str">
        <f>IF(G103&lt;&gt;"",IF(C103="float32",FLOAT2HEX(G103),DEC2HEX(G103,8)),"")</f>
        <v>000015D2</v>
      </c>
      <c r="I103" s="94" t="str">
        <f t="shared" si="5"/>
        <v/>
      </c>
    </row>
    <row r="104" spans="1:9" x14ac:dyDescent="0.25">
      <c r="A104" s="96" t="str">
        <f>IF(I104&lt;&gt;"",MAX(A$1:A103)+1,"")</f>
        <v/>
      </c>
      <c r="B104" s="74" t="s">
        <v>1458</v>
      </c>
      <c r="C104" s="103" t="s">
        <v>57</v>
      </c>
      <c r="D104" s="103">
        <f t="shared" si="4"/>
        <v>4</v>
      </c>
      <c r="E104" s="89" t="s">
        <v>1587</v>
      </c>
      <c r="G104" s="103">
        <f>ROUND((32768/BASE_FLUX) * MTPAFlux_47,0)</f>
        <v>13533</v>
      </c>
      <c r="H104" s="94" t="str">
        <f>IF(G104&lt;&gt;"",IF(C104="float32",FLOAT2HEX(G104),DEC2HEX(G104,8)),"")</f>
        <v>000034DD</v>
      </c>
      <c r="I104" s="94" t="str">
        <f t="shared" si="5"/>
        <v/>
      </c>
    </row>
    <row r="105" spans="1:9" x14ac:dyDescent="0.25">
      <c r="A105" s="96" t="str">
        <f>IF(I105&lt;&gt;"",MAX(A$1:A104)+1,"")</f>
        <v/>
      </c>
      <c r="B105" s="97" t="s">
        <v>1378</v>
      </c>
      <c r="C105" s="103" t="s">
        <v>57</v>
      </c>
      <c r="D105" s="103">
        <f t="shared" ref="D105:D168" si="6">IF(OR(C105="sint64",C105="uint64",C105="double64"), 8, IF(OR(C105="sint32",C105="uint32",C105="float32"),4,IF(OR(C105="sint16",C105="uint16"),2,  IF(OR(C105="sint8",C105="uint8"),1,""))))</f>
        <v>4</v>
      </c>
      <c r="E105" s="89" t="s">
        <v>1588</v>
      </c>
      <c r="G105" s="103">
        <f>ROUND((32768/BASE_TORQ) * MTPATorque_48,0)</f>
        <v>5705</v>
      </c>
      <c r="H105" s="94" t="str">
        <f>IF(G105&lt;&gt;"",IF(C105="float32",FLOAT2HEX(G105),DEC2HEX(G105,8)),"")</f>
        <v>00001649</v>
      </c>
      <c r="I105" s="94" t="str">
        <f t="shared" si="5"/>
        <v/>
      </c>
    </row>
    <row r="106" spans="1:9" x14ac:dyDescent="0.25">
      <c r="A106" s="96" t="str">
        <f>IF(I106&lt;&gt;"",MAX(A$1:A105)+1,"")</f>
        <v/>
      </c>
      <c r="B106" s="74" t="s">
        <v>1459</v>
      </c>
      <c r="C106" s="103" t="s">
        <v>57</v>
      </c>
      <c r="D106" s="103">
        <f t="shared" si="6"/>
        <v>4</v>
      </c>
      <c r="E106" s="89" t="s">
        <v>1589</v>
      </c>
      <c r="G106" s="103">
        <f>ROUND((32768/BASE_FLUX) * MTPAFlux_48,0)</f>
        <v>13712</v>
      </c>
      <c r="H106" s="94" t="str">
        <f>IF(G106&lt;&gt;"",IF(C106="float32",FLOAT2HEX(G106),DEC2HEX(G106,8)),"")</f>
        <v>00003590</v>
      </c>
      <c r="I106" s="94" t="str">
        <f t="shared" si="5"/>
        <v/>
      </c>
    </row>
    <row r="107" spans="1:9" x14ac:dyDescent="0.25">
      <c r="A107" s="96" t="str">
        <f>IF(I107&lt;&gt;"",MAX(A$1:A106)+1,"")</f>
        <v/>
      </c>
      <c r="B107" s="97" t="s">
        <v>1379</v>
      </c>
      <c r="C107" s="103" t="s">
        <v>57</v>
      </c>
      <c r="D107" s="103">
        <f t="shared" si="6"/>
        <v>4</v>
      </c>
      <c r="E107" s="89" t="s">
        <v>1590</v>
      </c>
      <c r="G107" s="103">
        <f>ROUND((32768/BASE_TORQ) * MTPATorque_49,0)</f>
        <v>5824</v>
      </c>
      <c r="H107" s="94" t="str">
        <f>IF(G107&lt;&gt;"",IF(C107="float32",FLOAT2HEX(G107),DEC2HEX(G107,8)),"")</f>
        <v>000016C0</v>
      </c>
      <c r="I107" s="94" t="str">
        <f t="shared" si="5"/>
        <v/>
      </c>
    </row>
    <row r="108" spans="1:9" x14ac:dyDescent="0.25">
      <c r="A108" s="96" t="str">
        <f>IF(I108&lt;&gt;"",MAX(A$1:A107)+1,"")</f>
        <v/>
      </c>
      <c r="B108" s="74" t="s">
        <v>1460</v>
      </c>
      <c r="C108" s="103" t="s">
        <v>57</v>
      </c>
      <c r="D108" s="103">
        <f t="shared" si="6"/>
        <v>4</v>
      </c>
      <c r="E108" s="89" t="s">
        <v>1591</v>
      </c>
      <c r="G108" s="103">
        <f>ROUND((32768/BASE_FLUX) * MTPAFlux_49,0)</f>
        <v>13892</v>
      </c>
      <c r="H108" s="94" t="str">
        <f>IF(G108&lt;&gt;"",IF(C108="float32",FLOAT2HEX(G108),DEC2HEX(G108,8)),"")</f>
        <v>00003644</v>
      </c>
      <c r="I108" s="94" t="str">
        <f t="shared" si="5"/>
        <v/>
      </c>
    </row>
    <row r="109" spans="1:9" x14ac:dyDescent="0.25">
      <c r="A109" s="96" t="str">
        <f>IF(I109&lt;&gt;"",MAX(A$1:A108)+1,"")</f>
        <v/>
      </c>
      <c r="B109" s="97" t="s">
        <v>1380</v>
      </c>
      <c r="C109" s="103" t="s">
        <v>57</v>
      </c>
      <c r="D109" s="103">
        <f t="shared" si="6"/>
        <v>4</v>
      </c>
      <c r="E109" s="89" t="s">
        <v>1592</v>
      </c>
      <c r="G109" s="103">
        <f>ROUND((32768/BASE_TORQ) * MTPATorque_50,0)</f>
        <v>5943</v>
      </c>
      <c r="H109" s="94" t="str">
        <f>IF(G109&lt;&gt;"",IF(C109="float32",FLOAT2HEX(G109),DEC2HEX(G109,8)),"")</f>
        <v>00001737</v>
      </c>
      <c r="I109" s="94" t="str">
        <f t="shared" si="5"/>
        <v/>
      </c>
    </row>
    <row r="110" spans="1:9" x14ac:dyDescent="0.25">
      <c r="A110" s="96" t="str">
        <f>IF(I110&lt;&gt;"",MAX(A$1:A109)+1,"")</f>
        <v/>
      </c>
      <c r="B110" s="74" t="s">
        <v>1461</v>
      </c>
      <c r="C110" s="103" t="s">
        <v>57</v>
      </c>
      <c r="D110" s="103">
        <f t="shared" si="6"/>
        <v>4</v>
      </c>
      <c r="E110" s="89" t="s">
        <v>1593</v>
      </c>
      <c r="G110" s="103">
        <f>ROUND((32768/BASE_FLUX) * MTPAFlux_50,0)</f>
        <v>14071</v>
      </c>
      <c r="H110" s="94" t="str">
        <f>IF(G110&lt;&gt;"",IF(C110="float32",FLOAT2HEX(G110),DEC2HEX(G110,8)),"")</f>
        <v>000036F7</v>
      </c>
      <c r="I110" s="94" t="str">
        <f t="shared" si="5"/>
        <v/>
      </c>
    </row>
    <row r="111" spans="1:9" x14ac:dyDescent="0.25">
      <c r="A111" s="96" t="str">
        <f>IF(I111&lt;&gt;"",MAX(A$1:A110)+1,"")</f>
        <v/>
      </c>
      <c r="B111" s="97" t="s">
        <v>1381</v>
      </c>
      <c r="C111" s="103" t="s">
        <v>57</v>
      </c>
      <c r="D111" s="103">
        <f t="shared" si="6"/>
        <v>4</v>
      </c>
      <c r="E111" s="89" t="s">
        <v>1594</v>
      </c>
      <c r="G111" s="103">
        <f>ROUND((32768/BASE_TORQ) * MTPATorque_51,0)</f>
        <v>6062</v>
      </c>
      <c r="H111" s="94" t="str">
        <f>IF(G111&lt;&gt;"",IF(C111="float32",FLOAT2HEX(G111),DEC2HEX(G111,8)),"")</f>
        <v>000017AE</v>
      </c>
      <c r="I111" s="94" t="str">
        <f t="shared" si="5"/>
        <v/>
      </c>
    </row>
    <row r="112" spans="1:9" x14ac:dyDescent="0.25">
      <c r="A112" s="96" t="str">
        <f>IF(I112&lt;&gt;"",MAX(A$1:A111)+1,"")</f>
        <v/>
      </c>
      <c r="B112" s="74" t="s">
        <v>1462</v>
      </c>
      <c r="C112" s="103" t="s">
        <v>57</v>
      </c>
      <c r="D112" s="103">
        <f t="shared" si="6"/>
        <v>4</v>
      </c>
      <c r="E112" s="89" t="s">
        <v>1595</v>
      </c>
      <c r="G112" s="103">
        <f>ROUND((32768/BASE_FLUX) * MTPAFlux_51,0)</f>
        <v>14250</v>
      </c>
      <c r="H112" s="94" t="str">
        <f>IF(G112&lt;&gt;"",IF(C112="float32",FLOAT2HEX(G112),DEC2HEX(G112,8)),"")</f>
        <v>000037AA</v>
      </c>
      <c r="I112" s="94" t="str">
        <f t="shared" si="5"/>
        <v/>
      </c>
    </row>
    <row r="113" spans="1:9" x14ac:dyDescent="0.25">
      <c r="A113" s="96" t="str">
        <f>IF(I113&lt;&gt;"",MAX(A$1:A112)+1,"")</f>
        <v/>
      </c>
      <c r="B113" s="97" t="s">
        <v>1382</v>
      </c>
      <c r="C113" s="103" t="s">
        <v>57</v>
      </c>
      <c r="D113" s="103">
        <f t="shared" si="6"/>
        <v>4</v>
      </c>
      <c r="E113" s="89" t="s">
        <v>1596</v>
      </c>
      <c r="G113" s="103">
        <f>ROUND((32768/BASE_TORQ) * MTPATorque_52,0)</f>
        <v>6180</v>
      </c>
      <c r="H113" s="94" t="str">
        <f>IF(G113&lt;&gt;"",IF(C113="float32",FLOAT2HEX(G113),DEC2HEX(G113,8)),"")</f>
        <v>00001824</v>
      </c>
      <c r="I113" s="94" t="str">
        <f t="shared" si="5"/>
        <v/>
      </c>
    </row>
    <row r="114" spans="1:9" x14ac:dyDescent="0.25">
      <c r="A114" s="96" t="str">
        <f>IF(I114&lt;&gt;"",MAX(A$1:A113)+1,"")</f>
        <v/>
      </c>
      <c r="B114" s="74" t="s">
        <v>1463</v>
      </c>
      <c r="C114" s="103" t="s">
        <v>57</v>
      </c>
      <c r="D114" s="103">
        <f t="shared" si="6"/>
        <v>4</v>
      </c>
      <c r="E114" s="89" t="s">
        <v>1597</v>
      </c>
      <c r="G114" s="103">
        <f>ROUND((32768/BASE_FLUX) * MTPAFlux_52,0)</f>
        <v>14430</v>
      </c>
      <c r="H114" s="94" t="str">
        <f>IF(G114&lt;&gt;"",IF(C114="float32",FLOAT2HEX(G114),DEC2HEX(G114,8)),"")</f>
        <v>0000385E</v>
      </c>
      <c r="I114" s="94" t="str">
        <f t="shared" si="5"/>
        <v/>
      </c>
    </row>
    <row r="115" spans="1:9" x14ac:dyDescent="0.25">
      <c r="A115" s="96" t="str">
        <f>IF(I115&lt;&gt;"",MAX(A$1:A114)+1,"")</f>
        <v/>
      </c>
      <c r="B115" s="97" t="s">
        <v>1383</v>
      </c>
      <c r="C115" s="103" t="s">
        <v>57</v>
      </c>
      <c r="D115" s="103">
        <f t="shared" si="6"/>
        <v>4</v>
      </c>
      <c r="E115" s="89" t="s">
        <v>1598</v>
      </c>
      <c r="G115" s="103">
        <f>ROUND((32768/BASE_TORQ) * MTPATorque_53,0)</f>
        <v>6299</v>
      </c>
      <c r="H115" s="94" t="str">
        <f>IF(G115&lt;&gt;"",IF(C115="float32",FLOAT2HEX(G115),DEC2HEX(G115,8)),"")</f>
        <v>0000189B</v>
      </c>
      <c r="I115" s="94" t="str">
        <f t="shared" si="5"/>
        <v/>
      </c>
    </row>
    <row r="116" spans="1:9" x14ac:dyDescent="0.25">
      <c r="A116" s="96" t="str">
        <f>IF(I116&lt;&gt;"",MAX(A$1:A115)+1,"")</f>
        <v/>
      </c>
      <c r="B116" s="74" t="s">
        <v>1464</v>
      </c>
      <c r="C116" s="103" t="s">
        <v>57</v>
      </c>
      <c r="D116" s="103">
        <f t="shared" si="6"/>
        <v>4</v>
      </c>
      <c r="E116" s="89" t="s">
        <v>1599</v>
      </c>
      <c r="G116" s="103">
        <f>ROUND((32768/BASE_FLUX) * MTPAFlux_53,0)</f>
        <v>14609</v>
      </c>
      <c r="H116" s="94" t="str">
        <f>IF(G116&lt;&gt;"",IF(C116="float32",FLOAT2HEX(G116),DEC2HEX(G116,8)),"")</f>
        <v>00003911</v>
      </c>
      <c r="I116" s="94" t="str">
        <f t="shared" si="5"/>
        <v/>
      </c>
    </row>
    <row r="117" spans="1:9" x14ac:dyDescent="0.25">
      <c r="A117" s="96" t="str">
        <f>IF(I117&lt;&gt;"",MAX(A$1:A116)+1,"")</f>
        <v/>
      </c>
      <c r="B117" s="97" t="s">
        <v>1384</v>
      </c>
      <c r="C117" s="103" t="s">
        <v>57</v>
      </c>
      <c r="D117" s="103">
        <f t="shared" si="6"/>
        <v>4</v>
      </c>
      <c r="E117" s="89" t="s">
        <v>1600</v>
      </c>
      <c r="G117" s="103">
        <f>ROUND((32768/BASE_TORQ) * MTPATorque_54,0)</f>
        <v>6418</v>
      </c>
      <c r="H117" s="94" t="str">
        <f>IF(G117&lt;&gt;"",IF(C117="float32",FLOAT2HEX(G117),DEC2HEX(G117,8)),"")</f>
        <v>00001912</v>
      </c>
      <c r="I117" s="94" t="str">
        <f t="shared" si="5"/>
        <v/>
      </c>
    </row>
    <row r="118" spans="1:9" x14ac:dyDescent="0.25">
      <c r="A118" s="96" t="str">
        <f>IF(I118&lt;&gt;"",MAX(A$1:A117)+1,"")</f>
        <v/>
      </c>
      <c r="B118" s="74" t="s">
        <v>1465</v>
      </c>
      <c r="C118" s="103" t="s">
        <v>57</v>
      </c>
      <c r="D118" s="103">
        <f t="shared" si="6"/>
        <v>4</v>
      </c>
      <c r="E118" s="89" t="s">
        <v>1601</v>
      </c>
      <c r="G118" s="103">
        <f>ROUND((32768/BASE_FLUX) * MTPAFlux_54,0)</f>
        <v>14798</v>
      </c>
      <c r="H118" s="94" t="str">
        <f>IF(G118&lt;&gt;"",IF(C118="float32",FLOAT2HEX(G118),DEC2HEX(G118,8)),"")</f>
        <v>000039CE</v>
      </c>
      <c r="I118" s="94" t="str">
        <f t="shared" si="5"/>
        <v/>
      </c>
    </row>
    <row r="119" spans="1:9" x14ac:dyDescent="0.25">
      <c r="A119" s="96" t="str">
        <f>IF(I119&lt;&gt;"",MAX(A$1:A118)+1,"")</f>
        <v/>
      </c>
      <c r="B119" s="97" t="s">
        <v>1385</v>
      </c>
      <c r="C119" s="103" t="s">
        <v>57</v>
      </c>
      <c r="D119" s="103">
        <f t="shared" si="6"/>
        <v>4</v>
      </c>
      <c r="E119" s="89" t="s">
        <v>1602</v>
      </c>
      <c r="G119" s="103">
        <f>ROUND((32768/BASE_TORQ) * MTPATorque_55,0)</f>
        <v>6537</v>
      </c>
      <c r="H119" s="94" t="str">
        <f>IF(G119&lt;&gt;"",IF(C119="float32",FLOAT2HEX(G119),DEC2HEX(G119,8)),"")</f>
        <v>00001989</v>
      </c>
      <c r="I119" s="94" t="str">
        <f t="shared" si="5"/>
        <v/>
      </c>
    </row>
    <row r="120" spans="1:9" x14ac:dyDescent="0.25">
      <c r="A120" s="96" t="str">
        <f>IF(I120&lt;&gt;"",MAX(A$1:A119)+1,"")</f>
        <v/>
      </c>
      <c r="B120" s="74" t="s">
        <v>1466</v>
      </c>
      <c r="C120" s="103" t="s">
        <v>57</v>
      </c>
      <c r="D120" s="103">
        <f t="shared" si="6"/>
        <v>4</v>
      </c>
      <c r="E120" s="89" t="s">
        <v>1603</v>
      </c>
      <c r="G120" s="103">
        <f>ROUND((32768/BASE_FLUX) * MTPAFlux_55,0)</f>
        <v>14988</v>
      </c>
      <c r="H120" s="94" t="str">
        <f>IF(G120&lt;&gt;"",IF(C120="float32",FLOAT2HEX(G120),DEC2HEX(G120,8)),"")</f>
        <v>00003A8C</v>
      </c>
      <c r="I120" s="94" t="str">
        <f t="shared" si="5"/>
        <v/>
      </c>
    </row>
    <row r="121" spans="1:9" x14ac:dyDescent="0.25">
      <c r="A121" s="96" t="str">
        <f>IF(I121&lt;&gt;"",MAX(A$1:A120)+1,"")</f>
        <v/>
      </c>
      <c r="B121" s="97" t="s">
        <v>1386</v>
      </c>
      <c r="C121" s="103" t="s">
        <v>57</v>
      </c>
      <c r="D121" s="103">
        <f t="shared" si="6"/>
        <v>4</v>
      </c>
      <c r="E121" s="89" t="s">
        <v>1604</v>
      </c>
      <c r="G121" s="103">
        <f>ROUND((32768/BASE_TORQ) * MTPATorque_56,0)</f>
        <v>6656</v>
      </c>
      <c r="H121" s="94" t="str">
        <f>IF(G121&lt;&gt;"",IF(C121="float32",FLOAT2HEX(G121),DEC2HEX(G121,8)),"")</f>
        <v>00001A00</v>
      </c>
      <c r="I121" s="94" t="str">
        <f t="shared" si="5"/>
        <v/>
      </c>
    </row>
    <row r="122" spans="1:9" x14ac:dyDescent="0.25">
      <c r="A122" s="96" t="str">
        <f>IF(I122&lt;&gt;"",MAX(A$1:A121)+1,"")</f>
        <v/>
      </c>
      <c r="B122" s="74" t="s">
        <v>1467</v>
      </c>
      <c r="C122" s="103" t="s">
        <v>57</v>
      </c>
      <c r="D122" s="103">
        <f t="shared" si="6"/>
        <v>4</v>
      </c>
      <c r="E122" s="89" t="s">
        <v>1605</v>
      </c>
      <c r="G122" s="103">
        <f>ROUND((32768/BASE_FLUX) * MTPAFlux_56,0)</f>
        <v>15167</v>
      </c>
      <c r="H122" s="94" t="str">
        <f>IF(G122&lt;&gt;"",IF(C122="float32",FLOAT2HEX(G122),DEC2HEX(G122,8)),"")</f>
        <v>00003B3F</v>
      </c>
      <c r="I122" s="94" t="str">
        <f t="shared" si="5"/>
        <v/>
      </c>
    </row>
    <row r="123" spans="1:9" x14ac:dyDescent="0.25">
      <c r="A123" s="96" t="str">
        <f>IF(I123&lt;&gt;"",MAX(A$1:A122)+1,"")</f>
        <v/>
      </c>
      <c r="B123" s="97" t="s">
        <v>1387</v>
      </c>
      <c r="C123" s="103" t="s">
        <v>57</v>
      </c>
      <c r="D123" s="103">
        <f t="shared" si="6"/>
        <v>4</v>
      </c>
      <c r="E123" s="89" t="s">
        <v>1606</v>
      </c>
      <c r="G123" s="103">
        <f>ROUND((32768/BASE_TORQ) * MTPATorque_57,0)</f>
        <v>6775</v>
      </c>
      <c r="H123" s="94" t="str">
        <f>IF(G123&lt;&gt;"",IF(C123="float32",FLOAT2HEX(G123),DEC2HEX(G123,8)),"")</f>
        <v>00001A77</v>
      </c>
      <c r="I123" s="94" t="str">
        <f t="shared" si="5"/>
        <v/>
      </c>
    </row>
    <row r="124" spans="1:9" x14ac:dyDescent="0.25">
      <c r="A124" s="96" t="str">
        <f>IF(I124&lt;&gt;"",MAX(A$1:A123)+1,"")</f>
        <v/>
      </c>
      <c r="B124" s="74" t="s">
        <v>1468</v>
      </c>
      <c r="C124" s="103" t="s">
        <v>57</v>
      </c>
      <c r="D124" s="103">
        <f t="shared" si="6"/>
        <v>4</v>
      </c>
      <c r="E124" s="89" t="s">
        <v>1607</v>
      </c>
      <c r="G124" s="103">
        <f>ROUND((32768/BASE_FLUX) * MTPAFlux_57,0)</f>
        <v>15356</v>
      </c>
      <c r="H124" s="94" t="str">
        <f>IF(G124&lt;&gt;"",IF(C124="float32",FLOAT2HEX(G124),DEC2HEX(G124,8)),"")</f>
        <v>00003BFC</v>
      </c>
      <c r="I124" s="94" t="str">
        <f t="shared" si="5"/>
        <v/>
      </c>
    </row>
    <row r="125" spans="1:9" x14ac:dyDescent="0.25">
      <c r="A125" s="96" t="str">
        <f>IF(I125&lt;&gt;"",MAX(A$1:A124)+1,"")</f>
        <v/>
      </c>
      <c r="B125" s="97" t="s">
        <v>1388</v>
      </c>
      <c r="C125" s="103" t="s">
        <v>57</v>
      </c>
      <c r="D125" s="103">
        <f t="shared" si="6"/>
        <v>4</v>
      </c>
      <c r="E125" s="89" t="s">
        <v>1608</v>
      </c>
      <c r="G125" s="103">
        <f>ROUND((32768/BASE_TORQ) * MTPATorque_58,0)</f>
        <v>6894</v>
      </c>
      <c r="H125" s="94" t="str">
        <f>IF(G125&lt;&gt;"",IF(C125="float32",FLOAT2HEX(G125),DEC2HEX(G125,8)),"")</f>
        <v>00001AEE</v>
      </c>
      <c r="I125" s="94" t="str">
        <f t="shared" si="5"/>
        <v/>
      </c>
    </row>
    <row r="126" spans="1:9" x14ac:dyDescent="0.25">
      <c r="A126" s="96" t="str">
        <f>IF(I126&lt;&gt;"",MAX(A$1:A125)+1,"")</f>
        <v/>
      </c>
      <c r="B126" s="74" t="s">
        <v>1469</v>
      </c>
      <c r="C126" s="103" t="s">
        <v>57</v>
      </c>
      <c r="D126" s="103">
        <f t="shared" si="6"/>
        <v>4</v>
      </c>
      <c r="E126" s="89" t="s">
        <v>1609</v>
      </c>
      <c r="G126" s="103">
        <f>ROUND((32768/BASE_FLUX) * MTPAFlux_58,0)</f>
        <v>15556</v>
      </c>
      <c r="H126" s="94" t="str">
        <f>IF(G126&lt;&gt;"",IF(C126="float32",FLOAT2HEX(G126),DEC2HEX(G126,8)),"")</f>
        <v>00003CC4</v>
      </c>
      <c r="I126" s="94" t="str">
        <f t="shared" si="5"/>
        <v/>
      </c>
    </row>
    <row r="127" spans="1:9" x14ac:dyDescent="0.25">
      <c r="A127" s="96" t="str">
        <f>IF(I127&lt;&gt;"",MAX(A$1:A126)+1,"")</f>
        <v/>
      </c>
      <c r="B127" s="97" t="s">
        <v>1389</v>
      </c>
      <c r="C127" s="103" t="s">
        <v>57</v>
      </c>
      <c r="D127" s="103">
        <f t="shared" si="6"/>
        <v>4</v>
      </c>
      <c r="E127" s="89" t="s">
        <v>1610</v>
      </c>
      <c r="G127" s="103">
        <f>ROUND((32768/BASE_TORQ) * MTPATorque_59,0)</f>
        <v>7012</v>
      </c>
      <c r="H127" s="94" t="str">
        <f>IF(G127&lt;&gt;"",IF(C127="float32",FLOAT2HEX(G127),DEC2HEX(G127,8)),"")</f>
        <v>00001B64</v>
      </c>
      <c r="I127" s="94" t="str">
        <f t="shared" si="5"/>
        <v/>
      </c>
    </row>
    <row r="128" spans="1:9" x14ac:dyDescent="0.25">
      <c r="A128" s="96" t="str">
        <f>IF(I128&lt;&gt;"",MAX(A$1:A127)+1,"")</f>
        <v/>
      </c>
      <c r="B128" s="74" t="s">
        <v>1470</v>
      </c>
      <c r="C128" s="103" t="s">
        <v>57</v>
      </c>
      <c r="D128" s="103">
        <f t="shared" si="6"/>
        <v>4</v>
      </c>
      <c r="E128" s="89" t="s">
        <v>1611</v>
      </c>
      <c r="G128" s="103">
        <f>ROUND((32768/BASE_FLUX) * MTPAFlux_59,0)</f>
        <v>15745</v>
      </c>
      <c r="H128" s="94" t="str">
        <f>IF(G128&lt;&gt;"",IF(C128="float32",FLOAT2HEX(G128),DEC2HEX(G128,8)),"")</f>
        <v>00003D81</v>
      </c>
      <c r="I128" s="94" t="str">
        <f t="shared" si="5"/>
        <v/>
      </c>
    </row>
    <row r="129" spans="1:9" x14ac:dyDescent="0.25">
      <c r="A129" s="96" t="str">
        <f>IF(I129&lt;&gt;"",MAX(A$1:A128)+1,"")</f>
        <v/>
      </c>
      <c r="B129" s="97" t="s">
        <v>1390</v>
      </c>
      <c r="C129" s="103" t="s">
        <v>57</v>
      </c>
      <c r="D129" s="103">
        <f t="shared" si="6"/>
        <v>4</v>
      </c>
      <c r="E129" s="89" t="s">
        <v>1612</v>
      </c>
      <c r="G129" s="103">
        <f>ROUND((32768/BASE_TORQ) * MTPATorque_60,0)</f>
        <v>7131</v>
      </c>
      <c r="H129" s="94" t="str">
        <f>IF(G129&lt;&gt;"",IF(C129="float32",FLOAT2HEX(G129),DEC2HEX(G129,8)),"")</f>
        <v>00001BDB</v>
      </c>
      <c r="I129" s="94" t="str">
        <f t="shared" si="5"/>
        <v/>
      </c>
    </row>
    <row r="130" spans="1:9" x14ac:dyDescent="0.25">
      <c r="A130" s="96" t="str">
        <f>IF(I130&lt;&gt;"",MAX(A$1:A129)+1,"")</f>
        <v/>
      </c>
      <c r="B130" s="74" t="s">
        <v>1471</v>
      </c>
      <c r="C130" s="103" t="s">
        <v>57</v>
      </c>
      <c r="D130" s="103">
        <f t="shared" si="6"/>
        <v>4</v>
      </c>
      <c r="E130" s="89" t="s">
        <v>1613</v>
      </c>
      <c r="G130" s="103">
        <f>ROUND((32768/BASE_FLUX) * MTPAFlux_60,0)</f>
        <v>15934</v>
      </c>
      <c r="H130" s="94" t="str">
        <f>IF(G130&lt;&gt;"",IF(C130="float32",FLOAT2HEX(G130),DEC2HEX(G130,8)),"")</f>
        <v>00003E3E</v>
      </c>
      <c r="I130" s="94" t="str">
        <f t="shared" si="5"/>
        <v/>
      </c>
    </row>
    <row r="131" spans="1:9" x14ac:dyDescent="0.25">
      <c r="A131" s="96" t="str">
        <f>IF(I131&lt;&gt;"",MAX(A$1:A130)+1,"")</f>
        <v/>
      </c>
      <c r="B131" s="97" t="s">
        <v>1391</v>
      </c>
      <c r="C131" s="103" t="s">
        <v>57</v>
      </c>
      <c r="D131" s="103">
        <f t="shared" si="6"/>
        <v>4</v>
      </c>
      <c r="E131" s="89" t="s">
        <v>1614</v>
      </c>
      <c r="G131" s="103">
        <f>ROUND((32768/BASE_TORQ) * MTPATorque_61,0)</f>
        <v>7250</v>
      </c>
      <c r="H131" s="94" t="str">
        <f>IF(G131&lt;&gt;"",IF(C131="float32",FLOAT2HEX(G131),DEC2HEX(G131,8)),"")</f>
        <v>00001C52</v>
      </c>
      <c r="I131" s="94" t="str">
        <f t="shared" si="5"/>
        <v/>
      </c>
    </row>
    <row r="132" spans="1:9" x14ac:dyDescent="0.25">
      <c r="A132" s="96" t="str">
        <f>IF(I132&lt;&gt;"",MAX(A$1:A131)+1,"")</f>
        <v/>
      </c>
      <c r="B132" s="74" t="s">
        <v>1472</v>
      </c>
      <c r="C132" s="103" t="s">
        <v>57</v>
      </c>
      <c r="D132" s="103">
        <f t="shared" si="6"/>
        <v>4</v>
      </c>
      <c r="E132" s="89" t="s">
        <v>1615</v>
      </c>
      <c r="G132" s="103">
        <f>ROUND((32768/BASE_FLUX) * MTPAFlux_61,0)</f>
        <v>16134</v>
      </c>
      <c r="H132" s="94" t="str">
        <f>IF(G132&lt;&gt;"",IF(C132="float32",FLOAT2HEX(G132),DEC2HEX(G132,8)),"")</f>
        <v>00003F06</v>
      </c>
      <c r="I132" s="94" t="str">
        <f t="shared" si="5"/>
        <v/>
      </c>
    </row>
    <row r="133" spans="1:9" x14ac:dyDescent="0.25">
      <c r="A133" s="96" t="str">
        <f>IF(I133&lt;&gt;"",MAX(A$1:A132)+1,"")</f>
        <v/>
      </c>
      <c r="B133" s="97" t="s">
        <v>1392</v>
      </c>
      <c r="C133" s="103" t="s">
        <v>57</v>
      </c>
      <c r="D133" s="103">
        <f t="shared" si="6"/>
        <v>4</v>
      </c>
      <c r="E133" s="89" t="s">
        <v>1616</v>
      </c>
      <c r="G133" s="103">
        <f>ROUND((32768/BASE_TORQ) * MTPATorque_62,0)</f>
        <v>7369</v>
      </c>
      <c r="H133" s="94" t="str">
        <f>IF(G133&lt;&gt;"",IF(C133="float32",FLOAT2HEX(G133),DEC2HEX(G133,8)),"")</f>
        <v>00001CC9</v>
      </c>
      <c r="I133" s="94" t="str">
        <f t="shared" si="5"/>
        <v/>
      </c>
    </row>
    <row r="134" spans="1:9" x14ac:dyDescent="0.25">
      <c r="A134" s="96" t="str">
        <f>IF(I134&lt;&gt;"",MAX(A$1:A133)+1,"")</f>
        <v/>
      </c>
      <c r="B134" s="74" t="s">
        <v>1473</v>
      </c>
      <c r="C134" s="103" t="s">
        <v>57</v>
      </c>
      <c r="D134" s="103">
        <f t="shared" si="6"/>
        <v>4</v>
      </c>
      <c r="E134" s="89" t="s">
        <v>1617</v>
      </c>
      <c r="G134" s="103">
        <f>ROUND((32768/BASE_FLUX) * MTPAFlux_62,0)</f>
        <v>16323</v>
      </c>
      <c r="H134" s="94" t="str">
        <f>IF(G134&lt;&gt;"",IF(C134="float32",FLOAT2HEX(G134),DEC2HEX(G134,8)),"")</f>
        <v>00003FC3</v>
      </c>
      <c r="I134" s="94" t="str">
        <f t="shared" si="5"/>
        <v/>
      </c>
    </row>
    <row r="135" spans="1:9" x14ac:dyDescent="0.25">
      <c r="A135" s="96" t="str">
        <f>IF(I135&lt;&gt;"",MAX(A$1:A134)+1,"")</f>
        <v/>
      </c>
      <c r="B135" s="97" t="s">
        <v>1393</v>
      </c>
      <c r="C135" s="103" t="s">
        <v>57</v>
      </c>
      <c r="D135" s="103">
        <f t="shared" si="6"/>
        <v>4</v>
      </c>
      <c r="E135" s="89" t="s">
        <v>1618</v>
      </c>
      <c r="G135" s="103">
        <f>ROUND((32768/BASE_TORQ) * MTPATorque_63,0)</f>
        <v>7488</v>
      </c>
      <c r="H135" s="94" t="str">
        <f>IF(G135&lt;&gt;"",IF(C135="float32",FLOAT2HEX(G135),DEC2HEX(G135,8)),"")</f>
        <v>00001D40</v>
      </c>
      <c r="I135" s="94" t="str">
        <f t="shared" si="5"/>
        <v/>
      </c>
    </row>
    <row r="136" spans="1:9" x14ac:dyDescent="0.25">
      <c r="A136" s="96" t="str">
        <f>IF(I136&lt;&gt;"",MAX(A$1:A135)+1,"")</f>
        <v/>
      </c>
      <c r="B136" s="74" t="s">
        <v>1474</v>
      </c>
      <c r="C136" s="103" t="s">
        <v>57</v>
      </c>
      <c r="D136" s="103">
        <f t="shared" si="6"/>
        <v>4</v>
      </c>
      <c r="E136" s="89" t="s">
        <v>1619</v>
      </c>
      <c r="G136" s="103">
        <f>ROUND((32768/BASE_FLUX) * MTPAFlux_63,0)</f>
        <v>16512</v>
      </c>
      <c r="H136" s="94" t="str">
        <f>IF(G136&lt;&gt;"",IF(C136="float32",FLOAT2HEX(G136),DEC2HEX(G136,8)),"")</f>
        <v>00004080</v>
      </c>
      <c r="I136" s="94" t="str">
        <f t="shared" si="5"/>
        <v/>
      </c>
    </row>
    <row r="137" spans="1:9" x14ac:dyDescent="0.25">
      <c r="A137" s="96" t="str">
        <f>IF(I137&lt;&gt;"",MAX(A$1:A136)+1,"")</f>
        <v/>
      </c>
      <c r="B137" s="97" t="s">
        <v>1394</v>
      </c>
      <c r="C137" s="103" t="s">
        <v>57</v>
      </c>
      <c r="D137" s="103">
        <f t="shared" si="6"/>
        <v>4</v>
      </c>
      <c r="E137" s="89" t="s">
        <v>1620</v>
      </c>
      <c r="G137" s="103">
        <f>ROUND((32768/BASE_TORQ) * MTPATorque_64,0)</f>
        <v>7607</v>
      </c>
      <c r="H137" s="94" t="str">
        <f>IF(G137&lt;&gt;"",IF(C137="float32",FLOAT2HEX(G137),DEC2HEX(G137,8)),"")</f>
        <v>00001DB7</v>
      </c>
      <c r="I137" s="94" t="str">
        <f t="shared" si="5"/>
        <v/>
      </c>
    </row>
    <row r="138" spans="1:9" x14ac:dyDescent="0.25">
      <c r="A138" s="96" t="str">
        <f>IF(I138&lt;&gt;"",MAX(A$1:A137)+1,"")</f>
        <v/>
      </c>
      <c r="B138" s="74" t="s">
        <v>1475</v>
      </c>
      <c r="C138" s="103" t="s">
        <v>57</v>
      </c>
      <c r="D138" s="103">
        <f t="shared" si="6"/>
        <v>4</v>
      </c>
      <c r="E138" s="89" t="s">
        <v>1621</v>
      </c>
      <c r="G138" s="103">
        <f>ROUND((32768/BASE_FLUX) * MTPAFlux_64,0)</f>
        <v>16712</v>
      </c>
      <c r="H138" s="94" t="str">
        <f>IF(G138&lt;&gt;"",IF(C138="float32",FLOAT2HEX(G138),DEC2HEX(G138,8)),"")</f>
        <v>00004148</v>
      </c>
      <c r="I138" s="94" t="str">
        <f t="shared" ref="I138:I170" si="7">IF(AND(G138&lt;&gt;"",(ROW()-8)&lt;(($G$7+1)*2+1)),HEX2DEC(H138),"")</f>
        <v/>
      </c>
    </row>
    <row r="139" spans="1:9" x14ac:dyDescent="0.25">
      <c r="A139" s="96" t="str">
        <f>IF(I139&lt;&gt;"",MAX(A$1:A138)+1,"")</f>
        <v/>
      </c>
      <c r="B139" s="97" t="s">
        <v>1395</v>
      </c>
      <c r="C139" s="103" t="s">
        <v>57</v>
      </c>
      <c r="D139" s="103">
        <f t="shared" si="6"/>
        <v>4</v>
      </c>
      <c r="E139" s="89" t="s">
        <v>1622</v>
      </c>
      <c r="G139" s="103">
        <f>ROUND((32768/BASE_TORQ) * MTPATorque_65,0)</f>
        <v>7726</v>
      </c>
      <c r="H139" s="94" t="str">
        <f>IF(G139&lt;&gt;"",IF(C139="float32",FLOAT2HEX(G139),DEC2HEX(G139,8)),"")</f>
        <v>00001E2E</v>
      </c>
      <c r="I139" s="94" t="str">
        <f t="shared" si="7"/>
        <v/>
      </c>
    </row>
    <row r="140" spans="1:9" x14ac:dyDescent="0.25">
      <c r="A140" s="96" t="str">
        <f>IF(I140&lt;&gt;"",MAX(A$1:A139)+1,"")</f>
        <v/>
      </c>
      <c r="B140" s="74" t="s">
        <v>1476</v>
      </c>
      <c r="C140" s="103" t="s">
        <v>57</v>
      </c>
      <c r="D140" s="103">
        <f t="shared" si="6"/>
        <v>4</v>
      </c>
      <c r="E140" s="89" t="s">
        <v>1623</v>
      </c>
      <c r="G140" s="103">
        <f>ROUND((32768/BASE_FLUX) * MTPAFlux_65,0)</f>
        <v>16911</v>
      </c>
      <c r="H140" s="94" t="str">
        <f>IF(G140&lt;&gt;"",IF(C140="float32",FLOAT2HEX(G140),DEC2HEX(G140,8)),"")</f>
        <v>0000420F</v>
      </c>
      <c r="I140" s="94" t="str">
        <f t="shared" si="7"/>
        <v/>
      </c>
    </row>
    <row r="141" spans="1:9" x14ac:dyDescent="0.25">
      <c r="A141" s="96" t="str">
        <f>IF(I141&lt;&gt;"",MAX(A$1:A140)+1,"")</f>
        <v/>
      </c>
      <c r="B141" s="97" t="s">
        <v>1396</v>
      </c>
      <c r="C141" s="103" t="s">
        <v>57</v>
      </c>
      <c r="D141" s="103">
        <f t="shared" si="6"/>
        <v>4</v>
      </c>
      <c r="E141" s="89" t="s">
        <v>1624</v>
      </c>
      <c r="G141" s="103">
        <f>ROUND((32768/BASE_TORQ) * MTPATorque_66,0)</f>
        <v>7844</v>
      </c>
      <c r="H141" s="94" t="str">
        <f>IF(G141&lt;&gt;"",IF(C141="float32",FLOAT2HEX(G141),DEC2HEX(G141,8)),"")</f>
        <v>00001EA4</v>
      </c>
      <c r="I141" s="94" t="str">
        <f t="shared" si="7"/>
        <v/>
      </c>
    </row>
    <row r="142" spans="1:9" x14ac:dyDescent="0.25">
      <c r="A142" s="96" t="str">
        <f>IF(I142&lt;&gt;"",MAX(A$1:A141)+1,"")</f>
        <v/>
      </c>
      <c r="B142" s="74" t="s">
        <v>1477</v>
      </c>
      <c r="C142" s="103" t="s">
        <v>57</v>
      </c>
      <c r="D142" s="103">
        <f t="shared" si="6"/>
        <v>4</v>
      </c>
      <c r="E142" s="89" t="s">
        <v>1625</v>
      </c>
      <c r="G142" s="103">
        <f>ROUND((32768/BASE_FLUX) * MTPAFlux_66,0)</f>
        <v>17110</v>
      </c>
      <c r="H142" s="94" t="str">
        <f>IF(G142&lt;&gt;"",IF(C142="float32",FLOAT2HEX(G142),DEC2HEX(G142,8)),"")</f>
        <v>000042D6</v>
      </c>
      <c r="I142" s="94" t="str">
        <f t="shared" si="7"/>
        <v/>
      </c>
    </row>
    <row r="143" spans="1:9" x14ac:dyDescent="0.25">
      <c r="A143" s="96" t="str">
        <f>IF(I143&lt;&gt;"",MAX(A$1:A142)+1,"")</f>
        <v/>
      </c>
      <c r="B143" s="97" t="s">
        <v>1397</v>
      </c>
      <c r="C143" s="103" t="s">
        <v>57</v>
      </c>
      <c r="D143" s="103">
        <f t="shared" si="6"/>
        <v>4</v>
      </c>
      <c r="E143" s="89" t="s">
        <v>1626</v>
      </c>
      <c r="G143" s="103">
        <f>ROUND((32768/BASE_TORQ) * MTPATorque_67,0)</f>
        <v>7963</v>
      </c>
      <c r="H143" s="94" t="str">
        <f>IF(G143&lt;&gt;"",IF(C143="float32",FLOAT2HEX(G143),DEC2HEX(G143,8)),"")</f>
        <v>00001F1B</v>
      </c>
      <c r="I143" s="94" t="str">
        <f t="shared" si="7"/>
        <v/>
      </c>
    </row>
    <row r="144" spans="1:9" x14ac:dyDescent="0.25">
      <c r="A144" s="96" t="str">
        <f>IF(I144&lt;&gt;"",MAX(A$1:A143)+1,"")</f>
        <v/>
      </c>
      <c r="B144" s="74" t="s">
        <v>1478</v>
      </c>
      <c r="C144" s="103" t="s">
        <v>57</v>
      </c>
      <c r="D144" s="103">
        <f t="shared" si="6"/>
        <v>4</v>
      </c>
      <c r="E144" s="89" t="s">
        <v>1627</v>
      </c>
      <c r="G144" s="103">
        <f>ROUND((32768/BASE_FLUX) * MTPAFlux_67,0)</f>
        <v>17300</v>
      </c>
      <c r="H144" s="94" t="str">
        <f>IF(G144&lt;&gt;"",IF(C144="float32",FLOAT2HEX(G144),DEC2HEX(G144,8)),"")</f>
        <v>00004394</v>
      </c>
      <c r="I144" s="94" t="str">
        <f t="shared" si="7"/>
        <v/>
      </c>
    </row>
    <row r="145" spans="1:9" x14ac:dyDescent="0.25">
      <c r="A145" s="96" t="str">
        <f>IF(I145&lt;&gt;"",MAX(A$1:A144)+1,"")</f>
        <v/>
      </c>
      <c r="B145" s="97" t="s">
        <v>1398</v>
      </c>
      <c r="C145" s="103" t="s">
        <v>57</v>
      </c>
      <c r="D145" s="103">
        <f t="shared" si="6"/>
        <v>4</v>
      </c>
      <c r="E145" s="89" t="s">
        <v>1628</v>
      </c>
      <c r="G145" s="103">
        <f>ROUND((32768/BASE_TORQ) * MTPATorque_68,0)</f>
        <v>8082</v>
      </c>
      <c r="H145" s="94" t="str">
        <f>IF(G145&lt;&gt;"",IF(C145="float32",FLOAT2HEX(G145),DEC2HEX(G145,8)),"")</f>
        <v>00001F92</v>
      </c>
      <c r="I145" s="94" t="str">
        <f t="shared" si="7"/>
        <v/>
      </c>
    </row>
    <row r="146" spans="1:9" x14ac:dyDescent="0.25">
      <c r="A146" s="96" t="str">
        <f>IF(I146&lt;&gt;"",MAX(A$1:A145)+1,"")</f>
        <v/>
      </c>
      <c r="B146" s="74" t="s">
        <v>1479</v>
      </c>
      <c r="C146" s="103" t="s">
        <v>57</v>
      </c>
      <c r="D146" s="103">
        <f t="shared" si="6"/>
        <v>4</v>
      </c>
      <c r="E146" s="89" t="s">
        <v>1629</v>
      </c>
      <c r="G146" s="103">
        <f>ROUND((32768/BASE_FLUX) * MTPAFlux_68,0)</f>
        <v>17499</v>
      </c>
      <c r="H146" s="94" t="str">
        <f>IF(G146&lt;&gt;"",IF(C146="float32",FLOAT2HEX(G146),DEC2HEX(G146,8)),"")</f>
        <v>0000445B</v>
      </c>
      <c r="I146" s="94" t="str">
        <f t="shared" si="7"/>
        <v/>
      </c>
    </row>
    <row r="147" spans="1:9" x14ac:dyDescent="0.25">
      <c r="A147" s="96" t="str">
        <f>IF(I147&lt;&gt;"",MAX(A$1:A146)+1,"")</f>
        <v/>
      </c>
      <c r="B147" s="97" t="s">
        <v>1399</v>
      </c>
      <c r="C147" s="103" t="s">
        <v>57</v>
      </c>
      <c r="D147" s="103">
        <f t="shared" si="6"/>
        <v>4</v>
      </c>
      <c r="E147" s="89" t="s">
        <v>1630</v>
      </c>
      <c r="G147" s="103">
        <f>ROUND((32768/BASE_TORQ) * MTPATorque_69,0)</f>
        <v>8201</v>
      </c>
      <c r="H147" s="94" t="str">
        <f>IF(G147&lt;&gt;"",IF(C147="float32",FLOAT2HEX(G147),DEC2HEX(G147,8)),"")</f>
        <v>00002009</v>
      </c>
      <c r="I147" s="94" t="str">
        <f t="shared" si="7"/>
        <v/>
      </c>
    </row>
    <row r="148" spans="1:9" x14ac:dyDescent="0.25">
      <c r="A148" s="96" t="str">
        <f>IF(I148&lt;&gt;"",MAX(A$1:A147)+1,"")</f>
        <v/>
      </c>
      <c r="B148" s="74" t="s">
        <v>1480</v>
      </c>
      <c r="C148" s="103" t="s">
        <v>57</v>
      </c>
      <c r="D148" s="103">
        <f t="shared" si="6"/>
        <v>4</v>
      </c>
      <c r="E148" s="89" t="s">
        <v>1631</v>
      </c>
      <c r="G148" s="103">
        <f>ROUND((32768/BASE_FLUX) * MTPAFlux_69,0)</f>
        <v>17698</v>
      </c>
      <c r="H148" s="94" t="str">
        <f>IF(G148&lt;&gt;"",IF(C148="float32",FLOAT2HEX(G148),DEC2HEX(G148,8)),"")</f>
        <v>00004522</v>
      </c>
      <c r="I148" s="94" t="str">
        <f t="shared" si="7"/>
        <v/>
      </c>
    </row>
    <row r="149" spans="1:9" x14ac:dyDescent="0.25">
      <c r="A149" s="96" t="str">
        <f>IF(I149&lt;&gt;"",MAX(A$1:A148)+1,"")</f>
        <v/>
      </c>
      <c r="B149" s="97" t="s">
        <v>1400</v>
      </c>
      <c r="C149" s="103" t="s">
        <v>57</v>
      </c>
      <c r="D149" s="103">
        <f t="shared" si="6"/>
        <v>4</v>
      </c>
      <c r="E149" s="89" t="s">
        <v>1632</v>
      </c>
      <c r="G149" s="103">
        <f>ROUND((32768/BASE_TORQ) * MTPATorque_70,0)</f>
        <v>8320</v>
      </c>
      <c r="H149" s="94" t="str">
        <f>IF(G149&lt;&gt;"",IF(C149="float32",FLOAT2HEX(G149),DEC2HEX(G149,8)),"")</f>
        <v>00002080</v>
      </c>
      <c r="I149" s="94" t="str">
        <f t="shared" si="7"/>
        <v/>
      </c>
    </row>
    <row r="150" spans="1:9" x14ac:dyDescent="0.25">
      <c r="A150" s="96" t="str">
        <f>IF(I150&lt;&gt;"",MAX(A$1:A149)+1,"")</f>
        <v/>
      </c>
      <c r="B150" s="74" t="s">
        <v>1481</v>
      </c>
      <c r="C150" s="103" t="s">
        <v>57</v>
      </c>
      <c r="D150" s="103">
        <f t="shared" si="6"/>
        <v>4</v>
      </c>
      <c r="E150" s="89" t="s">
        <v>1633</v>
      </c>
      <c r="G150" s="103">
        <f>ROUND((32768/BASE_FLUX) * MTPAFlux_70,0)</f>
        <v>17898</v>
      </c>
      <c r="H150" s="94" t="str">
        <f>IF(G150&lt;&gt;"",IF(C150="float32",FLOAT2HEX(G150),DEC2HEX(G150,8)),"")</f>
        <v>000045EA</v>
      </c>
      <c r="I150" s="94" t="str">
        <f t="shared" si="7"/>
        <v/>
      </c>
    </row>
    <row r="151" spans="1:9" x14ac:dyDescent="0.25">
      <c r="A151" s="96" t="str">
        <f>IF(I151&lt;&gt;"",MAX(A$1:A150)+1,"")</f>
        <v/>
      </c>
      <c r="B151" s="97" t="s">
        <v>1401</v>
      </c>
      <c r="C151" s="103" t="s">
        <v>57</v>
      </c>
      <c r="D151" s="103">
        <f t="shared" si="6"/>
        <v>4</v>
      </c>
      <c r="E151" s="89" t="s">
        <v>1634</v>
      </c>
      <c r="G151" s="103">
        <f>ROUND((32768/BASE_TORQ) * MTPATorque_71,0)</f>
        <v>8439</v>
      </c>
      <c r="H151" s="94" t="str">
        <f>IF(G151&lt;&gt;"",IF(C151="float32",FLOAT2HEX(G151),DEC2HEX(G151,8)),"")</f>
        <v>000020F7</v>
      </c>
      <c r="I151" s="94" t="str">
        <f t="shared" si="7"/>
        <v/>
      </c>
    </row>
    <row r="152" spans="1:9" x14ac:dyDescent="0.25">
      <c r="A152" s="96" t="str">
        <f>IF(I152&lt;&gt;"",MAX(A$1:A151)+1,"")</f>
        <v/>
      </c>
      <c r="B152" s="74" t="s">
        <v>1482</v>
      </c>
      <c r="C152" s="103" t="s">
        <v>57</v>
      </c>
      <c r="D152" s="103">
        <f t="shared" si="6"/>
        <v>4</v>
      </c>
      <c r="E152" s="89" t="s">
        <v>1635</v>
      </c>
      <c r="G152" s="103">
        <f>ROUND((32768/BASE_FLUX) * MTPAFlux_71,0)</f>
        <v>18097</v>
      </c>
      <c r="H152" s="94" t="str">
        <f>IF(G152&lt;&gt;"",IF(C152="float32",FLOAT2HEX(G152),DEC2HEX(G152,8)),"")</f>
        <v>000046B1</v>
      </c>
      <c r="I152" s="94" t="str">
        <f t="shared" si="7"/>
        <v/>
      </c>
    </row>
    <row r="153" spans="1:9" x14ac:dyDescent="0.25">
      <c r="A153" s="96" t="str">
        <f>IF(I153&lt;&gt;"",MAX(A$1:A152)+1,"")</f>
        <v/>
      </c>
      <c r="B153" s="97" t="s">
        <v>1402</v>
      </c>
      <c r="C153" s="103" t="s">
        <v>57</v>
      </c>
      <c r="D153" s="103">
        <f t="shared" si="6"/>
        <v>4</v>
      </c>
      <c r="E153" s="89" t="s">
        <v>1636</v>
      </c>
      <c r="G153" s="103">
        <f>ROUND((32768/BASE_TORQ) * MTPATorque_72,0)</f>
        <v>8558</v>
      </c>
      <c r="H153" s="94" t="str">
        <f>IF(G153&lt;&gt;"",IF(C153="float32",FLOAT2HEX(G153),DEC2HEX(G153,8)),"")</f>
        <v>0000216E</v>
      </c>
      <c r="I153" s="94" t="str">
        <f t="shared" si="7"/>
        <v/>
      </c>
    </row>
    <row r="154" spans="1:9" x14ac:dyDescent="0.25">
      <c r="A154" s="96" t="str">
        <f>IF(I154&lt;&gt;"",MAX(A$1:A153)+1,"")</f>
        <v/>
      </c>
      <c r="B154" s="74" t="s">
        <v>1483</v>
      </c>
      <c r="C154" s="103" t="s">
        <v>57</v>
      </c>
      <c r="D154" s="103">
        <f t="shared" si="6"/>
        <v>4</v>
      </c>
      <c r="E154" s="89" t="s">
        <v>1637</v>
      </c>
      <c r="G154" s="103">
        <f>ROUND((32768/BASE_FLUX) * MTPAFlux_72,0)</f>
        <v>18296</v>
      </c>
      <c r="H154" s="94" t="str">
        <f>IF(G154&lt;&gt;"",IF(C154="float32",FLOAT2HEX(G154),DEC2HEX(G154,8)),"")</f>
        <v>00004778</v>
      </c>
      <c r="I154" s="94" t="str">
        <f t="shared" si="7"/>
        <v/>
      </c>
    </row>
    <row r="155" spans="1:9" x14ac:dyDescent="0.25">
      <c r="A155" s="96" t="str">
        <f>IF(I155&lt;&gt;"",MAX(A$1:A154)+1,"")</f>
        <v/>
      </c>
      <c r="B155" s="97" t="s">
        <v>1403</v>
      </c>
      <c r="C155" s="103" t="s">
        <v>57</v>
      </c>
      <c r="D155" s="103">
        <f t="shared" si="6"/>
        <v>4</v>
      </c>
      <c r="E155" s="89" t="s">
        <v>1638</v>
      </c>
      <c r="G155" s="103">
        <f>ROUND((32768/BASE_TORQ) * MTPATorque_73,0)</f>
        <v>8676</v>
      </c>
      <c r="H155" s="94" t="str">
        <f>IF(G155&lt;&gt;"",IF(C155="float32",FLOAT2HEX(G155),DEC2HEX(G155,8)),"")</f>
        <v>000021E4</v>
      </c>
      <c r="I155" s="94" t="str">
        <f t="shared" si="7"/>
        <v/>
      </c>
    </row>
    <row r="156" spans="1:9" x14ac:dyDescent="0.25">
      <c r="A156" s="96" t="str">
        <f>IF(I156&lt;&gt;"",MAX(A$1:A155)+1,"")</f>
        <v/>
      </c>
      <c r="B156" s="74" t="s">
        <v>1484</v>
      </c>
      <c r="C156" s="103" t="s">
        <v>57</v>
      </c>
      <c r="D156" s="103">
        <f t="shared" si="6"/>
        <v>4</v>
      </c>
      <c r="E156" s="89" t="s">
        <v>1639</v>
      </c>
      <c r="G156" s="103">
        <f>ROUND((32768/BASE_FLUX) * MTPAFlux_73,0)</f>
        <v>18495</v>
      </c>
      <c r="H156" s="94" t="str">
        <f>IF(G156&lt;&gt;"",IF(C156="float32",FLOAT2HEX(G156),DEC2HEX(G156,8)),"")</f>
        <v>0000483F</v>
      </c>
      <c r="I156" s="94" t="str">
        <f t="shared" si="7"/>
        <v/>
      </c>
    </row>
    <row r="157" spans="1:9" x14ac:dyDescent="0.25">
      <c r="A157" s="96" t="str">
        <f>IF(I157&lt;&gt;"",MAX(A$1:A156)+1,"")</f>
        <v/>
      </c>
      <c r="B157" s="97" t="s">
        <v>1404</v>
      </c>
      <c r="C157" s="103" t="s">
        <v>57</v>
      </c>
      <c r="D157" s="103">
        <f t="shared" si="6"/>
        <v>4</v>
      </c>
      <c r="E157" s="89" t="s">
        <v>1640</v>
      </c>
      <c r="G157" s="103">
        <f>ROUND((32768/BASE_TORQ) * MTPATorque_74,0)</f>
        <v>8795</v>
      </c>
      <c r="H157" s="94" t="str">
        <f>IF(G157&lt;&gt;"",IF(C157="float32",FLOAT2HEX(G157),DEC2HEX(G157,8)),"")</f>
        <v>0000225B</v>
      </c>
      <c r="I157" s="94" t="str">
        <f t="shared" si="7"/>
        <v/>
      </c>
    </row>
    <row r="158" spans="1:9" x14ac:dyDescent="0.25">
      <c r="A158" s="96" t="str">
        <f>IF(I158&lt;&gt;"",MAX(A$1:A157)+1,"")</f>
        <v/>
      </c>
      <c r="B158" s="74" t="s">
        <v>1485</v>
      </c>
      <c r="C158" s="103" t="s">
        <v>57</v>
      </c>
      <c r="D158" s="103">
        <f t="shared" si="6"/>
        <v>4</v>
      </c>
      <c r="E158" s="89" t="s">
        <v>1641</v>
      </c>
      <c r="G158" s="103">
        <f>ROUND((32768/BASE_FLUX) * MTPAFlux_74,0)</f>
        <v>18705</v>
      </c>
      <c r="H158" s="94" t="str">
        <f>IF(G158&lt;&gt;"",IF(C158="float32",FLOAT2HEX(G158),DEC2HEX(G158,8)),"")</f>
        <v>00004911</v>
      </c>
      <c r="I158" s="94" t="str">
        <f t="shared" si="7"/>
        <v/>
      </c>
    </row>
    <row r="159" spans="1:9" x14ac:dyDescent="0.25">
      <c r="A159" s="96" t="str">
        <f>IF(I159&lt;&gt;"",MAX(A$1:A158)+1,"")</f>
        <v/>
      </c>
      <c r="B159" s="97" t="s">
        <v>1405</v>
      </c>
      <c r="C159" s="103" t="s">
        <v>57</v>
      </c>
      <c r="D159" s="103">
        <f t="shared" si="6"/>
        <v>4</v>
      </c>
      <c r="E159" s="89" t="s">
        <v>1642</v>
      </c>
      <c r="G159" s="103">
        <f>ROUND((32768/BASE_TORQ) * MTPATorque_75,0)</f>
        <v>8914</v>
      </c>
      <c r="H159" s="94" t="str">
        <f>IF(G159&lt;&gt;"",IF(C159="float32",FLOAT2HEX(G159),DEC2HEX(G159,8)),"")</f>
        <v>000022D2</v>
      </c>
      <c r="I159" s="94" t="str">
        <f t="shared" si="7"/>
        <v/>
      </c>
    </row>
    <row r="160" spans="1:9" x14ac:dyDescent="0.25">
      <c r="A160" s="96" t="str">
        <f>IF(I160&lt;&gt;"",MAX(A$1:A159)+1,"")</f>
        <v/>
      </c>
      <c r="B160" s="74" t="s">
        <v>1486</v>
      </c>
      <c r="C160" s="103" t="s">
        <v>57</v>
      </c>
      <c r="D160" s="103">
        <f t="shared" si="6"/>
        <v>4</v>
      </c>
      <c r="E160" s="89" t="s">
        <v>1643</v>
      </c>
      <c r="G160" s="103">
        <f>ROUND((32768/BASE_FLUX) * MTPAFlux_75,0)</f>
        <v>18904</v>
      </c>
      <c r="H160" s="94" t="str">
        <f>IF(G160&lt;&gt;"",IF(C160="float32",FLOAT2HEX(G160),DEC2HEX(G160,8)),"")</f>
        <v>000049D8</v>
      </c>
      <c r="I160" s="94" t="str">
        <f t="shared" si="7"/>
        <v/>
      </c>
    </row>
    <row r="161" spans="1:9" x14ac:dyDescent="0.25">
      <c r="A161" s="96" t="str">
        <f>IF(I161&lt;&gt;"",MAX(A$1:A160)+1,"")</f>
        <v/>
      </c>
      <c r="B161" s="97" t="s">
        <v>1406</v>
      </c>
      <c r="C161" s="103" t="s">
        <v>57</v>
      </c>
      <c r="D161" s="103">
        <f t="shared" si="6"/>
        <v>4</v>
      </c>
      <c r="E161" s="89" t="s">
        <v>1644</v>
      </c>
      <c r="G161" s="103">
        <f>ROUND((32768/BASE_TORQ) * MTPATorque_76,0)</f>
        <v>9033</v>
      </c>
      <c r="H161" s="94" t="str">
        <f>IF(G161&lt;&gt;"",IF(C161="float32",FLOAT2HEX(G161),DEC2HEX(G161,8)),"")</f>
        <v>00002349</v>
      </c>
      <c r="I161" s="94" t="str">
        <f t="shared" si="7"/>
        <v/>
      </c>
    </row>
    <row r="162" spans="1:9" x14ac:dyDescent="0.25">
      <c r="A162" s="96" t="str">
        <f>IF(I162&lt;&gt;"",MAX(A$1:A161)+1,"")</f>
        <v/>
      </c>
      <c r="B162" s="74" t="s">
        <v>1487</v>
      </c>
      <c r="C162" s="103" t="s">
        <v>57</v>
      </c>
      <c r="D162" s="103">
        <f t="shared" si="6"/>
        <v>4</v>
      </c>
      <c r="E162" s="89" t="s">
        <v>1645</v>
      </c>
      <c r="G162" s="103">
        <f>ROUND((32768/BASE_FLUX) * MTPAFlux_76,0)</f>
        <v>19103</v>
      </c>
      <c r="H162" s="94" t="str">
        <f>IF(G162&lt;&gt;"",IF(C162="float32",FLOAT2HEX(G162),DEC2HEX(G162,8)),"")</f>
        <v>00004A9F</v>
      </c>
      <c r="I162" s="94" t="str">
        <f t="shared" si="7"/>
        <v/>
      </c>
    </row>
    <row r="163" spans="1:9" x14ac:dyDescent="0.25">
      <c r="A163" s="96" t="str">
        <f>IF(I163&lt;&gt;"",MAX(A$1:A162)+1,"")</f>
        <v/>
      </c>
      <c r="B163" s="97" t="s">
        <v>1407</v>
      </c>
      <c r="C163" s="103" t="s">
        <v>57</v>
      </c>
      <c r="D163" s="103">
        <f t="shared" si="6"/>
        <v>4</v>
      </c>
      <c r="E163" s="89" t="s">
        <v>1646</v>
      </c>
      <c r="G163" s="103">
        <f>ROUND((32768/BASE_TORQ) * MTPATorque_77,0)</f>
        <v>9152</v>
      </c>
      <c r="H163" s="94" t="str">
        <f>IF(G163&lt;&gt;"",IF(C163="float32",FLOAT2HEX(G163),DEC2HEX(G163,8)),"")</f>
        <v>000023C0</v>
      </c>
      <c r="I163" s="94" t="str">
        <f t="shared" si="7"/>
        <v/>
      </c>
    </row>
    <row r="164" spans="1:9" x14ac:dyDescent="0.25">
      <c r="A164" s="96" t="str">
        <f>IF(I164&lt;&gt;"",MAX(A$1:A163)+1,"")</f>
        <v/>
      </c>
      <c r="B164" s="74" t="s">
        <v>1488</v>
      </c>
      <c r="C164" s="103" t="s">
        <v>57</v>
      </c>
      <c r="D164" s="103">
        <f t="shared" si="6"/>
        <v>4</v>
      </c>
      <c r="E164" s="89" t="s">
        <v>1647</v>
      </c>
      <c r="G164" s="103">
        <f>ROUND((32768/BASE_FLUX) * MTPAFlux_77,0)</f>
        <v>19303</v>
      </c>
      <c r="H164" s="94" t="str">
        <f>IF(G164&lt;&gt;"",IF(C164="float32",FLOAT2HEX(G164),DEC2HEX(G164,8)),"")</f>
        <v>00004B67</v>
      </c>
      <c r="I164" s="94" t="str">
        <f t="shared" si="7"/>
        <v/>
      </c>
    </row>
    <row r="165" spans="1:9" x14ac:dyDescent="0.25">
      <c r="A165" s="96" t="str">
        <f>IF(I165&lt;&gt;"",MAX(A$1:A164)+1,"")</f>
        <v/>
      </c>
      <c r="B165" s="97" t="s">
        <v>1408</v>
      </c>
      <c r="C165" s="103" t="s">
        <v>57</v>
      </c>
      <c r="D165" s="103">
        <f t="shared" si="6"/>
        <v>4</v>
      </c>
      <c r="E165" s="89" t="s">
        <v>1648</v>
      </c>
      <c r="G165" s="103">
        <f>ROUND((32768/BASE_TORQ) * MTPATorque_78,0)</f>
        <v>9271</v>
      </c>
      <c r="H165" s="94" t="str">
        <f>IF(G165&lt;&gt;"",IF(C165="float32",FLOAT2HEX(G165),DEC2HEX(G165,8)),"")</f>
        <v>00002437</v>
      </c>
      <c r="I165" s="94" t="str">
        <f t="shared" si="7"/>
        <v/>
      </c>
    </row>
    <row r="166" spans="1:9" x14ac:dyDescent="0.25">
      <c r="A166" s="96" t="str">
        <f>IF(I166&lt;&gt;"",MAX(A$1:A165)+1,"")</f>
        <v/>
      </c>
      <c r="B166" s="74" t="s">
        <v>1489</v>
      </c>
      <c r="C166" s="103" t="s">
        <v>57</v>
      </c>
      <c r="D166" s="103">
        <f t="shared" si="6"/>
        <v>4</v>
      </c>
      <c r="E166" s="89" t="s">
        <v>1649</v>
      </c>
      <c r="G166" s="103">
        <f>ROUND((32768/BASE_FLUX) * MTPAFlux_78,0)</f>
        <v>19512</v>
      </c>
      <c r="H166" s="94" t="str">
        <f>IF(G166&lt;&gt;"",IF(C166="float32",FLOAT2HEX(G166),DEC2HEX(G166,8)),"")</f>
        <v>00004C38</v>
      </c>
      <c r="I166" s="94" t="str">
        <f t="shared" si="7"/>
        <v/>
      </c>
    </row>
    <row r="167" spans="1:9" x14ac:dyDescent="0.25">
      <c r="A167" s="96" t="str">
        <f>IF(I167&lt;&gt;"",MAX(A$1:A166)+1,"")</f>
        <v/>
      </c>
      <c r="B167" s="97" t="s">
        <v>1409</v>
      </c>
      <c r="C167" s="103" t="s">
        <v>57</v>
      </c>
      <c r="D167" s="103">
        <f t="shared" si="6"/>
        <v>4</v>
      </c>
      <c r="E167" s="89" t="s">
        <v>1650</v>
      </c>
      <c r="G167" s="103">
        <f>ROUND((32768/BASE_TORQ) * MTPATorque_79,0)</f>
        <v>9389</v>
      </c>
      <c r="H167" s="94" t="str">
        <f>IF(G167&lt;&gt;"",IF(C167="float32",FLOAT2HEX(G167),DEC2HEX(G167,8)),"")</f>
        <v>000024AD</v>
      </c>
      <c r="I167" s="94" t="str">
        <f t="shared" si="7"/>
        <v/>
      </c>
    </row>
    <row r="168" spans="1:9" x14ac:dyDescent="0.25">
      <c r="A168" s="96" t="str">
        <f>IF(I168&lt;&gt;"",MAX(A$1:A167)+1,"")</f>
        <v/>
      </c>
      <c r="B168" s="74" t="s">
        <v>1490</v>
      </c>
      <c r="C168" s="103" t="s">
        <v>57</v>
      </c>
      <c r="D168" s="103">
        <f t="shared" si="6"/>
        <v>4</v>
      </c>
      <c r="E168" s="89" t="s">
        <v>1651</v>
      </c>
      <c r="G168" s="103">
        <f>ROUND((32768/BASE_FLUX) * MTPAFlux_79,0)</f>
        <v>19711</v>
      </c>
      <c r="H168" s="94" t="str">
        <f>IF(G168&lt;&gt;"",IF(C168="float32",FLOAT2HEX(G168),DEC2HEX(G168,8)),"")</f>
        <v>00004CFF</v>
      </c>
      <c r="I168" s="94" t="str">
        <f t="shared" si="7"/>
        <v/>
      </c>
    </row>
    <row r="169" spans="1:9" x14ac:dyDescent="0.25">
      <c r="A169" s="96" t="str">
        <f>IF(I169&lt;&gt;"",MAX(A$1:A168)+1,"")</f>
        <v/>
      </c>
      <c r="B169" s="97" t="s">
        <v>1410</v>
      </c>
      <c r="C169" s="103" t="s">
        <v>57</v>
      </c>
      <c r="D169" s="103">
        <f t="shared" ref="D169:D170" si="8">IF(OR(C169="sint64",C169="uint64",C169="double64"), 8, IF(OR(C169="sint32",C169="uint32",C169="float32"),4,IF(OR(C169="sint16",C169="uint16"),2,  IF(OR(C169="sint8",C169="uint8"),1,""))))</f>
        <v>4</v>
      </c>
      <c r="E169" s="89" t="s">
        <v>1652</v>
      </c>
      <c r="G169" s="103">
        <f>ROUND((32768/BASE_TORQ) * MTPATorque_80,0)</f>
        <v>9389</v>
      </c>
      <c r="H169" s="94" t="str">
        <f>IF(G169&lt;&gt;"",IF(C169="float32",FLOAT2HEX(G169),DEC2HEX(G169,8)),"")</f>
        <v>000024AD</v>
      </c>
      <c r="I169" s="94" t="str">
        <f t="shared" si="7"/>
        <v/>
      </c>
    </row>
    <row r="170" spans="1:9" x14ac:dyDescent="0.25">
      <c r="A170" s="96" t="str">
        <f>IF(I170&lt;&gt;"",MAX(A$1:A169)+1,"")</f>
        <v/>
      </c>
      <c r="B170" s="74" t="s">
        <v>1491</v>
      </c>
      <c r="C170" s="103" t="s">
        <v>57</v>
      </c>
      <c r="D170" s="103">
        <f t="shared" si="8"/>
        <v>4</v>
      </c>
      <c r="E170" s="89" t="s">
        <v>1653</v>
      </c>
      <c r="G170" s="103">
        <f>ROUND((32768/BASE_FLUX) * MTPAFlux_80,0)</f>
        <v>19711</v>
      </c>
      <c r="H170" s="94" t="str">
        <f>IF(G170&lt;&gt;"",IF(C170="float32",FLOAT2HEX(G170),DEC2HEX(G170,8)),"")</f>
        <v>00004CFF</v>
      </c>
      <c r="I170" s="94" t="str">
        <f t="shared" si="7"/>
        <v/>
      </c>
    </row>
  </sheetData>
  <mergeCells count="2">
    <mergeCell ref="B1:H1"/>
    <mergeCell ref="B3:C3"/>
  </mergeCells>
  <dataValidations count="1">
    <dataValidation type="list" allowBlank="1" showInputMessage="1" showErrorMessage="1" sqref="C9:C170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491"/>
  <sheetViews>
    <sheetView zoomScale="85" zoomScaleNormal="85" workbookViewId="0">
      <pane ySplit="5" topLeftCell="A81" activePane="bottomLeft" state="frozen"/>
      <selection activeCell="A285" sqref="A285"/>
      <selection pane="bottomLeft" activeCell="A6" sqref="A6"/>
    </sheetView>
  </sheetViews>
  <sheetFormatPr defaultRowHeight="15" x14ac:dyDescent="0.2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0" width="9.140625" style="95"/>
    <col min="21" max="16384" width="9.140625" style="103"/>
  </cols>
  <sheetData>
    <row r="1" spans="1:21" ht="28.5" customHeight="1" x14ac:dyDescent="0.25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</row>
    <row r="2" spans="1:21" s="94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1" s="94" customFormat="1" ht="19.5" customHeight="1" x14ac:dyDescent="0.3">
      <c r="A3" s="23"/>
      <c r="B3" s="115" t="s">
        <v>194</v>
      </c>
      <c r="C3" s="115"/>
      <c r="D3" s="24">
        <f>SUM(D9:D1485)</f>
        <v>1932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1" s="94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1" s="94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1" s="94" customFormat="1" ht="20.25" customHeight="1" x14ac:dyDescent="0.25">
      <c r="A6" s="96"/>
      <c r="B6" s="82" t="s">
        <v>1654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1" x14ac:dyDescent="0.25">
      <c r="A7" s="96">
        <v>0</v>
      </c>
      <c r="B7" s="97" t="s">
        <v>3128</v>
      </c>
      <c r="C7" s="103" t="s">
        <v>57</v>
      </c>
      <c r="D7" s="103">
        <f>IF(OR(C7="sint64",C7="uint64",C7="double64"), 8, IF(OR(C7="sint32",C7="uint32",C7="float32"),4,IF(OR(C7="sint16",C7="uint16"),2,  IF(OR(C7="sint8",C7="uint8"),1,""))))</f>
        <v>4</v>
      </c>
      <c r="E7" s="89" t="s">
        <v>3129</v>
      </c>
      <c r="G7" s="103">
        <f>SIZE_MTPV-1</f>
        <v>24</v>
      </c>
      <c r="H7" s="94" t="str">
        <f>IF(G7&lt;&gt;"",IF(C7="float32",FLOAT2HEX(G7),DEC2HEX(G7,8)),"")</f>
        <v>00000018</v>
      </c>
      <c r="I7" s="94">
        <f t="shared" ref="I7" si="0">IF(G7&lt;&gt;"",HEX2DEC(H7),"")</f>
        <v>24</v>
      </c>
    </row>
    <row r="8" spans="1:21" x14ac:dyDescent="0.25">
      <c r="A8" s="96">
        <f>IF(I8&lt;&gt;"",MAX(A$1:A7)+1,"")</f>
        <v>1</v>
      </c>
      <c r="B8" s="97" t="s">
        <v>3121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3122</v>
      </c>
      <c r="G8" s="103">
        <f>ROUND(BASE_FLUX/(MTPVFlux_1-MTPVFlux_0),0)</f>
        <v>50</v>
      </c>
      <c r="H8" s="94" t="str">
        <f>IF(G8&lt;&gt;"",IF(C8="float32",FLOAT2HEX(G8),DEC2HEX(G8,8)),"")</f>
        <v>00000032</v>
      </c>
      <c r="I8" s="94">
        <f>IF(G8&lt;&gt;"",HEX2DEC(H8),"")</f>
        <v>50</v>
      </c>
      <c r="U8" s="95"/>
    </row>
    <row r="9" spans="1:21" s="95" customFormat="1" ht="15" customHeight="1" x14ac:dyDescent="0.25">
      <c r="A9" s="96">
        <f>IF(I9&lt;&gt;"",MAX(A$1:A8)+1,"")</f>
        <v>2</v>
      </c>
      <c r="B9" s="97" t="s">
        <v>2139</v>
      </c>
      <c r="C9" s="103" t="s">
        <v>57</v>
      </c>
      <c r="D9" s="103">
        <f t="shared" ref="D9:D72" si="1">IF(OR(C9="sint64",C9="uint64",C9="double64"), 8, IF(OR(C9="sint32",C9="uint32",C9="float32"),4,IF(OR(C9="sint16",C9="uint16"),2,  IF(OR(C9="sint8",C9="uint8"),1,""))))</f>
        <v>4</v>
      </c>
      <c r="E9" s="89" t="s">
        <v>2622</v>
      </c>
      <c r="F9" s="103"/>
      <c r="G9" s="95">
        <f>ROUND((32768/BASE_FLUX) * MTPVFlux_0,0)</f>
        <v>2415</v>
      </c>
      <c r="H9" s="94" t="str">
        <f>IF(G9&lt;&gt;"",IF(C9="float32",FLOAT2HEX(G9),DEC2HEX(G9,8)),"")</f>
        <v>0000096F</v>
      </c>
      <c r="I9" s="94">
        <f>IF(AND(G9&lt;&gt;"",(ROW()-8)&lt;(($G$7+1)*3+1)),HEX2DEC(H9),"")</f>
        <v>2415</v>
      </c>
    </row>
    <row r="10" spans="1:21" s="95" customFormat="1" ht="15" customHeight="1" x14ac:dyDescent="0.25">
      <c r="A10" s="96">
        <f>IF(I10&lt;&gt;"",MAX(A$1:A9)+1,"")</f>
        <v>3</v>
      </c>
      <c r="B10" s="74" t="s">
        <v>2140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2623</v>
      </c>
      <c r="F10" s="103"/>
      <c r="G10" s="95">
        <f>ROUND((32768/BASE_TORQ) * MTPVTorque_0,0)</f>
        <v>1207</v>
      </c>
      <c r="H10" s="94" t="str">
        <f>IF(G10&lt;&gt;"",IF(C10="float32",FLOAT2HEX(G10),DEC2HEX(G10,8)),"")</f>
        <v>000004B7</v>
      </c>
      <c r="I10" s="94">
        <f t="shared" ref="I10:I73" si="2">IF(AND(G10&lt;&gt;"",(ROW()-8)&lt;(($G$7+1)*3+1)),HEX2DEC(H10),"")</f>
        <v>1207</v>
      </c>
    </row>
    <row r="11" spans="1:21" s="95" customFormat="1" ht="15" customHeight="1" x14ac:dyDescent="0.25">
      <c r="A11" s="96">
        <f>IF(I11&lt;&gt;"",MAX(A$1:A10)+1,"")</f>
        <v>4</v>
      </c>
      <c r="B11" s="97" t="s">
        <v>2141</v>
      </c>
      <c r="C11" s="103" t="s">
        <v>57</v>
      </c>
      <c r="D11" s="103">
        <f t="shared" si="1"/>
        <v>4</v>
      </c>
      <c r="E11" s="89" t="s">
        <v>2624</v>
      </c>
      <c r="F11" s="103"/>
      <c r="G11" s="95">
        <f>ROUND((32768/BASE_ANGLE) * MTPVAngle_0,0)</f>
        <v>16800</v>
      </c>
      <c r="H11" s="94" t="str">
        <f>IF(G11&lt;&gt;"",IF(C11="float32",FLOAT2HEX(G11),DEC2HEX(G11,8)),"")</f>
        <v>000041A0</v>
      </c>
      <c r="I11" s="94">
        <f t="shared" si="2"/>
        <v>16800</v>
      </c>
    </row>
    <row r="12" spans="1:21" s="95" customFormat="1" ht="15" customHeight="1" x14ac:dyDescent="0.25">
      <c r="A12" s="96">
        <f>IF(I12&lt;&gt;"",MAX(A$1:A11)+1,"")</f>
        <v>5</v>
      </c>
      <c r="B12" s="97" t="s">
        <v>2142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2625</v>
      </c>
      <c r="F12" s="103"/>
      <c r="G12" s="95">
        <f>ROUND((32768/BASE_FLUX) * MTPVFlux_1,0)</f>
        <v>3073</v>
      </c>
      <c r="H12" s="94" t="str">
        <f>IF(G12&lt;&gt;"",IF(C12="float32",FLOAT2HEX(G12),DEC2HEX(G12,8)),"")</f>
        <v>00000C01</v>
      </c>
      <c r="I12" s="94">
        <f t="shared" si="2"/>
        <v>3073</v>
      </c>
    </row>
    <row r="13" spans="1:21" s="95" customFormat="1" ht="15" customHeight="1" x14ac:dyDescent="0.25">
      <c r="A13" s="96">
        <f>IF(I13&lt;&gt;"",MAX(A$1:A12)+1,"")</f>
        <v>6</v>
      </c>
      <c r="B13" s="74" t="s">
        <v>2143</v>
      </c>
      <c r="C13" s="103" t="s">
        <v>57</v>
      </c>
      <c r="D13" s="103">
        <f t="shared" si="1"/>
        <v>4</v>
      </c>
      <c r="E13" s="89" t="s">
        <v>2626</v>
      </c>
      <c r="F13" s="103"/>
      <c r="G13" s="95">
        <f>ROUND((32768/BASE_TORQ) * MTPVTorque_1,0)</f>
        <v>1538</v>
      </c>
      <c r="H13" s="94" t="str">
        <f>IF(G13&lt;&gt;"",IF(C13="float32",FLOAT2HEX(G13),DEC2HEX(G13,8)),"")</f>
        <v>00000602</v>
      </c>
      <c r="I13" s="94">
        <f t="shared" si="2"/>
        <v>1538</v>
      </c>
    </row>
    <row r="14" spans="1:21" s="95" customFormat="1" ht="15" customHeight="1" x14ac:dyDescent="0.25">
      <c r="A14" s="96">
        <f>IF(I14&lt;&gt;"",MAX(A$1:A13)+1,"")</f>
        <v>7</v>
      </c>
      <c r="B14" s="97" t="s">
        <v>2144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2627</v>
      </c>
      <c r="F14" s="103"/>
      <c r="G14" s="95">
        <f>ROUND((32768/BASE_ANGLE) * MTPVAngle_1,0)</f>
        <v>16905</v>
      </c>
      <c r="H14" s="94" t="str">
        <f>IF(G14&lt;&gt;"",IF(C14="float32",FLOAT2HEX(G14),DEC2HEX(G14,8)),"")</f>
        <v>00004209</v>
      </c>
      <c r="I14" s="94">
        <f t="shared" si="2"/>
        <v>16905</v>
      </c>
    </row>
    <row r="15" spans="1:21" s="95" customFormat="1" ht="15" customHeight="1" x14ac:dyDescent="0.25">
      <c r="A15" s="96">
        <f>IF(I15&lt;&gt;"",MAX(A$1:A14)+1,"")</f>
        <v>8</v>
      </c>
      <c r="B15" s="97" t="s">
        <v>2145</v>
      </c>
      <c r="C15" s="103" t="s">
        <v>57</v>
      </c>
      <c r="D15" s="103">
        <f t="shared" si="1"/>
        <v>4</v>
      </c>
      <c r="E15" s="89" t="s">
        <v>2628</v>
      </c>
      <c r="F15" s="103"/>
      <c r="G15" s="95">
        <f>ROUND((32768/BASE_FLUX) * MTPVFlux_2,0)</f>
        <v>3732</v>
      </c>
      <c r="H15" s="94" t="str">
        <f>IF(G15&lt;&gt;"",IF(C15="float32",FLOAT2HEX(G15),DEC2HEX(G15,8)),"")</f>
        <v>00000E94</v>
      </c>
      <c r="I15" s="94">
        <f t="shared" si="2"/>
        <v>3732</v>
      </c>
    </row>
    <row r="16" spans="1:21" s="95" customFormat="1" ht="15" customHeight="1" x14ac:dyDescent="0.25">
      <c r="A16" s="96">
        <f>IF(I16&lt;&gt;"",MAX(A$1:A15)+1,"")</f>
        <v>9</v>
      </c>
      <c r="B16" s="74" t="s">
        <v>2146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2629</v>
      </c>
      <c r="F16" s="103"/>
      <c r="G16" s="95">
        <f>ROUND((32768/BASE_TORQ) * MTPVTorque_2,0)</f>
        <v>1868</v>
      </c>
      <c r="H16" s="94" t="str">
        <f>IF(G16&lt;&gt;"",IF(C16="float32",FLOAT2HEX(G16),DEC2HEX(G16,8)),"")</f>
        <v>0000074C</v>
      </c>
      <c r="I16" s="94">
        <f t="shared" si="2"/>
        <v>1868</v>
      </c>
    </row>
    <row r="17" spans="1:9" s="95" customFormat="1" ht="15" customHeight="1" x14ac:dyDescent="0.25">
      <c r="A17" s="96">
        <f>IF(I17&lt;&gt;"",MAX(A$1:A16)+1,"")</f>
        <v>10</v>
      </c>
      <c r="B17" s="97" t="s">
        <v>2147</v>
      </c>
      <c r="C17" s="103" t="s">
        <v>57</v>
      </c>
      <c r="D17" s="103">
        <f t="shared" si="1"/>
        <v>4</v>
      </c>
      <c r="E17" s="89" t="s">
        <v>2630</v>
      </c>
      <c r="F17" s="103"/>
      <c r="G17" s="95">
        <f>ROUND((32768/BASE_ANGLE) * MTPVAngle_2,0)</f>
        <v>17001</v>
      </c>
      <c r="H17" s="94" t="str">
        <f>IF(G17&lt;&gt;"",IF(C17="float32",FLOAT2HEX(G17),DEC2HEX(G17,8)),"")</f>
        <v>00004269</v>
      </c>
      <c r="I17" s="94">
        <f t="shared" si="2"/>
        <v>17001</v>
      </c>
    </row>
    <row r="18" spans="1:9" s="95" customFormat="1" ht="15" customHeight="1" x14ac:dyDescent="0.25">
      <c r="A18" s="96">
        <f>IF(I18&lt;&gt;"",MAX(A$1:A17)+1,"")</f>
        <v>11</v>
      </c>
      <c r="B18" s="97" t="s">
        <v>2148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2631</v>
      </c>
      <c r="F18" s="103"/>
      <c r="G18" s="95">
        <f>ROUND((32768/BASE_FLUX) * MTPVFlux_3,0)</f>
        <v>4390</v>
      </c>
      <c r="H18" s="94" t="str">
        <f>IF(G18&lt;&gt;"",IF(C18="float32",FLOAT2HEX(G18),DEC2HEX(G18,8)),"")</f>
        <v>00001126</v>
      </c>
      <c r="I18" s="94">
        <f t="shared" si="2"/>
        <v>4390</v>
      </c>
    </row>
    <row r="19" spans="1:9" s="95" customFormat="1" ht="15" customHeight="1" x14ac:dyDescent="0.25">
      <c r="A19" s="96">
        <f>IF(I19&lt;&gt;"",MAX(A$1:A18)+1,"")</f>
        <v>12</v>
      </c>
      <c r="B19" s="74" t="s">
        <v>2149</v>
      </c>
      <c r="C19" s="103" t="s">
        <v>57</v>
      </c>
      <c r="D19" s="103">
        <f t="shared" si="1"/>
        <v>4</v>
      </c>
      <c r="E19" s="89" t="s">
        <v>2632</v>
      </c>
      <c r="F19" s="103"/>
      <c r="G19" s="95">
        <f>ROUND((32768/BASE_TORQ) * MTPVTorque_3,0)</f>
        <v>2201</v>
      </c>
      <c r="H19" s="94" t="str">
        <f>IF(G19&lt;&gt;"",IF(C19="float32",FLOAT2HEX(G19),DEC2HEX(G19,8)),"")</f>
        <v>00000899</v>
      </c>
      <c r="I19" s="94">
        <f t="shared" si="2"/>
        <v>2201</v>
      </c>
    </row>
    <row r="20" spans="1:9" s="95" customFormat="1" ht="15" customHeight="1" x14ac:dyDescent="0.25">
      <c r="A20" s="96">
        <f>IF(I20&lt;&gt;"",MAX(A$1:A19)+1,"")</f>
        <v>13</v>
      </c>
      <c r="B20" s="97" t="s">
        <v>2150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2633</v>
      </c>
      <c r="F20" s="103"/>
      <c r="G20" s="95">
        <f>ROUND((32768/BASE_ANGLE) * MTPVAngle_3,0)</f>
        <v>17092</v>
      </c>
      <c r="H20" s="94" t="str">
        <f>IF(G20&lt;&gt;"",IF(C20="float32",FLOAT2HEX(G20),DEC2HEX(G20,8)),"")</f>
        <v>000042C4</v>
      </c>
      <c r="I20" s="94">
        <f t="shared" si="2"/>
        <v>17092</v>
      </c>
    </row>
    <row r="21" spans="1:9" s="95" customFormat="1" ht="15" customHeight="1" x14ac:dyDescent="0.25">
      <c r="A21" s="96">
        <f>IF(I21&lt;&gt;"",MAX(A$1:A20)+1,"")</f>
        <v>14</v>
      </c>
      <c r="B21" s="97" t="s">
        <v>2151</v>
      </c>
      <c r="C21" s="103" t="s">
        <v>57</v>
      </c>
      <c r="D21" s="103">
        <f t="shared" si="1"/>
        <v>4</v>
      </c>
      <c r="E21" s="89" t="s">
        <v>2634</v>
      </c>
      <c r="F21" s="103"/>
      <c r="G21" s="95">
        <f>ROUND((32768/BASE_FLUX) * MTPVFlux_4,0)</f>
        <v>5048</v>
      </c>
      <c r="H21" s="94" t="str">
        <f>IF(G21&lt;&gt;"",IF(C21="float32",FLOAT2HEX(G21),DEC2HEX(G21,8)),"")</f>
        <v>000013B8</v>
      </c>
      <c r="I21" s="94">
        <f t="shared" si="2"/>
        <v>5048</v>
      </c>
    </row>
    <row r="22" spans="1:9" s="95" customFormat="1" ht="15" customHeight="1" x14ac:dyDescent="0.25">
      <c r="A22" s="96">
        <f>IF(I22&lt;&gt;"",MAX(A$1:A21)+1,"")</f>
        <v>15</v>
      </c>
      <c r="B22" s="74" t="s">
        <v>2152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2635</v>
      </c>
      <c r="F22" s="103"/>
      <c r="G22" s="95">
        <f>ROUND((32768/BASE_TORQ) * MTPVTorque_4,0)</f>
        <v>2533</v>
      </c>
      <c r="H22" s="94" t="str">
        <f>IF(G22&lt;&gt;"",IF(C22="float32",FLOAT2HEX(G22),DEC2HEX(G22,8)),"")</f>
        <v>000009E5</v>
      </c>
      <c r="I22" s="94">
        <f t="shared" si="2"/>
        <v>2533</v>
      </c>
    </row>
    <row r="23" spans="1:9" s="95" customFormat="1" ht="15" customHeight="1" x14ac:dyDescent="0.25">
      <c r="A23" s="96">
        <f>IF(I23&lt;&gt;"",MAX(A$1:A22)+1,"")</f>
        <v>16</v>
      </c>
      <c r="B23" s="97" t="s">
        <v>2153</v>
      </c>
      <c r="C23" s="103" t="s">
        <v>57</v>
      </c>
      <c r="D23" s="103">
        <f t="shared" si="1"/>
        <v>4</v>
      </c>
      <c r="E23" s="89" t="s">
        <v>2636</v>
      </c>
      <c r="F23" s="103"/>
      <c r="G23" s="95">
        <f>ROUND((32768/BASE_ANGLE) * MTPVAngle_4,0)</f>
        <v>17174</v>
      </c>
      <c r="H23" s="94" t="str">
        <f>IF(G23&lt;&gt;"",IF(C23="float32",FLOAT2HEX(G23),DEC2HEX(G23,8)),"")</f>
        <v>00004316</v>
      </c>
      <c r="I23" s="94">
        <f t="shared" si="2"/>
        <v>17174</v>
      </c>
    </row>
    <row r="24" spans="1:9" s="95" customFormat="1" ht="15" customHeight="1" x14ac:dyDescent="0.25">
      <c r="A24" s="96">
        <f>IF(I24&lt;&gt;"",MAX(A$1:A23)+1,"")</f>
        <v>17</v>
      </c>
      <c r="B24" s="97" t="s">
        <v>2154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2637</v>
      </c>
      <c r="F24" s="103"/>
      <c r="G24" s="95">
        <f>ROUND((32768/BASE_FLUX) * MTPVFlux_5,0)</f>
        <v>5706</v>
      </c>
      <c r="H24" s="94" t="str">
        <f>IF(G24&lt;&gt;"",IF(C24="float32",FLOAT2HEX(G24),DEC2HEX(G24,8)),"")</f>
        <v>0000164A</v>
      </c>
      <c r="I24" s="94">
        <f t="shared" si="2"/>
        <v>5706</v>
      </c>
    </row>
    <row r="25" spans="1:9" s="95" customFormat="1" ht="15" customHeight="1" x14ac:dyDescent="0.25">
      <c r="A25" s="96">
        <f>IF(I25&lt;&gt;"",MAX(A$1:A24)+1,"")</f>
        <v>18</v>
      </c>
      <c r="B25" s="74" t="s">
        <v>2155</v>
      </c>
      <c r="C25" s="103" t="s">
        <v>57</v>
      </c>
      <c r="D25" s="103">
        <f t="shared" si="1"/>
        <v>4</v>
      </c>
      <c r="E25" s="89" t="s">
        <v>2638</v>
      </c>
      <c r="F25" s="103"/>
      <c r="G25" s="95">
        <f>ROUND((32768/BASE_TORQ) * MTPVTorque_5,0)</f>
        <v>2865</v>
      </c>
      <c r="H25" s="94" t="str">
        <f>IF(G25&lt;&gt;"",IF(C25="float32",FLOAT2HEX(G25),DEC2HEX(G25,8)),"")</f>
        <v>00000B31</v>
      </c>
      <c r="I25" s="94">
        <f t="shared" si="2"/>
        <v>2865</v>
      </c>
    </row>
    <row r="26" spans="1:9" s="95" customFormat="1" ht="15" customHeight="1" x14ac:dyDescent="0.25">
      <c r="A26" s="96">
        <f>IF(I26&lt;&gt;"",MAX(A$1:A25)+1,"")</f>
        <v>19</v>
      </c>
      <c r="B26" s="97" t="s">
        <v>2156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2639</v>
      </c>
      <c r="F26" s="103"/>
      <c r="G26" s="95">
        <f>ROUND((32768/BASE_ANGLE) * MTPVAngle_5,0)</f>
        <v>17246</v>
      </c>
      <c r="H26" s="94" t="str">
        <f>IF(G26&lt;&gt;"",IF(C26="float32",FLOAT2HEX(G26),DEC2HEX(G26,8)),"")</f>
        <v>0000435E</v>
      </c>
      <c r="I26" s="94">
        <f t="shared" si="2"/>
        <v>17246</v>
      </c>
    </row>
    <row r="27" spans="1:9" s="95" customFormat="1" ht="15" customHeight="1" x14ac:dyDescent="0.25">
      <c r="A27" s="96">
        <f>IF(I27&lt;&gt;"",MAX(A$1:A26)+1,"")</f>
        <v>20</v>
      </c>
      <c r="B27" s="97" t="s">
        <v>2157</v>
      </c>
      <c r="C27" s="103" t="s">
        <v>57</v>
      </c>
      <c r="D27" s="103">
        <f t="shared" si="1"/>
        <v>4</v>
      </c>
      <c r="E27" s="89" t="s">
        <v>2640</v>
      </c>
      <c r="F27" s="103"/>
      <c r="G27" s="95">
        <f>ROUND((32768/BASE_FLUX) * MTPVFlux_6,0)</f>
        <v>6364</v>
      </c>
      <c r="H27" s="94" t="str">
        <f>IF(G27&lt;&gt;"",IF(C27="float32",FLOAT2HEX(G27),DEC2HEX(G27,8)),"")</f>
        <v>000018DC</v>
      </c>
      <c r="I27" s="94">
        <f t="shared" si="2"/>
        <v>6364</v>
      </c>
    </row>
    <row r="28" spans="1:9" s="95" customFormat="1" ht="15" customHeight="1" x14ac:dyDescent="0.25">
      <c r="A28" s="96">
        <f>IF(I28&lt;&gt;"",MAX(A$1:A27)+1,"")</f>
        <v>21</v>
      </c>
      <c r="B28" s="74" t="s">
        <v>2158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2641</v>
      </c>
      <c r="F28" s="103"/>
      <c r="G28" s="95">
        <f>ROUND((32768/BASE_TORQ) * MTPVTorque_6,0)</f>
        <v>3195</v>
      </c>
      <c r="H28" s="94" t="str">
        <f>IF(G28&lt;&gt;"",IF(C28="float32",FLOAT2HEX(G28),DEC2HEX(G28,8)),"")</f>
        <v>00000C7B</v>
      </c>
      <c r="I28" s="94">
        <f t="shared" si="2"/>
        <v>3195</v>
      </c>
    </row>
    <row r="29" spans="1:9" s="95" customFormat="1" ht="15" customHeight="1" x14ac:dyDescent="0.25">
      <c r="A29" s="96">
        <f>IF(I29&lt;&gt;"",MAX(A$1:A28)+1,"")</f>
        <v>22</v>
      </c>
      <c r="B29" s="97" t="s">
        <v>2159</v>
      </c>
      <c r="C29" s="103" t="s">
        <v>57</v>
      </c>
      <c r="D29" s="103">
        <f t="shared" si="1"/>
        <v>4</v>
      </c>
      <c r="E29" s="89" t="s">
        <v>2642</v>
      </c>
      <c r="F29" s="103"/>
      <c r="G29" s="95">
        <f>ROUND((32768/BASE_ANGLE) * MTPVAngle_6,0)</f>
        <v>17306</v>
      </c>
      <c r="H29" s="94" t="str">
        <f>IF(G29&lt;&gt;"",IF(C29="float32",FLOAT2HEX(G29),DEC2HEX(G29,8)),"")</f>
        <v>0000439A</v>
      </c>
      <c r="I29" s="94">
        <f t="shared" si="2"/>
        <v>17306</v>
      </c>
    </row>
    <row r="30" spans="1:9" s="95" customFormat="1" ht="15" customHeight="1" x14ac:dyDescent="0.25">
      <c r="A30" s="96">
        <f>IF(I30&lt;&gt;"",MAX(A$1:A29)+1,"")</f>
        <v>23</v>
      </c>
      <c r="B30" s="97" t="s">
        <v>2160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2643</v>
      </c>
      <c r="F30" s="103"/>
      <c r="G30" s="95">
        <f>ROUND((32768/BASE_FLUX) * MTPVFlux_7,0)</f>
        <v>7023</v>
      </c>
      <c r="H30" s="94" t="str">
        <f>IF(G30&lt;&gt;"",IF(C30="float32",FLOAT2HEX(G30),DEC2HEX(G30,8)),"")</f>
        <v>00001B6F</v>
      </c>
      <c r="I30" s="94">
        <f t="shared" si="2"/>
        <v>7023</v>
      </c>
    </row>
    <row r="31" spans="1:9" s="95" customFormat="1" ht="15" customHeight="1" x14ac:dyDescent="0.25">
      <c r="A31" s="96">
        <f>IF(I31&lt;&gt;"",MAX(A$1:A30)+1,"")</f>
        <v>24</v>
      </c>
      <c r="B31" s="74" t="s">
        <v>2161</v>
      </c>
      <c r="C31" s="103" t="s">
        <v>57</v>
      </c>
      <c r="D31" s="103">
        <f t="shared" si="1"/>
        <v>4</v>
      </c>
      <c r="E31" s="89" t="s">
        <v>2644</v>
      </c>
      <c r="F31" s="103"/>
      <c r="G31" s="95">
        <f>ROUND((32768/BASE_TORQ) * MTPVTorque_7,0)</f>
        <v>3531</v>
      </c>
      <c r="H31" s="94" t="str">
        <f>IF(G31&lt;&gt;"",IF(C31="float32",FLOAT2HEX(G31),DEC2HEX(G31,8)),"")</f>
        <v>00000DCB</v>
      </c>
      <c r="I31" s="94">
        <f t="shared" si="2"/>
        <v>3531</v>
      </c>
    </row>
    <row r="32" spans="1:9" s="95" customFormat="1" ht="15" customHeight="1" x14ac:dyDescent="0.25">
      <c r="A32" s="96">
        <f>IF(I32&lt;&gt;"",MAX(A$1:A31)+1,"")</f>
        <v>25</v>
      </c>
      <c r="B32" s="97" t="s">
        <v>2162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2645</v>
      </c>
      <c r="F32" s="103"/>
      <c r="G32" s="95">
        <f>ROUND((32768/BASE_ANGLE) * MTPVAngle_7,0)</f>
        <v>17359</v>
      </c>
      <c r="H32" s="94" t="str">
        <f>IF(G32&lt;&gt;"",IF(C32="float32",FLOAT2HEX(G32),DEC2HEX(G32,8)),"")</f>
        <v>000043CF</v>
      </c>
      <c r="I32" s="94">
        <f t="shared" si="2"/>
        <v>17359</v>
      </c>
    </row>
    <row r="33" spans="1:9" s="95" customFormat="1" ht="15" customHeight="1" x14ac:dyDescent="0.25">
      <c r="A33" s="96">
        <f>IF(I33&lt;&gt;"",MAX(A$1:A32)+1,"")</f>
        <v>26</v>
      </c>
      <c r="B33" s="97" t="s">
        <v>2163</v>
      </c>
      <c r="C33" s="103" t="s">
        <v>57</v>
      </c>
      <c r="D33" s="103">
        <f t="shared" si="1"/>
        <v>4</v>
      </c>
      <c r="E33" s="89" t="s">
        <v>2646</v>
      </c>
      <c r="F33" s="103"/>
      <c r="G33" s="95">
        <f>ROUND((32768/BASE_FLUX) * MTPVFlux_8,0)</f>
        <v>7681</v>
      </c>
      <c r="H33" s="94" t="str">
        <f>IF(G33&lt;&gt;"",IF(C33="float32",FLOAT2HEX(G33),DEC2HEX(G33,8)),"")</f>
        <v>00001E01</v>
      </c>
      <c r="I33" s="94">
        <f t="shared" si="2"/>
        <v>7681</v>
      </c>
    </row>
    <row r="34" spans="1:9" s="95" customFormat="1" ht="15" customHeight="1" x14ac:dyDescent="0.25">
      <c r="A34" s="96">
        <f>IF(I34&lt;&gt;"",MAX(A$1:A33)+1,"")</f>
        <v>27</v>
      </c>
      <c r="B34" s="74" t="s">
        <v>2164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2647</v>
      </c>
      <c r="F34" s="103"/>
      <c r="G34" s="95">
        <f>ROUND((32768/BASE_TORQ) * MTPVTorque_8,0)</f>
        <v>3861</v>
      </c>
      <c r="H34" s="94" t="str">
        <f>IF(G34&lt;&gt;"",IF(C34="float32",FLOAT2HEX(G34),DEC2HEX(G34,8)),"")</f>
        <v>00000F15</v>
      </c>
      <c r="I34" s="94">
        <f t="shared" si="2"/>
        <v>3861</v>
      </c>
    </row>
    <row r="35" spans="1:9" s="95" customFormat="1" ht="15" customHeight="1" x14ac:dyDescent="0.25">
      <c r="A35" s="96">
        <f>IF(I35&lt;&gt;"",MAX(A$1:A34)+1,"")</f>
        <v>28</v>
      </c>
      <c r="B35" s="97" t="s">
        <v>2165</v>
      </c>
      <c r="C35" s="103" t="s">
        <v>57</v>
      </c>
      <c r="D35" s="103">
        <f t="shared" si="1"/>
        <v>4</v>
      </c>
      <c r="E35" s="89" t="s">
        <v>2648</v>
      </c>
      <c r="F35" s="103"/>
      <c r="G35" s="95">
        <f>ROUND((32768/BASE_ANGLE) * MTPVAngle_8,0)</f>
        <v>17399</v>
      </c>
      <c r="H35" s="94" t="str">
        <f>IF(G35&lt;&gt;"",IF(C35="float32",FLOAT2HEX(G35),DEC2HEX(G35,8)),"")</f>
        <v>000043F7</v>
      </c>
      <c r="I35" s="94">
        <f t="shared" si="2"/>
        <v>17399</v>
      </c>
    </row>
    <row r="36" spans="1:9" s="95" customFormat="1" ht="15" customHeight="1" x14ac:dyDescent="0.25">
      <c r="A36" s="96">
        <f>IF(I36&lt;&gt;"",MAX(A$1:A35)+1,"")</f>
        <v>29</v>
      </c>
      <c r="B36" s="97" t="s">
        <v>2166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2649</v>
      </c>
      <c r="F36" s="103"/>
      <c r="G36" s="95">
        <f>ROUND((32768/BASE_FLUX) * MTPVFlux_9,0)</f>
        <v>8339</v>
      </c>
      <c r="H36" s="94" t="str">
        <f>IF(G36&lt;&gt;"",IF(C36="float32",FLOAT2HEX(G36),DEC2HEX(G36,8)),"")</f>
        <v>00002093</v>
      </c>
      <c r="I36" s="94">
        <f t="shared" si="2"/>
        <v>8339</v>
      </c>
    </row>
    <row r="37" spans="1:9" s="95" customFormat="1" ht="15" customHeight="1" x14ac:dyDescent="0.25">
      <c r="A37" s="96">
        <f>IF(I37&lt;&gt;"",MAX(A$1:A36)+1,"")</f>
        <v>30</v>
      </c>
      <c r="B37" s="74" t="s">
        <v>2167</v>
      </c>
      <c r="C37" s="103" t="s">
        <v>57</v>
      </c>
      <c r="D37" s="103">
        <f t="shared" si="1"/>
        <v>4</v>
      </c>
      <c r="E37" s="89" t="s">
        <v>2650</v>
      </c>
      <c r="F37" s="103"/>
      <c r="G37" s="95">
        <f>ROUND((32768/BASE_TORQ) * MTPVTorque_9,0)</f>
        <v>4196</v>
      </c>
      <c r="H37" s="94" t="str">
        <f>IF(G37&lt;&gt;"",IF(C37="float32",FLOAT2HEX(G37),DEC2HEX(G37,8)),"")</f>
        <v>00001064</v>
      </c>
      <c r="I37" s="94">
        <f t="shared" si="2"/>
        <v>4196</v>
      </c>
    </row>
    <row r="38" spans="1:9" s="95" customFormat="1" ht="15" customHeight="1" x14ac:dyDescent="0.25">
      <c r="A38" s="96">
        <f>IF(I38&lt;&gt;"",MAX(A$1:A37)+1,"")</f>
        <v>31</v>
      </c>
      <c r="B38" s="97" t="s">
        <v>2168</v>
      </c>
      <c r="C38" s="103" t="s">
        <v>57</v>
      </c>
      <c r="D38" s="103">
        <f>IF(OR(C38="sint64",C38="uint64",C38="double64"), 8, IF(OR(C38="sint32",C38="uint32",C38="float32"),4,IF(OR(C38="sint16",C38="uint16"),2,  IF(OR(C38="sint8",C38="uint8"),1,""))))</f>
        <v>4</v>
      </c>
      <c r="E38" s="89" t="s">
        <v>2651</v>
      </c>
      <c r="F38" s="103"/>
      <c r="G38" s="95">
        <f>ROUND((32768/BASE_ANGLE) * MTPVAngle_9,0)</f>
        <v>17429</v>
      </c>
      <c r="H38" s="94" t="str">
        <f>IF(G38&lt;&gt;"",IF(C38="float32",FLOAT2HEX(G38),DEC2HEX(G38,8)),"")</f>
        <v>00004415</v>
      </c>
      <c r="I38" s="94">
        <f t="shared" si="2"/>
        <v>17429</v>
      </c>
    </row>
    <row r="39" spans="1:9" s="95" customFormat="1" ht="15" customHeight="1" x14ac:dyDescent="0.25">
      <c r="A39" s="96">
        <f>IF(I39&lt;&gt;"",MAX(A$1:A38)+1,"")</f>
        <v>32</v>
      </c>
      <c r="B39" s="97" t="s">
        <v>2169</v>
      </c>
      <c r="C39" s="103" t="s">
        <v>57</v>
      </c>
      <c r="D39" s="103">
        <f t="shared" si="1"/>
        <v>4</v>
      </c>
      <c r="E39" s="89" t="s">
        <v>2652</v>
      </c>
      <c r="F39" s="103"/>
      <c r="G39" s="95">
        <f>ROUND((32768/BASE_FLUX) * MTPVFlux_10,0)</f>
        <v>8997</v>
      </c>
      <c r="H39" s="94" t="str">
        <f>IF(G39&lt;&gt;"",IF(C39="float32",FLOAT2HEX(G39),DEC2HEX(G39,8)),"")</f>
        <v>00002325</v>
      </c>
      <c r="I39" s="94">
        <f t="shared" si="2"/>
        <v>8997</v>
      </c>
    </row>
    <row r="40" spans="1:9" s="95" customFormat="1" ht="15" customHeight="1" x14ac:dyDescent="0.25">
      <c r="A40" s="96">
        <f>IF(I40&lt;&gt;"",MAX(A$1:A39)+1,"")</f>
        <v>33</v>
      </c>
      <c r="B40" s="74" t="s">
        <v>2170</v>
      </c>
      <c r="C40" s="103" t="s">
        <v>57</v>
      </c>
      <c r="D40" s="103">
        <f t="shared" si="1"/>
        <v>4</v>
      </c>
      <c r="E40" s="89" t="s">
        <v>2653</v>
      </c>
      <c r="F40" s="103"/>
      <c r="G40" s="95">
        <f>ROUND((32768/BASE_TORQ) * MTPVTorque_10,0)</f>
        <v>4525</v>
      </c>
      <c r="H40" s="94" t="str">
        <f>IF(G40&lt;&gt;"",IF(C40="float32",FLOAT2HEX(G40),DEC2HEX(G40,8)),"")</f>
        <v>000011AD</v>
      </c>
      <c r="I40" s="94">
        <f t="shared" si="2"/>
        <v>4525</v>
      </c>
    </row>
    <row r="41" spans="1:9" s="95" customFormat="1" ht="15" customHeight="1" x14ac:dyDescent="0.25">
      <c r="A41" s="96">
        <f>IF(I41&lt;&gt;"",MAX(A$1:A40)+1,"")</f>
        <v>34</v>
      </c>
      <c r="B41" s="97" t="s">
        <v>2171</v>
      </c>
      <c r="C41" s="103" t="s">
        <v>57</v>
      </c>
      <c r="D41" s="103">
        <f t="shared" si="1"/>
        <v>4</v>
      </c>
      <c r="E41" s="89" t="s">
        <v>2654</v>
      </c>
      <c r="F41" s="103"/>
      <c r="G41" s="95">
        <f>ROUND((32768/BASE_ANGLE) * MTPVAngle_10,0)</f>
        <v>17447</v>
      </c>
      <c r="H41" s="94" t="str">
        <f>IF(G41&lt;&gt;"",IF(C41="float32",FLOAT2HEX(G41),DEC2HEX(G41,8)),"")</f>
        <v>00004427</v>
      </c>
      <c r="I41" s="94">
        <f t="shared" si="2"/>
        <v>17447</v>
      </c>
    </row>
    <row r="42" spans="1:9" x14ac:dyDescent="0.25">
      <c r="A42" s="96">
        <f>IF(I42&lt;&gt;"",MAX(A$1:A41)+1,"")</f>
        <v>35</v>
      </c>
      <c r="B42" s="97" t="s">
        <v>2172</v>
      </c>
      <c r="C42" s="103" t="s">
        <v>57</v>
      </c>
      <c r="D42" s="103">
        <f t="shared" si="1"/>
        <v>4</v>
      </c>
      <c r="E42" s="89" t="s">
        <v>2655</v>
      </c>
      <c r="G42" s="103">
        <f>ROUND((32768/BASE_FLUX) * MTPVFlux_11,0)</f>
        <v>9655</v>
      </c>
      <c r="H42" s="94" t="str">
        <f>IF(G42&lt;&gt;"",IF(C42="float32",FLOAT2HEX(G42),DEC2HEX(G42,8)),"")</f>
        <v>000025B7</v>
      </c>
      <c r="I42" s="94">
        <f t="shared" si="2"/>
        <v>9655</v>
      </c>
    </row>
    <row r="43" spans="1:9" x14ac:dyDescent="0.25">
      <c r="A43" s="96">
        <f>IF(I43&lt;&gt;"",MAX(A$1:A42)+1,"")</f>
        <v>36</v>
      </c>
      <c r="B43" s="74" t="s">
        <v>2173</v>
      </c>
      <c r="C43" s="103" t="s">
        <v>57</v>
      </c>
      <c r="D43" s="103">
        <f t="shared" si="1"/>
        <v>4</v>
      </c>
      <c r="E43" s="89" t="s">
        <v>2656</v>
      </c>
      <c r="G43" s="103">
        <f>ROUND((32768/BASE_TORQ) * MTPVTorque_11,0)</f>
        <v>4859</v>
      </c>
      <c r="H43" s="94" t="str">
        <f>IF(G43&lt;&gt;"",IF(C43="float32",FLOAT2HEX(G43),DEC2HEX(G43,8)),"")</f>
        <v>000012FB</v>
      </c>
      <c r="I43" s="94">
        <f t="shared" si="2"/>
        <v>4859</v>
      </c>
    </row>
    <row r="44" spans="1:9" x14ac:dyDescent="0.25">
      <c r="A44" s="96">
        <f>IF(I44&lt;&gt;"",MAX(A$1:A43)+1,"")</f>
        <v>37</v>
      </c>
      <c r="B44" s="97" t="s">
        <v>2174</v>
      </c>
      <c r="C44" s="103" t="s">
        <v>57</v>
      </c>
      <c r="D44" s="103">
        <f t="shared" si="1"/>
        <v>4</v>
      </c>
      <c r="E44" s="89" t="s">
        <v>2657</v>
      </c>
      <c r="G44" s="103">
        <f>ROUND((32768/BASE_ANGLE) * MTPVAngle_11,0)</f>
        <v>17458</v>
      </c>
      <c r="H44" s="94" t="str">
        <f>IF(G44&lt;&gt;"",IF(C44="float32",FLOAT2HEX(G44),DEC2HEX(G44,8)),"")</f>
        <v>00004432</v>
      </c>
      <c r="I44" s="94">
        <f t="shared" si="2"/>
        <v>17458</v>
      </c>
    </row>
    <row r="45" spans="1:9" x14ac:dyDescent="0.25">
      <c r="A45" s="96">
        <f>IF(I45&lt;&gt;"",MAX(A$1:A44)+1,"")</f>
        <v>38</v>
      </c>
      <c r="B45" s="97" t="s">
        <v>2175</v>
      </c>
      <c r="C45" s="103" t="s">
        <v>57</v>
      </c>
      <c r="D45" s="103">
        <f t="shared" si="1"/>
        <v>4</v>
      </c>
      <c r="E45" s="89" t="s">
        <v>2658</v>
      </c>
      <c r="G45" s="103">
        <f>ROUND((32768/BASE_FLUX) * MTPVFlux_12,0)</f>
        <v>10313</v>
      </c>
      <c r="H45" s="94" t="str">
        <f>IF(G45&lt;&gt;"",IF(C45="float32",FLOAT2HEX(G45),DEC2HEX(G45,8)),"")</f>
        <v>00002849</v>
      </c>
      <c r="I45" s="94">
        <f t="shared" si="2"/>
        <v>10313</v>
      </c>
    </row>
    <row r="46" spans="1:9" x14ac:dyDescent="0.25">
      <c r="A46" s="96">
        <f>IF(I46&lt;&gt;"",MAX(A$1:A45)+1,"")</f>
        <v>39</v>
      </c>
      <c r="B46" s="74" t="s">
        <v>2176</v>
      </c>
      <c r="C46" s="103" t="s">
        <v>57</v>
      </c>
      <c r="D46" s="103">
        <f t="shared" si="1"/>
        <v>4</v>
      </c>
      <c r="E46" s="89" t="s">
        <v>2659</v>
      </c>
      <c r="G46" s="103">
        <f>ROUND((32768/BASE_TORQ) * MTPVTorque_12,0)</f>
        <v>5170</v>
      </c>
      <c r="H46" s="94" t="str">
        <f>IF(G46&lt;&gt;"",IF(C46="float32",FLOAT2HEX(G46),DEC2HEX(G46,8)),"")</f>
        <v>00001432</v>
      </c>
      <c r="I46" s="94">
        <f t="shared" si="2"/>
        <v>5170</v>
      </c>
    </row>
    <row r="47" spans="1:9" x14ac:dyDescent="0.25">
      <c r="A47" s="96">
        <f>IF(I47&lt;&gt;"",MAX(A$1:A46)+1,"")</f>
        <v>40</v>
      </c>
      <c r="B47" s="97" t="s">
        <v>2177</v>
      </c>
      <c r="C47" s="103" t="s">
        <v>57</v>
      </c>
      <c r="D47" s="103">
        <f t="shared" si="1"/>
        <v>4</v>
      </c>
      <c r="E47" s="89" t="s">
        <v>2660</v>
      </c>
      <c r="G47" s="103">
        <f>ROUND((32768/BASE_ANGLE) * MTPVAngle_12,0)</f>
        <v>18164</v>
      </c>
      <c r="H47" s="94" t="str">
        <f>IF(G47&lt;&gt;"",IF(C47="float32",FLOAT2HEX(G47),DEC2HEX(G47,8)),"")</f>
        <v>000046F4</v>
      </c>
      <c r="I47" s="94">
        <f t="shared" si="2"/>
        <v>18164</v>
      </c>
    </row>
    <row r="48" spans="1:9" x14ac:dyDescent="0.25">
      <c r="A48" s="96">
        <f>IF(I48&lt;&gt;"",MAX(A$1:A47)+1,"")</f>
        <v>41</v>
      </c>
      <c r="B48" s="97" t="s">
        <v>2178</v>
      </c>
      <c r="C48" s="103" t="s">
        <v>57</v>
      </c>
      <c r="D48" s="103">
        <f t="shared" si="1"/>
        <v>4</v>
      </c>
      <c r="E48" s="89" t="s">
        <v>2661</v>
      </c>
      <c r="G48" s="103">
        <f>ROUND((32768/BASE_FLUX) * MTPVFlux_13,0)</f>
        <v>10972</v>
      </c>
      <c r="H48" s="94" t="str">
        <f>IF(G48&lt;&gt;"",IF(C48="float32",FLOAT2HEX(G48),DEC2HEX(G48,8)),"")</f>
        <v>00002ADC</v>
      </c>
      <c r="I48" s="94">
        <f t="shared" si="2"/>
        <v>10972</v>
      </c>
    </row>
    <row r="49" spans="1:9" x14ac:dyDescent="0.25">
      <c r="A49" s="96">
        <f>IF(I49&lt;&gt;"",MAX(A$1:A48)+1,"")</f>
        <v>42</v>
      </c>
      <c r="B49" s="74" t="s">
        <v>2179</v>
      </c>
      <c r="C49" s="103" t="s">
        <v>57</v>
      </c>
      <c r="D49" s="103">
        <f t="shared" si="1"/>
        <v>4</v>
      </c>
      <c r="E49" s="89" t="s">
        <v>2662</v>
      </c>
      <c r="G49" s="103">
        <f>ROUND((32768/BASE_TORQ) * MTPVTorque_13,0)</f>
        <v>5519</v>
      </c>
      <c r="H49" s="94" t="str">
        <f>IF(G49&lt;&gt;"",IF(C49="float32",FLOAT2HEX(G49),DEC2HEX(G49,8)),"")</f>
        <v>0000158F</v>
      </c>
      <c r="I49" s="94">
        <f t="shared" si="2"/>
        <v>5519</v>
      </c>
    </row>
    <row r="50" spans="1:9" x14ac:dyDescent="0.25">
      <c r="A50" s="96">
        <f>IF(I50&lt;&gt;"",MAX(A$1:A49)+1,"")</f>
        <v>43</v>
      </c>
      <c r="B50" s="97" t="s">
        <v>2180</v>
      </c>
      <c r="C50" s="103" t="s">
        <v>57</v>
      </c>
      <c r="D50" s="103">
        <f t="shared" si="1"/>
        <v>4</v>
      </c>
      <c r="E50" s="89" t="s">
        <v>2663</v>
      </c>
      <c r="G50" s="103">
        <f>ROUND((32768/BASE_ANGLE) * MTPVAngle_13,0)</f>
        <v>17548</v>
      </c>
      <c r="H50" s="94" t="str">
        <f>IF(G50&lt;&gt;"",IF(C50="float32",FLOAT2HEX(G50),DEC2HEX(G50,8)),"")</f>
        <v>0000448C</v>
      </c>
      <c r="I50" s="94">
        <f t="shared" si="2"/>
        <v>17548</v>
      </c>
    </row>
    <row r="51" spans="1:9" x14ac:dyDescent="0.25">
      <c r="A51" s="96">
        <f>IF(I51&lt;&gt;"",MAX(A$1:A50)+1,"")</f>
        <v>44</v>
      </c>
      <c r="B51" s="97" t="s">
        <v>2181</v>
      </c>
      <c r="C51" s="103" t="s">
        <v>57</v>
      </c>
      <c r="D51" s="103">
        <f t="shared" si="1"/>
        <v>4</v>
      </c>
      <c r="E51" s="89" t="s">
        <v>2664</v>
      </c>
      <c r="G51" s="103">
        <f>ROUND((32768/BASE_FLUX) * MTPVFlux_14,0)</f>
        <v>11630</v>
      </c>
      <c r="H51" s="94" t="str">
        <f>IF(G51&lt;&gt;"",IF(C51="float32",FLOAT2HEX(G51),DEC2HEX(G51,8)),"")</f>
        <v>00002D6E</v>
      </c>
      <c r="I51" s="94">
        <f t="shared" si="2"/>
        <v>11630</v>
      </c>
    </row>
    <row r="52" spans="1:9" x14ac:dyDescent="0.25">
      <c r="A52" s="96">
        <f>IF(I52&lt;&gt;"",MAX(A$1:A51)+1,"")</f>
        <v>45</v>
      </c>
      <c r="B52" s="74" t="s">
        <v>2182</v>
      </c>
      <c r="C52" s="103" t="s">
        <v>57</v>
      </c>
      <c r="D52" s="103">
        <f t="shared" si="1"/>
        <v>4</v>
      </c>
      <c r="E52" s="89" t="s">
        <v>2665</v>
      </c>
      <c r="G52" s="103">
        <f>ROUND((32768/BASE_TORQ) * MTPVTorque_14,0)</f>
        <v>5843</v>
      </c>
      <c r="H52" s="94" t="str">
        <f>IF(G52&lt;&gt;"",IF(C52="float32",FLOAT2HEX(G52),DEC2HEX(G52,8)),"")</f>
        <v>000016D3</v>
      </c>
      <c r="I52" s="94">
        <f t="shared" si="2"/>
        <v>5843</v>
      </c>
    </row>
    <row r="53" spans="1:9" x14ac:dyDescent="0.25">
      <c r="A53" s="96">
        <f>IF(I53&lt;&gt;"",MAX(A$1:A52)+1,"")</f>
        <v>46</v>
      </c>
      <c r="B53" s="97" t="s">
        <v>2183</v>
      </c>
      <c r="C53" s="103" t="s">
        <v>57</v>
      </c>
      <c r="D53" s="103">
        <f t="shared" si="1"/>
        <v>4</v>
      </c>
      <c r="E53" s="89" t="s">
        <v>2666</v>
      </c>
      <c r="G53" s="103">
        <f>ROUND((32768/BASE_ANGLE) * MTPVAngle_14,0)</f>
        <v>16976</v>
      </c>
      <c r="H53" s="94" t="str">
        <f>IF(G53&lt;&gt;"",IF(C53="float32",FLOAT2HEX(G53),DEC2HEX(G53,8)),"")</f>
        <v>00004250</v>
      </c>
      <c r="I53" s="94">
        <f t="shared" si="2"/>
        <v>16976</v>
      </c>
    </row>
    <row r="54" spans="1:9" x14ac:dyDescent="0.25">
      <c r="A54" s="96">
        <f>IF(I54&lt;&gt;"",MAX(A$1:A53)+1,"")</f>
        <v>47</v>
      </c>
      <c r="B54" s="97" t="s">
        <v>2184</v>
      </c>
      <c r="C54" s="103" t="s">
        <v>57</v>
      </c>
      <c r="D54" s="103">
        <f t="shared" si="1"/>
        <v>4</v>
      </c>
      <c r="E54" s="89" t="s">
        <v>2667</v>
      </c>
      <c r="G54" s="103">
        <f>ROUND((32768/BASE_FLUX) * MTPVFlux_15,0)</f>
        <v>12288</v>
      </c>
      <c r="H54" s="94" t="str">
        <f>IF(G54&lt;&gt;"",IF(C54="float32",FLOAT2HEX(G54),DEC2HEX(G54,8)),"")</f>
        <v>00003000</v>
      </c>
      <c r="I54" s="94">
        <f t="shared" si="2"/>
        <v>12288</v>
      </c>
    </row>
    <row r="55" spans="1:9" x14ac:dyDescent="0.25">
      <c r="A55" s="96">
        <f>IF(I55&lt;&gt;"",MAX(A$1:A54)+1,"")</f>
        <v>48</v>
      </c>
      <c r="B55" s="74" t="s">
        <v>2185</v>
      </c>
      <c r="C55" s="103" t="s">
        <v>57</v>
      </c>
      <c r="D55" s="103">
        <f t="shared" si="1"/>
        <v>4</v>
      </c>
      <c r="E55" s="89" t="s">
        <v>2668</v>
      </c>
      <c r="G55" s="103">
        <f>ROUND((32768/BASE_TORQ) * MTPVTorque_15,0)</f>
        <v>6151</v>
      </c>
      <c r="H55" s="94" t="str">
        <f>IF(G55&lt;&gt;"",IF(C55="float32",FLOAT2HEX(G55),DEC2HEX(G55,8)),"")</f>
        <v>00001807</v>
      </c>
      <c r="I55" s="94">
        <f t="shared" si="2"/>
        <v>6151</v>
      </c>
    </row>
    <row r="56" spans="1:9" x14ac:dyDescent="0.25">
      <c r="A56" s="96">
        <f>IF(I56&lt;&gt;"",MAX(A$1:A55)+1,"")</f>
        <v>49</v>
      </c>
      <c r="B56" s="97" t="s">
        <v>2186</v>
      </c>
      <c r="C56" s="103" t="s">
        <v>57</v>
      </c>
      <c r="D56" s="103">
        <f t="shared" si="1"/>
        <v>4</v>
      </c>
      <c r="E56" s="89" t="s">
        <v>2669</v>
      </c>
      <c r="G56" s="103">
        <f>ROUND((32768/BASE_ANGLE) * MTPVAngle_15,0)</f>
        <v>16424</v>
      </c>
      <c r="H56" s="94" t="str">
        <f>IF(G56&lt;&gt;"",IF(C56="float32",FLOAT2HEX(G56),DEC2HEX(G56,8)),"")</f>
        <v>00004028</v>
      </c>
      <c r="I56" s="94">
        <f t="shared" si="2"/>
        <v>16424</v>
      </c>
    </row>
    <row r="57" spans="1:9" x14ac:dyDescent="0.25">
      <c r="A57" s="96">
        <f>IF(I57&lt;&gt;"",MAX(A$1:A56)+1,"")</f>
        <v>50</v>
      </c>
      <c r="B57" s="97" t="s">
        <v>2187</v>
      </c>
      <c r="C57" s="103" t="s">
        <v>57</v>
      </c>
      <c r="D57" s="103">
        <f t="shared" si="1"/>
        <v>4</v>
      </c>
      <c r="E57" s="89" t="s">
        <v>2670</v>
      </c>
      <c r="G57" s="103">
        <f>ROUND((32768/BASE_FLUX) * MTPVFlux_16,0)</f>
        <v>12946</v>
      </c>
      <c r="H57" s="94" t="str">
        <f>IF(G57&lt;&gt;"",IF(C57="float32",FLOAT2HEX(G57),DEC2HEX(G57,8)),"")</f>
        <v>00003292</v>
      </c>
      <c r="I57" s="94">
        <f t="shared" si="2"/>
        <v>12946</v>
      </c>
    </row>
    <row r="58" spans="1:9" x14ac:dyDescent="0.25">
      <c r="A58" s="96">
        <f>IF(I58&lt;&gt;"",MAX(A$1:A57)+1,"")</f>
        <v>51</v>
      </c>
      <c r="B58" s="74" t="s">
        <v>2188</v>
      </c>
      <c r="C58" s="103" t="s">
        <v>57</v>
      </c>
      <c r="D58" s="103">
        <f t="shared" si="1"/>
        <v>4</v>
      </c>
      <c r="E58" s="89" t="s">
        <v>2671</v>
      </c>
      <c r="G58" s="103">
        <f>ROUND((32768/BASE_TORQ) * MTPVTorque_16,0)</f>
        <v>6432</v>
      </c>
      <c r="H58" s="94" t="str">
        <f>IF(G58&lt;&gt;"",IF(C58="float32",FLOAT2HEX(G58),DEC2HEX(G58,8)),"")</f>
        <v>00001920</v>
      </c>
      <c r="I58" s="94">
        <f t="shared" si="2"/>
        <v>6432</v>
      </c>
    </row>
    <row r="59" spans="1:9" x14ac:dyDescent="0.25">
      <c r="A59" s="96">
        <f>IF(I59&lt;&gt;"",MAX(A$1:A58)+1,"")</f>
        <v>52</v>
      </c>
      <c r="B59" s="97" t="s">
        <v>2189</v>
      </c>
      <c r="C59" s="103" t="s">
        <v>57</v>
      </c>
      <c r="D59" s="103">
        <f t="shared" si="1"/>
        <v>4</v>
      </c>
      <c r="E59" s="89" t="s">
        <v>2672</v>
      </c>
      <c r="G59" s="103">
        <f>ROUND((32768/BASE_ANGLE) * MTPVAngle_16,0)</f>
        <v>15905</v>
      </c>
      <c r="H59" s="94" t="str">
        <f>IF(G59&lt;&gt;"",IF(C59="float32",FLOAT2HEX(G59),DEC2HEX(G59,8)),"")</f>
        <v>00003E21</v>
      </c>
      <c r="I59" s="94">
        <f t="shared" si="2"/>
        <v>15905</v>
      </c>
    </row>
    <row r="60" spans="1:9" x14ac:dyDescent="0.25">
      <c r="A60" s="96">
        <f>IF(I60&lt;&gt;"",MAX(A$1:A59)+1,"")</f>
        <v>53</v>
      </c>
      <c r="B60" s="97" t="s">
        <v>2190</v>
      </c>
      <c r="C60" s="103" t="s">
        <v>57</v>
      </c>
      <c r="D60" s="103">
        <f t="shared" si="1"/>
        <v>4</v>
      </c>
      <c r="E60" s="89" t="s">
        <v>2673</v>
      </c>
      <c r="G60" s="103">
        <f>ROUND((32768/BASE_FLUX) * MTPVFlux_17,0)</f>
        <v>13604</v>
      </c>
      <c r="H60" s="94" t="str">
        <f>IF(G60&lt;&gt;"",IF(C60="float32",FLOAT2HEX(G60),DEC2HEX(G60,8)),"")</f>
        <v>00003524</v>
      </c>
      <c r="I60" s="94">
        <f t="shared" si="2"/>
        <v>13604</v>
      </c>
    </row>
    <row r="61" spans="1:9" x14ac:dyDescent="0.25">
      <c r="A61" s="96">
        <f>IF(I61&lt;&gt;"",MAX(A$1:A60)+1,"")</f>
        <v>54</v>
      </c>
      <c r="B61" s="74" t="s">
        <v>2191</v>
      </c>
      <c r="C61" s="103" t="s">
        <v>57</v>
      </c>
      <c r="D61" s="103">
        <f t="shared" si="1"/>
        <v>4</v>
      </c>
      <c r="E61" s="89" t="s">
        <v>2674</v>
      </c>
      <c r="G61" s="103">
        <f>ROUND((32768/BASE_TORQ) * MTPVTorque_17,0)</f>
        <v>6692</v>
      </c>
      <c r="H61" s="94" t="str">
        <f>IF(G61&lt;&gt;"",IF(C61="float32",FLOAT2HEX(G61),DEC2HEX(G61,8)),"")</f>
        <v>00001A24</v>
      </c>
      <c r="I61" s="94">
        <f t="shared" si="2"/>
        <v>6692</v>
      </c>
    </row>
    <row r="62" spans="1:9" x14ac:dyDescent="0.25">
      <c r="A62" s="96">
        <f>IF(I62&lt;&gt;"",MAX(A$1:A61)+1,"")</f>
        <v>55</v>
      </c>
      <c r="B62" s="97" t="s">
        <v>2192</v>
      </c>
      <c r="C62" s="103" t="s">
        <v>57</v>
      </c>
      <c r="D62" s="103">
        <f t="shared" si="1"/>
        <v>4</v>
      </c>
      <c r="E62" s="89" t="s">
        <v>2675</v>
      </c>
      <c r="G62" s="103">
        <f>ROUND((32768/BASE_ANGLE) * MTPVAngle_17,0)</f>
        <v>15396</v>
      </c>
      <c r="H62" s="94" t="str">
        <f>IF(G62&lt;&gt;"",IF(C62="float32",FLOAT2HEX(G62),DEC2HEX(G62,8)),"")</f>
        <v>00003C24</v>
      </c>
      <c r="I62" s="94">
        <f t="shared" si="2"/>
        <v>15396</v>
      </c>
    </row>
    <row r="63" spans="1:9" x14ac:dyDescent="0.25">
      <c r="A63" s="96">
        <f>IF(I63&lt;&gt;"",MAX(A$1:A62)+1,"")</f>
        <v>56</v>
      </c>
      <c r="B63" s="97" t="s">
        <v>2193</v>
      </c>
      <c r="C63" s="103" t="s">
        <v>57</v>
      </c>
      <c r="D63" s="103">
        <f t="shared" si="1"/>
        <v>4</v>
      </c>
      <c r="E63" s="89" t="s">
        <v>2676</v>
      </c>
      <c r="G63" s="103">
        <f>ROUND((32768/BASE_FLUX) * MTPVFlux_18,0)</f>
        <v>14262</v>
      </c>
      <c r="H63" s="94" t="str">
        <f>IF(G63&lt;&gt;"",IF(C63="float32",FLOAT2HEX(G63),DEC2HEX(G63,8)),"")</f>
        <v>000037B6</v>
      </c>
      <c r="I63" s="94">
        <f t="shared" si="2"/>
        <v>14262</v>
      </c>
    </row>
    <row r="64" spans="1:9" x14ac:dyDescent="0.25">
      <c r="A64" s="96">
        <f>IF(I64&lt;&gt;"",MAX(A$1:A63)+1,"")</f>
        <v>57</v>
      </c>
      <c r="B64" s="74" t="s">
        <v>2194</v>
      </c>
      <c r="C64" s="103" t="s">
        <v>57</v>
      </c>
      <c r="D64" s="103">
        <f t="shared" si="1"/>
        <v>4</v>
      </c>
      <c r="E64" s="89" t="s">
        <v>2677</v>
      </c>
      <c r="G64" s="103">
        <f>ROUND((32768/BASE_TORQ) * MTPVTorque_18,0)</f>
        <v>6927</v>
      </c>
      <c r="H64" s="94" t="str">
        <f>IF(G64&lt;&gt;"",IF(C64="float32",FLOAT2HEX(G64),DEC2HEX(G64,8)),"")</f>
        <v>00001B0F</v>
      </c>
      <c r="I64" s="94">
        <f t="shared" si="2"/>
        <v>6927</v>
      </c>
    </row>
    <row r="65" spans="1:9" x14ac:dyDescent="0.25">
      <c r="A65" s="96">
        <f>IF(I65&lt;&gt;"",MAX(A$1:A64)+1,"")</f>
        <v>58</v>
      </c>
      <c r="B65" s="97" t="s">
        <v>2195</v>
      </c>
      <c r="C65" s="103" t="s">
        <v>57</v>
      </c>
      <c r="D65" s="103">
        <f t="shared" si="1"/>
        <v>4</v>
      </c>
      <c r="E65" s="89" t="s">
        <v>2678</v>
      </c>
      <c r="G65" s="103">
        <f>ROUND((32768/BASE_ANGLE) * MTPVAngle_18,0)</f>
        <v>14903</v>
      </c>
      <c r="H65" s="94" t="str">
        <f>IF(G65&lt;&gt;"",IF(C65="float32",FLOAT2HEX(G65),DEC2HEX(G65,8)),"")</f>
        <v>00003A37</v>
      </c>
      <c r="I65" s="94">
        <f t="shared" si="2"/>
        <v>14903</v>
      </c>
    </row>
    <row r="66" spans="1:9" x14ac:dyDescent="0.25">
      <c r="A66" s="96">
        <f>IF(I66&lt;&gt;"",MAX(A$1:A65)+1,"")</f>
        <v>59</v>
      </c>
      <c r="B66" s="97" t="s">
        <v>2196</v>
      </c>
      <c r="C66" s="103" t="s">
        <v>57</v>
      </c>
      <c r="D66" s="103">
        <f t="shared" si="1"/>
        <v>4</v>
      </c>
      <c r="E66" s="89" t="s">
        <v>2679</v>
      </c>
      <c r="G66" s="103">
        <f>ROUND((32768/BASE_FLUX) * MTPVFlux_19,0)</f>
        <v>14921</v>
      </c>
      <c r="H66" s="94" t="str">
        <f>IF(G66&lt;&gt;"",IF(C66="float32",FLOAT2HEX(G66),DEC2HEX(G66,8)),"")</f>
        <v>00003A49</v>
      </c>
      <c r="I66" s="94">
        <f t="shared" si="2"/>
        <v>14921</v>
      </c>
    </row>
    <row r="67" spans="1:9" x14ac:dyDescent="0.25">
      <c r="A67" s="96">
        <f>IF(I67&lt;&gt;"",MAX(A$1:A66)+1,"")</f>
        <v>60</v>
      </c>
      <c r="B67" s="74" t="s">
        <v>2197</v>
      </c>
      <c r="C67" s="103" t="s">
        <v>57</v>
      </c>
      <c r="D67" s="103">
        <f t="shared" si="1"/>
        <v>4</v>
      </c>
      <c r="E67" s="89" t="s">
        <v>2680</v>
      </c>
      <c r="G67" s="103">
        <f>ROUND((32768/BASE_TORQ) * MTPVTorque_19,0)</f>
        <v>7138</v>
      </c>
      <c r="H67" s="94" t="str">
        <f>IF(G67&lt;&gt;"",IF(C67="float32",FLOAT2HEX(G67),DEC2HEX(G67,8)),"")</f>
        <v>00001BE2</v>
      </c>
      <c r="I67" s="94">
        <f t="shared" si="2"/>
        <v>7138</v>
      </c>
    </row>
    <row r="68" spans="1:9" x14ac:dyDescent="0.25">
      <c r="A68" s="96">
        <f>IF(I68&lt;&gt;"",MAX(A$1:A67)+1,"")</f>
        <v>61</v>
      </c>
      <c r="B68" s="97" t="s">
        <v>2198</v>
      </c>
      <c r="C68" s="103" t="s">
        <v>57</v>
      </c>
      <c r="D68" s="103">
        <f t="shared" si="1"/>
        <v>4</v>
      </c>
      <c r="E68" s="89" t="s">
        <v>2681</v>
      </c>
      <c r="G68" s="103">
        <f>ROUND((32768/BASE_ANGLE) * MTPVAngle_19,0)</f>
        <v>14412</v>
      </c>
      <c r="H68" s="94" t="str">
        <f>IF(G68&lt;&gt;"",IF(C68="float32",FLOAT2HEX(G68),DEC2HEX(G68,8)),"")</f>
        <v>0000384C</v>
      </c>
      <c r="I68" s="94">
        <f t="shared" si="2"/>
        <v>14412</v>
      </c>
    </row>
    <row r="69" spans="1:9" x14ac:dyDescent="0.25">
      <c r="A69" s="96">
        <f>IF(I69&lt;&gt;"",MAX(A$1:A68)+1,"")</f>
        <v>62</v>
      </c>
      <c r="B69" s="97" t="s">
        <v>2199</v>
      </c>
      <c r="C69" s="103" t="s">
        <v>57</v>
      </c>
      <c r="D69" s="103">
        <f t="shared" si="1"/>
        <v>4</v>
      </c>
      <c r="E69" s="89" t="s">
        <v>2682</v>
      </c>
      <c r="G69" s="103">
        <f>ROUND((32768/BASE_FLUX) * MTPVFlux_20,0)</f>
        <v>15579</v>
      </c>
      <c r="H69" s="94" t="str">
        <f>IF(G69&lt;&gt;"",IF(C69="float32",FLOAT2HEX(G69),DEC2HEX(G69,8)),"")</f>
        <v>00003CDB</v>
      </c>
      <c r="I69" s="94">
        <f t="shared" si="2"/>
        <v>15579</v>
      </c>
    </row>
    <row r="70" spans="1:9" x14ac:dyDescent="0.25">
      <c r="A70" s="96">
        <f>IF(I70&lt;&gt;"",MAX(A$1:A69)+1,"")</f>
        <v>63</v>
      </c>
      <c r="B70" s="74" t="s">
        <v>2200</v>
      </c>
      <c r="C70" s="103" t="s">
        <v>57</v>
      </c>
      <c r="D70" s="103">
        <f t="shared" si="1"/>
        <v>4</v>
      </c>
      <c r="E70" s="89" t="s">
        <v>2683</v>
      </c>
      <c r="G70" s="103">
        <f>ROUND((32768/BASE_TORQ) * MTPVTorque_20,0)</f>
        <v>7319</v>
      </c>
      <c r="H70" s="94" t="str">
        <f>IF(G70&lt;&gt;"",IF(C70="float32",FLOAT2HEX(G70),DEC2HEX(G70,8)),"")</f>
        <v>00001C97</v>
      </c>
      <c r="I70" s="94">
        <f t="shared" si="2"/>
        <v>7319</v>
      </c>
    </row>
    <row r="71" spans="1:9" x14ac:dyDescent="0.25">
      <c r="A71" s="96">
        <f>IF(I71&lt;&gt;"",MAX(A$1:A70)+1,"")</f>
        <v>64</v>
      </c>
      <c r="B71" s="97" t="s">
        <v>2201</v>
      </c>
      <c r="C71" s="103" t="s">
        <v>57</v>
      </c>
      <c r="D71" s="103">
        <f t="shared" si="1"/>
        <v>4</v>
      </c>
      <c r="E71" s="89" t="s">
        <v>2684</v>
      </c>
      <c r="G71" s="103">
        <f>ROUND((32768/BASE_ANGLE) * MTPVAngle_20,0)</f>
        <v>13935</v>
      </c>
      <c r="H71" s="94" t="str">
        <f>IF(G71&lt;&gt;"",IF(C71="float32",FLOAT2HEX(G71),DEC2HEX(G71,8)),"")</f>
        <v>0000366F</v>
      </c>
      <c r="I71" s="94">
        <f t="shared" si="2"/>
        <v>13935</v>
      </c>
    </row>
    <row r="72" spans="1:9" x14ac:dyDescent="0.25">
      <c r="A72" s="96">
        <f>IF(I72&lt;&gt;"",MAX(A$1:A71)+1,"")</f>
        <v>65</v>
      </c>
      <c r="B72" s="97" t="s">
        <v>2202</v>
      </c>
      <c r="C72" s="103" t="s">
        <v>57</v>
      </c>
      <c r="D72" s="103">
        <f t="shared" si="1"/>
        <v>4</v>
      </c>
      <c r="E72" s="89" t="s">
        <v>2685</v>
      </c>
      <c r="G72" s="103">
        <f>ROUND((32768/BASE_FLUX) * MTPVFlux_21,0)</f>
        <v>16237</v>
      </c>
      <c r="H72" s="94" t="str">
        <f>IF(G72&lt;&gt;"",IF(C72="float32",FLOAT2HEX(G72),DEC2HEX(G72,8)),"")</f>
        <v>00003F6D</v>
      </c>
      <c r="I72" s="94">
        <f t="shared" si="2"/>
        <v>16237</v>
      </c>
    </row>
    <row r="73" spans="1:9" x14ac:dyDescent="0.25">
      <c r="A73" s="96">
        <f>IF(I73&lt;&gt;"",MAX(A$1:A72)+1,"")</f>
        <v>66</v>
      </c>
      <c r="B73" s="74" t="s">
        <v>2203</v>
      </c>
      <c r="C73" s="103" t="s">
        <v>57</v>
      </c>
      <c r="D73" s="103">
        <f t="shared" ref="D73:D136" si="3">IF(OR(C73="sint64",C73="uint64",C73="double64"), 8, IF(OR(C73="sint32",C73="uint32",C73="float32"),4,IF(OR(C73="sint16",C73="uint16"),2,  IF(OR(C73="sint8",C73="uint8"),1,""))))</f>
        <v>4</v>
      </c>
      <c r="E73" s="89" t="s">
        <v>2686</v>
      </c>
      <c r="G73" s="103">
        <f>ROUND((32768/BASE_TORQ) * MTPVTorque_21,0)</f>
        <v>7471</v>
      </c>
      <c r="H73" s="94" t="str">
        <f>IF(G73&lt;&gt;"",IF(C73="float32",FLOAT2HEX(G73),DEC2HEX(G73,8)),"")</f>
        <v>00001D2F</v>
      </c>
      <c r="I73" s="94">
        <f t="shared" si="2"/>
        <v>7471</v>
      </c>
    </row>
    <row r="74" spans="1:9" x14ac:dyDescent="0.25">
      <c r="A74" s="96">
        <f>IF(I74&lt;&gt;"",MAX(A$1:A73)+1,"")</f>
        <v>67</v>
      </c>
      <c r="B74" s="97" t="s">
        <v>2204</v>
      </c>
      <c r="C74" s="103" t="s">
        <v>57</v>
      </c>
      <c r="D74" s="103">
        <f t="shared" si="3"/>
        <v>4</v>
      </c>
      <c r="E74" s="89" t="s">
        <v>2687</v>
      </c>
      <c r="G74" s="103">
        <f>ROUND((32768/BASE_ANGLE) * MTPVAngle_21,0)</f>
        <v>13454</v>
      </c>
      <c r="H74" s="94" t="str">
        <f>IF(G74&lt;&gt;"",IF(C74="float32",FLOAT2HEX(G74),DEC2HEX(G74,8)),"")</f>
        <v>0000348E</v>
      </c>
      <c r="I74" s="94">
        <f t="shared" ref="I74:I137" si="4">IF(AND(G74&lt;&gt;"",(ROW()-8)&lt;(($G$7+1)*3+1)),HEX2DEC(H74),"")</f>
        <v>13454</v>
      </c>
    </row>
    <row r="75" spans="1:9" x14ac:dyDescent="0.25">
      <c r="A75" s="96">
        <f>IF(I75&lt;&gt;"",MAX(A$1:A74)+1,"")</f>
        <v>68</v>
      </c>
      <c r="B75" s="97" t="s">
        <v>2205</v>
      </c>
      <c r="C75" s="103" t="s">
        <v>57</v>
      </c>
      <c r="D75" s="103">
        <f t="shared" si="3"/>
        <v>4</v>
      </c>
      <c r="E75" s="89" t="s">
        <v>2688</v>
      </c>
      <c r="G75" s="103">
        <f>ROUND((32768/BASE_FLUX) * MTPVFlux_22,0)</f>
        <v>16895</v>
      </c>
      <c r="H75" s="94" t="str">
        <f>IF(G75&lt;&gt;"",IF(C75="float32",FLOAT2HEX(G75),DEC2HEX(G75,8)),"")</f>
        <v>000041FF</v>
      </c>
      <c r="I75" s="94">
        <f t="shared" si="4"/>
        <v>16895</v>
      </c>
    </row>
    <row r="76" spans="1:9" x14ac:dyDescent="0.25">
      <c r="A76" s="96">
        <f>IF(I76&lt;&gt;"",MAX(A$1:A75)+1,"")</f>
        <v>69</v>
      </c>
      <c r="B76" s="74" t="s">
        <v>2206</v>
      </c>
      <c r="C76" s="103" t="s">
        <v>57</v>
      </c>
      <c r="D76" s="103">
        <f t="shared" si="3"/>
        <v>4</v>
      </c>
      <c r="E76" s="89" t="s">
        <v>2689</v>
      </c>
      <c r="G76" s="103">
        <f>ROUND((32768/BASE_TORQ) * MTPVTorque_22,0)</f>
        <v>7591</v>
      </c>
      <c r="H76" s="94" t="str">
        <f>IF(G76&lt;&gt;"",IF(C76="float32",FLOAT2HEX(G76),DEC2HEX(G76,8)),"")</f>
        <v>00001DA7</v>
      </c>
      <c r="I76" s="94">
        <f t="shared" si="4"/>
        <v>7591</v>
      </c>
    </row>
    <row r="77" spans="1:9" x14ac:dyDescent="0.25">
      <c r="A77" s="96">
        <f>IF(I77&lt;&gt;"",MAX(A$1:A76)+1,"")</f>
        <v>70</v>
      </c>
      <c r="B77" s="97" t="s">
        <v>2207</v>
      </c>
      <c r="C77" s="103" t="s">
        <v>57</v>
      </c>
      <c r="D77" s="103">
        <f t="shared" si="3"/>
        <v>4</v>
      </c>
      <c r="E77" s="89" t="s">
        <v>2690</v>
      </c>
      <c r="G77" s="103">
        <f>ROUND((32768/BASE_ANGLE) * MTPVAngle_22,0)</f>
        <v>12971</v>
      </c>
      <c r="H77" s="94" t="str">
        <f>IF(G77&lt;&gt;"",IF(C77="float32",FLOAT2HEX(G77),DEC2HEX(G77,8)),"")</f>
        <v>000032AB</v>
      </c>
      <c r="I77" s="94">
        <f t="shared" si="4"/>
        <v>12971</v>
      </c>
    </row>
    <row r="78" spans="1:9" x14ac:dyDescent="0.25">
      <c r="A78" s="96">
        <f>IF(I78&lt;&gt;"",MAX(A$1:A77)+1,"")</f>
        <v>71</v>
      </c>
      <c r="B78" s="97" t="s">
        <v>2208</v>
      </c>
      <c r="C78" s="103" t="s">
        <v>57</v>
      </c>
      <c r="D78" s="103">
        <f t="shared" si="3"/>
        <v>4</v>
      </c>
      <c r="E78" s="89" t="s">
        <v>2691</v>
      </c>
      <c r="G78" s="103">
        <f>ROUND((32768/BASE_FLUX) * MTPVFlux_23,0)</f>
        <v>17553</v>
      </c>
      <c r="H78" s="94" t="str">
        <f>IF(G78&lt;&gt;"",IF(C78="float32",FLOAT2HEX(G78),DEC2HEX(G78,8)),"")</f>
        <v>00004491</v>
      </c>
      <c r="I78" s="94">
        <f t="shared" si="4"/>
        <v>17553</v>
      </c>
    </row>
    <row r="79" spans="1:9" x14ac:dyDescent="0.25">
      <c r="A79" s="96">
        <f>IF(I79&lt;&gt;"",MAX(A$1:A78)+1,"")</f>
        <v>72</v>
      </c>
      <c r="B79" s="74" t="s">
        <v>2209</v>
      </c>
      <c r="C79" s="103" t="s">
        <v>57</v>
      </c>
      <c r="D79" s="103">
        <f t="shared" si="3"/>
        <v>4</v>
      </c>
      <c r="E79" s="89" t="s">
        <v>2692</v>
      </c>
      <c r="G79" s="103">
        <f>ROUND((32768/BASE_TORQ) * MTPVTorque_23,0)</f>
        <v>7676</v>
      </c>
      <c r="H79" s="94" t="str">
        <f>IF(G79&lt;&gt;"",IF(C79="float32",FLOAT2HEX(G79),DEC2HEX(G79,8)),"")</f>
        <v>00001DFC</v>
      </c>
      <c r="I79" s="94">
        <f t="shared" si="4"/>
        <v>7676</v>
      </c>
    </row>
    <row r="80" spans="1:9" x14ac:dyDescent="0.25">
      <c r="A80" s="96">
        <f>IF(I80&lt;&gt;"",MAX(A$1:A79)+1,"")</f>
        <v>73</v>
      </c>
      <c r="B80" s="97" t="s">
        <v>2210</v>
      </c>
      <c r="C80" s="103" t="s">
        <v>57</v>
      </c>
      <c r="D80" s="103">
        <f t="shared" si="3"/>
        <v>4</v>
      </c>
      <c r="E80" s="89" t="s">
        <v>2693</v>
      </c>
      <c r="G80" s="103">
        <f>ROUND((32768/BASE_ANGLE) * MTPVAngle_23,0)</f>
        <v>12485</v>
      </c>
      <c r="H80" s="94" t="str">
        <f>IF(G80&lt;&gt;"",IF(C80="float32",FLOAT2HEX(G80),DEC2HEX(G80,8)),"")</f>
        <v>000030C5</v>
      </c>
      <c r="I80" s="94">
        <f t="shared" si="4"/>
        <v>12485</v>
      </c>
    </row>
    <row r="81" spans="1:9" x14ac:dyDescent="0.25">
      <c r="A81" s="96">
        <f>IF(I81&lt;&gt;"",MAX(A$1:A80)+1,"")</f>
        <v>74</v>
      </c>
      <c r="B81" s="97" t="s">
        <v>2211</v>
      </c>
      <c r="C81" s="103" t="s">
        <v>57</v>
      </c>
      <c r="D81" s="103">
        <f t="shared" si="3"/>
        <v>4</v>
      </c>
      <c r="E81" s="89" t="s">
        <v>2694</v>
      </c>
      <c r="G81" s="103">
        <f>ROUND((32768/BASE_FLUX) * MTPVFlux_24,0)</f>
        <v>17553</v>
      </c>
      <c r="H81" s="94" t="str">
        <f>IF(G81&lt;&gt;"",IF(C81="float32",FLOAT2HEX(G81),DEC2HEX(G81,8)),"")</f>
        <v>00004491</v>
      </c>
      <c r="I81" s="94">
        <f t="shared" si="4"/>
        <v>17553</v>
      </c>
    </row>
    <row r="82" spans="1:9" x14ac:dyDescent="0.25">
      <c r="A82" s="96">
        <f>IF(I82&lt;&gt;"",MAX(A$1:A81)+1,"")</f>
        <v>75</v>
      </c>
      <c r="B82" s="74" t="s">
        <v>2212</v>
      </c>
      <c r="C82" s="103" t="s">
        <v>57</v>
      </c>
      <c r="D82" s="103">
        <f t="shared" si="3"/>
        <v>4</v>
      </c>
      <c r="E82" s="89" t="s">
        <v>2695</v>
      </c>
      <c r="G82" s="103">
        <f>ROUND((32768/BASE_TORQ) * MTPVTorque_24,0)</f>
        <v>7676</v>
      </c>
      <c r="H82" s="94" t="str">
        <f>IF(G82&lt;&gt;"",IF(C82="float32",FLOAT2HEX(G82),DEC2HEX(G82,8)),"")</f>
        <v>00001DFC</v>
      </c>
      <c r="I82" s="94">
        <f t="shared" si="4"/>
        <v>7676</v>
      </c>
    </row>
    <row r="83" spans="1:9" x14ac:dyDescent="0.25">
      <c r="A83" s="96">
        <f>IF(I83&lt;&gt;"",MAX(A$1:A82)+1,"")</f>
        <v>76</v>
      </c>
      <c r="B83" s="97" t="s">
        <v>2213</v>
      </c>
      <c r="C83" s="103" t="s">
        <v>57</v>
      </c>
      <c r="D83" s="103">
        <f t="shared" si="3"/>
        <v>4</v>
      </c>
      <c r="E83" s="89" t="s">
        <v>2696</v>
      </c>
      <c r="G83" s="103">
        <f>ROUND((32768/BASE_ANGLE) * MTPVAngle_24,0)</f>
        <v>12485</v>
      </c>
      <c r="H83" s="94" t="str">
        <f>IF(G83&lt;&gt;"",IF(C83="float32",FLOAT2HEX(G83),DEC2HEX(G83,8)),"")</f>
        <v>000030C5</v>
      </c>
      <c r="I83" s="94">
        <f t="shared" si="4"/>
        <v>12485</v>
      </c>
    </row>
    <row r="84" spans="1:9" x14ac:dyDescent="0.25">
      <c r="A84" s="96" t="str">
        <f>IF(I84&lt;&gt;"",MAX(A$1:A83)+1,"")</f>
        <v/>
      </c>
      <c r="B84" s="97" t="s">
        <v>2214</v>
      </c>
      <c r="C84" s="103" t="s">
        <v>57</v>
      </c>
      <c r="D84" s="103">
        <f t="shared" si="3"/>
        <v>4</v>
      </c>
      <c r="E84" s="89" t="s">
        <v>2697</v>
      </c>
      <c r="G84" s="103">
        <f>ROUND((32768/BASE_FLUX) * MTPVFlux_25,0)</f>
        <v>3752</v>
      </c>
      <c r="H84" s="94" t="str">
        <f>IF(G84&lt;&gt;"",IF(C84="float32",FLOAT2HEX(G84),DEC2HEX(G84,8)),"")</f>
        <v>00000EA8</v>
      </c>
      <c r="I84" s="94" t="str">
        <f t="shared" si="4"/>
        <v/>
      </c>
    </row>
    <row r="85" spans="1:9" x14ac:dyDescent="0.25">
      <c r="A85" s="96" t="str">
        <f>IF(I85&lt;&gt;"",MAX(A$1:A84)+1,"")</f>
        <v/>
      </c>
      <c r="B85" s="74" t="s">
        <v>2215</v>
      </c>
      <c r="C85" s="103" t="s">
        <v>57</v>
      </c>
      <c r="D85" s="103">
        <f t="shared" si="3"/>
        <v>4</v>
      </c>
      <c r="E85" s="89" t="s">
        <v>2698</v>
      </c>
      <c r="G85" s="103">
        <f>ROUND((32768/BASE_TORQ) * MTPVTorque_25,0)</f>
        <v>1680</v>
      </c>
      <c r="H85" s="94" t="str">
        <f>IF(G85&lt;&gt;"",IF(C85="float32",FLOAT2HEX(G85),DEC2HEX(G85,8)),"")</f>
        <v>00000690</v>
      </c>
      <c r="I85" s="94" t="str">
        <f t="shared" si="4"/>
        <v/>
      </c>
    </row>
    <row r="86" spans="1:9" x14ac:dyDescent="0.25">
      <c r="A86" s="96" t="str">
        <f>IF(I86&lt;&gt;"",MAX(A$1:A85)+1,"")</f>
        <v/>
      </c>
      <c r="B86" s="97" t="s">
        <v>2216</v>
      </c>
      <c r="C86" s="103" t="s">
        <v>57</v>
      </c>
      <c r="D86" s="103">
        <f t="shared" si="3"/>
        <v>4</v>
      </c>
      <c r="E86" s="89" t="s">
        <v>2699</v>
      </c>
      <c r="G86" s="103">
        <f>ROUND((32768/BASE_ANGLE) * MTPVAngle_25,0)</f>
        <v>19262</v>
      </c>
      <c r="H86" s="94" t="str">
        <f>IF(G86&lt;&gt;"",IF(C86="float32",FLOAT2HEX(G86),DEC2HEX(G86,8)),"")</f>
        <v>00004B3E</v>
      </c>
      <c r="I86" s="94" t="str">
        <f t="shared" si="4"/>
        <v/>
      </c>
    </row>
    <row r="87" spans="1:9" x14ac:dyDescent="0.25">
      <c r="A87" s="96" t="str">
        <f>IF(I87&lt;&gt;"",MAX(A$1:A86)+1,"")</f>
        <v/>
      </c>
      <c r="B87" s="97" t="s">
        <v>2217</v>
      </c>
      <c r="C87" s="103" t="s">
        <v>57</v>
      </c>
      <c r="D87" s="103">
        <f t="shared" si="3"/>
        <v>4</v>
      </c>
      <c r="E87" s="89" t="s">
        <v>2700</v>
      </c>
      <c r="G87" s="103">
        <f>ROUND((32768/BASE_FLUX) * MTPVFlux_26,0)</f>
        <v>3869</v>
      </c>
      <c r="H87" s="94" t="str">
        <f>IF(G87&lt;&gt;"",IF(C87="float32",FLOAT2HEX(G87),DEC2HEX(G87,8)),"")</f>
        <v>00000F1D</v>
      </c>
      <c r="I87" s="94" t="str">
        <f t="shared" si="4"/>
        <v/>
      </c>
    </row>
    <row r="88" spans="1:9" x14ac:dyDescent="0.25">
      <c r="A88" s="96" t="str">
        <f>IF(I88&lt;&gt;"",MAX(A$1:A87)+1,"")</f>
        <v/>
      </c>
      <c r="B88" s="74" t="s">
        <v>2218</v>
      </c>
      <c r="C88" s="103" t="s">
        <v>57</v>
      </c>
      <c r="D88" s="103">
        <f t="shared" si="3"/>
        <v>4</v>
      </c>
      <c r="E88" s="89" t="s">
        <v>2701</v>
      </c>
      <c r="G88" s="103">
        <f>ROUND((32768/BASE_TORQ) * MTPVTorque_26,0)</f>
        <v>1733</v>
      </c>
      <c r="H88" s="94" t="str">
        <f>IF(G88&lt;&gt;"",IF(C88="float32",FLOAT2HEX(G88),DEC2HEX(G88,8)),"")</f>
        <v>000006C5</v>
      </c>
      <c r="I88" s="94" t="str">
        <f t="shared" si="4"/>
        <v/>
      </c>
    </row>
    <row r="89" spans="1:9" x14ac:dyDescent="0.25">
      <c r="A89" s="96" t="str">
        <f>IF(I89&lt;&gt;"",MAX(A$1:A88)+1,"")</f>
        <v/>
      </c>
      <c r="B89" s="97" t="s">
        <v>2219</v>
      </c>
      <c r="C89" s="103" t="s">
        <v>57</v>
      </c>
      <c r="D89" s="103">
        <f t="shared" si="3"/>
        <v>4</v>
      </c>
      <c r="E89" s="89" t="s">
        <v>2702</v>
      </c>
      <c r="G89" s="103">
        <f>ROUND((32768/BASE_ANGLE) * MTPVAngle_26,0)</f>
        <v>19393</v>
      </c>
      <c r="H89" s="94" t="str">
        <f>IF(G89&lt;&gt;"",IF(C89="float32",FLOAT2HEX(G89),DEC2HEX(G89,8)),"")</f>
        <v>00004BC1</v>
      </c>
      <c r="I89" s="94" t="str">
        <f t="shared" si="4"/>
        <v/>
      </c>
    </row>
    <row r="90" spans="1:9" x14ac:dyDescent="0.25">
      <c r="A90" s="96" t="str">
        <f>IF(I90&lt;&gt;"",MAX(A$1:A89)+1,"")</f>
        <v/>
      </c>
      <c r="B90" s="97" t="s">
        <v>2220</v>
      </c>
      <c r="C90" s="103" t="s">
        <v>57</v>
      </c>
      <c r="D90" s="103">
        <f t="shared" si="3"/>
        <v>4</v>
      </c>
      <c r="E90" s="89" t="s">
        <v>2703</v>
      </c>
      <c r="G90" s="103">
        <f>ROUND((32768/BASE_FLUX) * MTPVFlux_27,0)</f>
        <v>3986</v>
      </c>
      <c r="H90" s="94" t="str">
        <f>IF(G90&lt;&gt;"",IF(C90="float32",FLOAT2HEX(G90),DEC2HEX(G90,8)),"")</f>
        <v>00000F92</v>
      </c>
      <c r="I90" s="94" t="str">
        <f t="shared" si="4"/>
        <v/>
      </c>
    </row>
    <row r="91" spans="1:9" x14ac:dyDescent="0.25">
      <c r="A91" s="96" t="str">
        <f>IF(I91&lt;&gt;"",MAX(A$1:A90)+1,"")</f>
        <v/>
      </c>
      <c r="B91" s="74" t="s">
        <v>2221</v>
      </c>
      <c r="C91" s="103" t="s">
        <v>57</v>
      </c>
      <c r="D91" s="103">
        <f t="shared" si="3"/>
        <v>4</v>
      </c>
      <c r="E91" s="89" t="s">
        <v>2704</v>
      </c>
      <c r="G91" s="103">
        <f>ROUND((32768/BASE_TORQ) * MTPVTorque_27,0)</f>
        <v>1785</v>
      </c>
      <c r="H91" s="94" t="str">
        <f>IF(G91&lt;&gt;"",IF(C91="float32",FLOAT2HEX(G91),DEC2HEX(G91,8)),"")</f>
        <v>000006F9</v>
      </c>
      <c r="I91" s="94" t="str">
        <f t="shared" si="4"/>
        <v/>
      </c>
    </row>
    <row r="92" spans="1:9" x14ac:dyDescent="0.25">
      <c r="A92" s="96" t="str">
        <f>IF(I92&lt;&gt;"",MAX(A$1:A91)+1,"")</f>
        <v/>
      </c>
      <c r="B92" s="97" t="s">
        <v>2222</v>
      </c>
      <c r="C92" s="103" t="s">
        <v>57</v>
      </c>
      <c r="D92" s="103">
        <f t="shared" si="3"/>
        <v>4</v>
      </c>
      <c r="E92" s="89" t="s">
        <v>2705</v>
      </c>
      <c r="G92" s="103">
        <f>ROUND((32768/BASE_ANGLE) * MTPVAngle_27,0)</f>
        <v>19522</v>
      </c>
      <c r="H92" s="94" t="str">
        <f>IF(G92&lt;&gt;"",IF(C92="float32",FLOAT2HEX(G92),DEC2HEX(G92,8)),"")</f>
        <v>00004C42</v>
      </c>
      <c r="I92" s="94" t="str">
        <f t="shared" si="4"/>
        <v/>
      </c>
    </row>
    <row r="93" spans="1:9" x14ac:dyDescent="0.25">
      <c r="A93" s="96" t="str">
        <f>IF(I93&lt;&gt;"",MAX(A$1:A92)+1,"")</f>
        <v/>
      </c>
      <c r="B93" s="97" t="s">
        <v>2223</v>
      </c>
      <c r="C93" s="103" t="s">
        <v>57</v>
      </c>
      <c r="D93" s="103">
        <f t="shared" si="3"/>
        <v>4</v>
      </c>
      <c r="E93" s="89" t="s">
        <v>2706</v>
      </c>
      <c r="G93" s="103">
        <f>ROUND((32768/BASE_FLUX) * MTPVFlux_28,0)</f>
        <v>4103</v>
      </c>
      <c r="H93" s="94" t="str">
        <f>IF(G93&lt;&gt;"",IF(C93="float32",FLOAT2HEX(G93),DEC2HEX(G93,8)),"")</f>
        <v>00001007</v>
      </c>
      <c r="I93" s="94" t="str">
        <f t="shared" si="4"/>
        <v/>
      </c>
    </row>
    <row r="94" spans="1:9" x14ac:dyDescent="0.25">
      <c r="A94" s="96" t="str">
        <f>IF(I94&lt;&gt;"",MAX(A$1:A93)+1,"")</f>
        <v/>
      </c>
      <c r="B94" s="74" t="s">
        <v>2224</v>
      </c>
      <c r="C94" s="103" t="s">
        <v>57</v>
      </c>
      <c r="D94" s="103">
        <f t="shared" si="3"/>
        <v>4</v>
      </c>
      <c r="E94" s="89" t="s">
        <v>2707</v>
      </c>
      <c r="G94" s="103">
        <f>ROUND((32768/BASE_TORQ) * MTPVTorque_28,0)</f>
        <v>1837</v>
      </c>
      <c r="H94" s="94" t="str">
        <f>IF(G94&lt;&gt;"",IF(C94="float32",FLOAT2HEX(G94),DEC2HEX(G94,8)),"")</f>
        <v>0000072D</v>
      </c>
      <c r="I94" s="94" t="str">
        <f t="shared" si="4"/>
        <v/>
      </c>
    </row>
    <row r="95" spans="1:9" x14ac:dyDescent="0.25">
      <c r="A95" s="96" t="str">
        <f>IF(I95&lt;&gt;"",MAX(A$1:A94)+1,"")</f>
        <v/>
      </c>
      <c r="B95" s="97" t="s">
        <v>2225</v>
      </c>
      <c r="C95" s="103" t="s">
        <v>57</v>
      </c>
      <c r="D95" s="103">
        <f t="shared" si="3"/>
        <v>4</v>
      </c>
      <c r="E95" s="89" t="s">
        <v>2708</v>
      </c>
      <c r="G95" s="103">
        <f>ROUND((32768/BASE_ANGLE) * MTPVAngle_28,0)</f>
        <v>19647</v>
      </c>
      <c r="H95" s="94" t="str">
        <f>IF(G95&lt;&gt;"",IF(C95="float32",FLOAT2HEX(G95),DEC2HEX(G95,8)),"")</f>
        <v>00004CBF</v>
      </c>
      <c r="I95" s="94" t="str">
        <f t="shared" si="4"/>
        <v/>
      </c>
    </row>
    <row r="96" spans="1:9" x14ac:dyDescent="0.25">
      <c r="A96" s="96" t="str">
        <f>IF(I96&lt;&gt;"",MAX(A$1:A95)+1,"")</f>
        <v/>
      </c>
      <c r="B96" s="97" t="s">
        <v>2226</v>
      </c>
      <c r="C96" s="103" t="s">
        <v>57</v>
      </c>
      <c r="D96" s="103">
        <f t="shared" si="3"/>
        <v>4</v>
      </c>
      <c r="E96" s="89" t="s">
        <v>2709</v>
      </c>
      <c r="G96" s="103">
        <f>ROUND((32768/BASE_FLUX) * MTPVFlux_29,0)</f>
        <v>4221</v>
      </c>
      <c r="H96" s="94" t="str">
        <f>IF(G96&lt;&gt;"",IF(C96="float32",FLOAT2HEX(G96),DEC2HEX(G96,8)),"")</f>
        <v>0000107D</v>
      </c>
      <c r="I96" s="94" t="str">
        <f t="shared" si="4"/>
        <v/>
      </c>
    </row>
    <row r="97" spans="1:9" x14ac:dyDescent="0.25">
      <c r="A97" s="96" t="str">
        <f>IF(I97&lt;&gt;"",MAX(A$1:A96)+1,"")</f>
        <v/>
      </c>
      <c r="B97" s="74" t="s">
        <v>2227</v>
      </c>
      <c r="C97" s="103" t="s">
        <v>57</v>
      </c>
      <c r="D97" s="103">
        <f t="shared" si="3"/>
        <v>4</v>
      </c>
      <c r="E97" s="89" t="s">
        <v>2710</v>
      </c>
      <c r="G97" s="103">
        <f>ROUND((32768/BASE_TORQ) * MTPVTorque_29,0)</f>
        <v>1890</v>
      </c>
      <c r="H97" s="94" t="str">
        <f>IF(G97&lt;&gt;"",IF(C97="float32",FLOAT2HEX(G97),DEC2HEX(G97,8)),"")</f>
        <v>00000762</v>
      </c>
      <c r="I97" s="94" t="str">
        <f t="shared" si="4"/>
        <v/>
      </c>
    </row>
    <row r="98" spans="1:9" x14ac:dyDescent="0.25">
      <c r="A98" s="96" t="str">
        <f>IF(I98&lt;&gt;"",MAX(A$1:A97)+1,"")</f>
        <v/>
      </c>
      <c r="B98" s="97" t="s">
        <v>2228</v>
      </c>
      <c r="C98" s="103" t="s">
        <v>57</v>
      </c>
      <c r="D98" s="103">
        <f t="shared" si="3"/>
        <v>4</v>
      </c>
      <c r="E98" s="89" t="s">
        <v>2711</v>
      </c>
      <c r="G98" s="103">
        <f>ROUND((32768/BASE_ANGLE) * MTPVAngle_29,0)</f>
        <v>19770</v>
      </c>
      <c r="H98" s="94" t="str">
        <f>IF(G98&lt;&gt;"",IF(C98="float32",FLOAT2HEX(G98),DEC2HEX(G98,8)),"")</f>
        <v>00004D3A</v>
      </c>
      <c r="I98" s="94" t="str">
        <f t="shared" si="4"/>
        <v/>
      </c>
    </row>
    <row r="99" spans="1:9" x14ac:dyDescent="0.25">
      <c r="A99" s="96" t="str">
        <f>IF(I99&lt;&gt;"",MAX(A$1:A98)+1,"")</f>
        <v/>
      </c>
      <c r="B99" s="97" t="s">
        <v>2229</v>
      </c>
      <c r="C99" s="103" t="s">
        <v>57</v>
      </c>
      <c r="D99" s="103">
        <f t="shared" si="3"/>
        <v>4</v>
      </c>
      <c r="E99" s="89" t="s">
        <v>2712</v>
      </c>
      <c r="G99" s="103">
        <f>ROUND((32768/BASE_FLUX) * MTPVFlux_30,0)</f>
        <v>4338</v>
      </c>
      <c r="H99" s="94" t="str">
        <f>IF(G99&lt;&gt;"",IF(C99="float32",FLOAT2HEX(G99),DEC2HEX(G99,8)),"")</f>
        <v>000010F2</v>
      </c>
      <c r="I99" s="94" t="str">
        <f t="shared" si="4"/>
        <v/>
      </c>
    </row>
    <row r="100" spans="1:9" x14ac:dyDescent="0.25">
      <c r="A100" s="96" t="str">
        <f>IF(I100&lt;&gt;"",MAX(A$1:A99)+1,"")</f>
        <v/>
      </c>
      <c r="B100" s="74" t="s">
        <v>2230</v>
      </c>
      <c r="C100" s="103" t="s">
        <v>57</v>
      </c>
      <c r="D100" s="103">
        <f t="shared" si="3"/>
        <v>4</v>
      </c>
      <c r="E100" s="89" t="s">
        <v>2713</v>
      </c>
      <c r="G100" s="103">
        <f>ROUND((32768/BASE_TORQ) * MTPVTorque_30,0)</f>
        <v>1941</v>
      </c>
      <c r="H100" s="94" t="str">
        <f>IF(G100&lt;&gt;"",IF(C100="float32",FLOAT2HEX(G100),DEC2HEX(G100,8)),"")</f>
        <v>00000795</v>
      </c>
      <c r="I100" s="94" t="str">
        <f t="shared" si="4"/>
        <v/>
      </c>
    </row>
    <row r="101" spans="1:9" x14ac:dyDescent="0.25">
      <c r="A101" s="96" t="str">
        <f>IF(I101&lt;&gt;"",MAX(A$1:A100)+1,"")</f>
        <v/>
      </c>
      <c r="B101" s="97" t="s">
        <v>2231</v>
      </c>
      <c r="C101" s="103" t="s">
        <v>57</v>
      </c>
      <c r="D101" s="103">
        <f t="shared" si="3"/>
        <v>4</v>
      </c>
      <c r="E101" s="89" t="s">
        <v>2714</v>
      </c>
      <c r="G101" s="103">
        <f>ROUND((32768/BASE_ANGLE) * MTPVAngle_30,0)</f>
        <v>19889</v>
      </c>
      <c r="H101" s="94" t="str">
        <f>IF(G101&lt;&gt;"",IF(C101="float32",FLOAT2HEX(G101),DEC2HEX(G101,8)),"")</f>
        <v>00004DB1</v>
      </c>
      <c r="I101" s="94" t="str">
        <f t="shared" si="4"/>
        <v/>
      </c>
    </row>
    <row r="102" spans="1:9" x14ac:dyDescent="0.25">
      <c r="A102" s="96" t="str">
        <f>IF(I102&lt;&gt;"",MAX(A$1:A101)+1,"")</f>
        <v/>
      </c>
      <c r="B102" s="97" t="s">
        <v>2232</v>
      </c>
      <c r="C102" s="103" t="s">
        <v>57</v>
      </c>
      <c r="D102" s="103">
        <f t="shared" si="3"/>
        <v>4</v>
      </c>
      <c r="E102" s="89" t="s">
        <v>2715</v>
      </c>
      <c r="G102" s="103">
        <f>ROUND((32768/BASE_FLUX) * MTPVFlux_31,0)</f>
        <v>4455</v>
      </c>
      <c r="H102" s="94" t="str">
        <f>IF(G102&lt;&gt;"",IF(C102="float32",FLOAT2HEX(G102),DEC2HEX(G102,8)),"")</f>
        <v>00001167</v>
      </c>
      <c r="I102" s="94" t="str">
        <f t="shared" si="4"/>
        <v/>
      </c>
    </row>
    <row r="103" spans="1:9" x14ac:dyDescent="0.25">
      <c r="A103" s="96" t="str">
        <f>IF(I103&lt;&gt;"",MAX(A$1:A102)+1,"")</f>
        <v/>
      </c>
      <c r="B103" s="74" t="s">
        <v>2233</v>
      </c>
      <c r="C103" s="103" t="s">
        <v>57</v>
      </c>
      <c r="D103" s="103">
        <f t="shared" si="3"/>
        <v>4</v>
      </c>
      <c r="E103" s="89" t="s">
        <v>2716</v>
      </c>
      <c r="G103" s="103">
        <f>ROUND((32768/BASE_TORQ) * MTPVTorque_31,0)</f>
        <v>1993</v>
      </c>
      <c r="H103" s="94" t="str">
        <f>IF(G103&lt;&gt;"",IF(C103="float32",FLOAT2HEX(G103),DEC2HEX(G103,8)),"")</f>
        <v>000007C9</v>
      </c>
      <c r="I103" s="94" t="str">
        <f t="shared" si="4"/>
        <v/>
      </c>
    </row>
    <row r="104" spans="1:9" x14ac:dyDescent="0.25">
      <c r="A104" s="96" t="str">
        <f>IF(I104&lt;&gt;"",MAX(A$1:A103)+1,"")</f>
        <v/>
      </c>
      <c r="B104" s="97" t="s">
        <v>2234</v>
      </c>
      <c r="C104" s="103" t="s">
        <v>57</v>
      </c>
      <c r="D104" s="103">
        <f t="shared" si="3"/>
        <v>4</v>
      </c>
      <c r="E104" s="89" t="s">
        <v>2717</v>
      </c>
      <c r="G104" s="103">
        <f>ROUND((32768/BASE_ANGLE) * MTPVAngle_31,0)</f>
        <v>20006</v>
      </c>
      <c r="H104" s="94" t="str">
        <f>IF(G104&lt;&gt;"",IF(C104="float32",FLOAT2HEX(G104),DEC2HEX(G104,8)),"")</f>
        <v>00004E26</v>
      </c>
      <c r="I104" s="94" t="str">
        <f t="shared" si="4"/>
        <v/>
      </c>
    </row>
    <row r="105" spans="1:9" x14ac:dyDescent="0.25">
      <c r="A105" s="96" t="str">
        <f>IF(I105&lt;&gt;"",MAX(A$1:A104)+1,"")</f>
        <v/>
      </c>
      <c r="B105" s="97" t="s">
        <v>2235</v>
      </c>
      <c r="C105" s="103" t="s">
        <v>57</v>
      </c>
      <c r="D105" s="103">
        <f t="shared" si="3"/>
        <v>4</v>
      </c>
      <c r="E105" s="89" t="s">
        <v>2718</v>
      </c>
      <c r="G105" s="103">
        <f>ROUND((32768/BASE_FLUX) * MTPVFlux_32,0)</f>
        <v>4572</v>
      </c>
      <c r="H105" s="94" t="str">
        <f>IF(G105&lt;&gt;"",IF(C105="float32",FLOAT2HEX(G105),DEC2HEX(G105,8)),"")</f>
        <v>000011DC</v>
      </c>
      <c r="I105" s="94" t="str">
        <f t="shared" si="4"/>
        <v/>
      </c>
    </row>
    <row r="106" spans="1:9" x14ac:dyDescent="0.25">
      <c r="A106" s="96" t="str">
        <f>IF(I106&lt;&gt;"",MAX(A$1:A105)+1,"")</f>
        <v/>
      </c>
      <c r="B106" s="74" t="s">
        <v>2236</v>
      </c>
      <c r="C106" s="103" t="s">
        <v>57</v>
      </c>
      <c r="D106" s="103">
        <f t="shared" si="3"/>
        <v>4</v>
      </c>
      <c r="E106" s="89" t="s">
        <v>2719</v>
      </c>
      <c r="G106" s="103">
        <f>ROUND((32768/BASE_TORQ) * MTPVTorque_32,0)</f>
        <v>2044</v>
      </c>
      <c r="H106" s="94" t="str">
        <f>IF(G106&lt;&gt;"",IF(C106="float32",FLOAT2HEX(G106),DEC2HEX(G106,8)),"")</f>
        <v>000007FC</v>
      </c>
      <c r="I106" s="94" t="str">
        <f t="shared" si="4"/>
        <v/>
      </c>
    </row>
    <row r="107" spans="1:9" x14ac:dyDescent="0.25">
      <c r="A107" s="96" t="str">
        <f>IF(I107&lt;&gt;"",MAX(A$1:A106)+1,"")</f>
        <v/>
      </c>
      <c r="B107" s="97" t="s">
        <v>2237</v>
      </c>
      <c r="C107" s="103" t="s">
        <v>57</v>
      </c>
      <c r="D107" s="103">
        <f t="shared" si="3"/>
        <v>4</v>
      </c>
      <c r="E107" s="89" t="s">
        <v>2720</v>
      </c>
      <c r="G107" s="103">
        <f>ROUND((32768/BASE_ANGLE) * MTPVAngle_32,0)</f>
        <v>20120</v>
      </c>
      <c r="H107" s="94" t="str">
        <f>IF(G107&lt;&gt;"",IF(C107="float32",FLOAT2HEX(G107),DEC2HEX(G107,8)),"")</f>
        <v>00004E98</v>
      </c>
      <c r="I107" s="94" t="str">
        <f t="shared" si="4"/>
        <v/>
      </c>
    </row>
    <row r="108" spans="1:9" x14ac:dyDescent="0.25">
      <c r="A108" s="96" t="str">
        <f>IF(I108&lt;&gt;"",MAX(A$1:A107)+1,"")</f>
        <v/>
      </c>
      <c r="B108" s="97" t="s">
        <v>2238</v>
      </c>
      <c r="C108" s="103" t="s">
        <v>57</v>
      </c>
      <c r="D108" s="103">
        <f t="shared" si="3"/>
        <v>4</v>
      </c>
      <c r="E108" s="89" t="s">
        <v>2721</v>
      </c>
      <c r="G108" s="103">
        <f>ROUND((32768/BASE_FLUX) * MTPVFlux_33,0)</f>
        <v>4690</v>
      </c>
      <c r="H108" s="94" t="str">
        <f>IF(G108&lt;&gt;"",IF(C108="float32",FLOAT2HEX(G108),DEC2HEX(G108,8)),"")</f>
        <v>00001252</v>
      </c>
      <c r="I108" s="94" t="str">
        <f t="shared" si="4"/>
        <v/>
      </c>
    </row>
    <row r="109" spans="1:9" x14ac:dyDescent="0.25">
      <c r="A109" s="96" t="str">
        <f>IF(I109&lt;&gt;"",MAX(A$1:A108)+1,"")</f>
        <v/>
      </c>
      <c r="B109" s="74" t="s">
        <v>2239</v>
      </c>
      <c r="C109" s="103" t="s">
        <v>57</v>
      </c>
      <c r="D109" s="103">
        <f t="shared" si="3"/>
        <v>4</v>
      </c>
      <c r="E109" s="89" t="s">
        <v>2722</v>
      </c>
      <c r="G109" s="103">
        <f>ROUND((32768/BASE_TORQ) * MTPVTorque_33,0)</f>
        <v>2095</v>
      </c>
      <c r="H109" s="94" t="str">
        <f>IF(G109&lt;&gt;"",IF(C109="float32",FLOAT2HEX(G109),DEC2HEX(G109,8)),"")</f>
        <v>0000082F</v>
      </c>
      <c r="I109" s="94" t="str">
        <f t="shared" si="4"/>
        <v/>
      </c>
    </row>
    <row r="110" spans="1:9" x14ac:dyDescent="0.25">
      <c r="A110" s="96" t="str">
        <f>IF(I110&lt;&gt;"",MAX(A$1:A109)+1,"")</f>
        <v/>
      </c>
      <c r="B110" s="97" t="s">
        <v>2240</v>
      </c>
      <c r="C110" s="103" t="s">
        <v>57</v>
      </c>
      <c r="D110" s="103">
        <f t="shared" si="3"/>
        <v>4</v>
      </c>
      <c r="E110" s="89" t="s">
        <v>2723</v>
      </c>
      <c r="G110" s="103">
        <f>ROUND((32768/BASE_ANGLE) * MTPVAngle_33,0)</f>
        <v>20231</v>
      </c>
      <c r="H110" s="94" t="str">
        <f>IF(G110&lt;&gt;"",IF(C110="float32",FLOAT2HEX(G110),DEC2HEX(G110,8)),"")</f>
        <v>00004F07</v>
      </c>
      <c r="I110" s="94" t="str">
        <f t="shared" si="4"/>
        <v/>
      </c>
    </row>
    <row r="111" spans="1:9" x14ac:dyDescent="0.25">
      <c r="A111" s="96" t="str">
        <f>IF(I111&lt;&gt;"",MAX(A$1:A110)+1,"")</f>
        <v/>
      </c>
      <c r="B111" s="97" t="s">
        <v>2241</v>
      </c>
      <c r="C111" s="103" t="s">
        <v>57</v>
      </c>
      <c r="D111" s="103">
        <f t="shared" si="3"/>
        <v>4</v>
      </c>
      <c r="E111" s="89" t="s">
        <v>2724</v>
      </c>
      <c r="G111" s="103">
        <f>ROUND((32768/BASE_FLUX) * MTPVFlux_34,0)</f>
        <v>4807</v>
      </c>
      <c r="H111" s="94" t="str">
        <f>IF(G111&lt;&gt;"",IF(C111="float32",FLOAT2HEX(G111),DEC2HEX(G111,8)),"")</f>
        <v>000012C7</v>
      </c>
      <c r="I111" s="94" t="str">
        <f t="shared" si="4"/>
        <v/>
      </c>
    </row>
    <row r="112" spans="1:9" x14ac:dyDescent="0.25">
      <c r="A112" s="96" t="str">
        <f>IF(I112&lt;&gt;"",MAX(A$1:A111)+1,"")</f>
        <v/>
      </c>
      <c r="B112" s="74" t="s">
        <v>2242</v>
      </c>
      <c r="C112" s="103" t="s">
        <v>57</v>
      </c>
      <c r="D112" s="103">
        <f t="shared" si="3"/>
        <v>4</v>
      </c>
      <c r="E112" s="89" t="s">
        <v>2725</v>
      </c>
      <c r="G112" s="103">
        <f>ROUND((32768/BASE_TORQ) * MTPVTorque_34,0)</f>
        <v>2146</v>
      </c>
      <c r="H112" s="94" t="str">
        <f>IF(G112&lt;&gt;"",IF(C112="float32",FLOAT2HEX(G112),DEC2HEX(G112,8)),"")</f>
        <v>00000862</v>
      </c>
      <c r="I112" s="94" t="str">
        <f t="shared" si="4"/>
        <v/>
      </c>
    </row>
    <row r="113" spans="1:9" x14ac:dyDescent="0.25">
      <c r="A113" s="96" t="str">
        <f>IF(I113&lt;&gt;"",MAX(A$1:A112)+1,"")</f>
        <v/>
      </c>
      <c r="B113" s="97" t="s">
        <v>2243</v>
      </c>
      <c r="C113" s="103" t="s">
        <v>57</v>
      </c>
      <c r="D113" s="103">
        <f t="shared" si="3"/>
        <v>4</v>
      </c>
      <c r="E113" s="89" t="s">
        <v>2726</v>
      </c>
      <c r="G113" s="103">
        <f>ROUND((32768/BASE_ANGLE) * MTPVAngle_34,0)</f>
        <v>20339</v>
      </c>
      <c r="H113" s="94" t="str">
        <f>IF(G113&lt;&gt;"",IF(C113="float32",FLOAT2HEX(G113),DEC2HEX(G113,8)),"")</f>
        <v>00004F73</v>
      </c>
      <c r="I113" s="94" t="str">
        <f t="shared" si="4"/>
        <v/>
      </c>
    </row>
    <row r="114" spans="1:9" x14ac:dyDescent="0.25">
      <c r="A114" s="96" t="str">
        <f>IF(I114&lt;&gt;"",MAX(A$1:A113)+1,"")</f>
        <v/>
      </c>
      <c r="B114" s="97" t="s">
        <v>2244</v>
      </c>
      <c r="C114" s="103" t="s">
        <v>57</v>
      </c>
      <c r="D114" s="103">
        <f t="shared" si="3"/>
        <v>4</v>
      </c>
      <c r="E114" s="89" t="s">
        <v>2727</v>
      </c>
      <c r="G114" s="103">
        <f>ROUND((32768/BASE_FLUX) * MTPVFlux_35,0)</f>
        <v>4924</v>
      </c>
      <c r="H114" s="94" t="str">
        <f>IF(G114&lt;&gt;"",IF(C114="float32",FLOAT2HEX(G114),DEC2HEX(G114,8)),"")</f>
        <v>0000133C</v>
      </c>
      <c r="I114" s="94" t="str">
        <f t="shared" si="4"/>
        <v/>
      </c>
    </row>
    <row r="115" spans="1:9" x14ac:dyDescent="0.25">
      <c r="A115" s="96" t="str">
        <f>IF(I115&lt;&gt;"",MAX(A$1:A114)+1,"")</f>
        <v/>
      </c>
      <c r="B115" s="74" t="s">
        <v>2245</v>
      </c>
      <c r="C115" s="103" t="s">
        <v>57</v>
      </c>
      <c r="D115" s="103">
        <f t="shared" si="3"/>
        <v>4</v>
      </c>
      <c r="E115" s="89" t="s">
        <v>2728</v>
      </c>
      <c r="G115" s="103">
        <f>ROUND((32768/BASE_TORQ) * MTPVTorque_35,0)</f>
        <v>2196</v>
      </c>
      <c r="H115" s="94" t="str">
        <f>IF(G115&lt;&gt;"",IF(C115="float32",FLOAT2HEX(G115),DEC2HEX(G115,8)),"")</f>
        <v>00000894</v>
      </c>
      <c r="I115" s="94" t="str">
        <f t="shared" si="4"/>
        <v/>
      </c>
    </row>
    <row r="116" spans="1:9" x14ac:dyDescent="0.25">
      <c r="A116" s="96" t="str">
        <f>IF(I116&lt;&gt;"",MAX(A$1:A115)+1,"")</f>
        <v/>
      </c>
      <c r="B116" s="97" t="s">
        <v>2246</v>
      </c>
      <c r="C116" s="103" t="s">
        <v>57</v>
      </c>
      <c r="D116" s="103">
        <f t="shared" si="3"/>
        <v>4</v>
      </c>
      <c r="E116" s="89" t="s">
        <v>2729</v>
      </c>
      <c r="G116" s="103">
        <f>ROUND((32768/BASE_ANGLE) * MTPVAngle_35,0)</f>
        <v>20444</v>
      </c>
      <c r="H116" s="94" t="str">
        <f>IF(G116&lt;&gt;"",IF(C116="float32",FLOAT2HEX(G116),DEC2HEX(G116,8)),"")</f>
        <v>00004FDC</v>
      </c>
      <c r="I116" s="94" t="str">
        <f t="shared" si="4"/>
        <v/>
      </c>
    </row>
    <row r="117" spans="1:9" x14ac:dyDescent="0.25">
      <c r="A117" s="96" t="str">
        <f>IF(I117&lt;&gt;"",MAX(A$1:A116)+1,"")</f>
        <v/>
      </c>
      <c r="B117" s="97" t="s">
        <v>2247</v>
      </c>
      <c r="C117" s="103" t="s">
        <v>57</v>
      </c>
      <c r="D117" s="103">
        <f t="shared" si="3"/>
        <v>4</v>
      </c>
      <c r="E117" s="89" t="s">
        <v>2730</v>
      </c>
      <c r="G117" s="103">
        <f>ROUND((32768/BASE_FLUX) * MTPVFlux_36,0)</f>
        <v>5041</v>
      </c>
      <c r="H117" s="94" t="str">
        <f>IF(G117&lt;&gt;"",IF(C117="float32",FLOAT2HEX(G117),DEC2HEX(G117,8)),"")</f>
        <v>000013B1</v>
      </c>
      <c r="I117" s="94" t="str">
        <f t="shared" si="4"/>
        <v/>
      </c>
    </row>
    <row r="118" spans="1:9" x14ac:dyDescent="0.25">
      <c r="A118" s="96" t="str">
        <f>IF(I118&lt;&gt;"",MAX(A$1:A117)+1,"")</f>
        <v/>
      </c>
      <c r="B118" s="74" t="s">
        <v>2248</v>
      </c>
      <c r="C118" s="103" t="s">
        <v>57</v>
      </c>
      <c r="D118" s="103">
        <f t="shared" si="3"/>
        <v>4</v>
      </c>
      <c r="E118" s="89" t="s">
        <v>2731</v>
      </c>
      <c r="G118" s="103">
        <f>ROUND((32768/BASE_TORQ) * MTPVTorque_36,0)</f>
        <v>2247</v>
      </c>
      <c r="H118" s="94" t="str">
        <f>IF(G118&lt;&gt;"",IF(C118="float32",FLOAT2HEX(G118),DEC2HEX(G118,8)),"")</f>
        <v>000008C7</v>
      </c>
      <c r="I118" s="94" t="str">
        <f t="shared" si="4"/>
        <v/>
      </c>
    </row>
    <row r="119" spans="1:9" x14ac:dyDescent="0.25">
      <c r="A119" s="96" t="str">
        <f>IF(I119&lt;&gt;"",MAX(A$1:A118)+1,"")</f>
        <v/>
      </c>
      <c r="B119" s="97" t="s">
        <v>2249</v>
      </c>
      <c r="C119" s="103" t="s">
        <v>57</v>
      </c>
      <c r="D119" s="103">
        <f t="shared" si="3"/>
        <v>4</v>
      </c>
      <c r="E119" s="89" t="s">
        <v>2732</v>
      </c>
      <c r="G119" s="103">
        <f>ROUND((32768/BASE_ANGLE) * MTPVAngle_36,0)</f>
        <v>20547</v>
      </c>
      <c r="H119" s="94" t="str">
        <f>IF(G119&lt;&gt;"",IF(C119="float32",FLOAT2HEX(G119),DEC2HEX(G119,8)),"")</f>
        <v>00005043</v>
      </c>
      <c r="I119" s="94" t="str">
        <f t="shared" si="4"/>
        <v/>
      </c>
    </row>
    <row r="120" spans="1:9" x14ac:dyDescent="0.25">
      <c r="A120" s="96" t="str">
        <f>IF(I120&lt;&gt;"",MAX(A$1:A119)+1,"")</f>
        <v/>
      </c>
      <c r="B120" s="97" t="s">
        <v>2250</v>
      </c>
      <c r="C120" s="103" t="s">
        <v>57</v>
      </c>
      <c r="D120" s="103">
        <f t="shared" si="3"/>
        <v>4</v>
      </c>
      <c r="E120" s="89" t="s">
        <v>2733</v>
      </c>
      <c r="G120" s="103">
        <f>ROUND((32768/BASE_FLUX) * MTPVFlux_37,0)</f>
        <v>5158</v>
      </c>
      <c r="H120" s="94" t="str">
        <f>IF(G120&lt;&gt;"",IF(C120="float32",FLOAT2HEX(G120),DEC2HEX(G120,8)),"")</f>
        <v>00001426</v>
      </c>
      <c r="I120" s="94" t="str">
        <f t="shared" si="4"/>
        <v/>
      </c>
    </row>
    <row r="121" spans="1:9" x14ac:dyDescent="0.25">
      <c r="A121" s="96" t="str">
        <f>IF(I121&lt;&gt;"",MAX(A$1:A120)+1,"")</f>
        <v/>
      </c>
      <c r="B121" s="74" t="s">
        <v>2251</v>
      </c>
      <c r="C121" s="103" t="s">
        <v>57</v>
      </c>
      <c r="D121" s="103">
        <f t="shared" si="3"/>
        <v>4</v>
      </c>
      <c r="E121" s="89" t="s">
        <v>2734</v>
      </c>
      <c r="G121" s="103">
        <f>ROUND((32768/BASE_TORQ) * MTPVTorque_37,0)</f>
        <v>2297</v>
      </c>
      <c r="H121" s="94" t="str">
        <f>IF(G121&lt;&gt;"",IF(C121="float32",FLOAT2HEX(G121),DEC2HEX(G121,8)),"")</f>
        <v>000008F9</v>
      </c>
      <c r="I121" s="94" t="str">
        <f t="shared" si="4"/>
        <v/>
      </c>
    </row>
    <row r="122" spans="1:9" x14ac:dyDescent="0.25">
      <c r="A122" s="96" t="str">
        <f>IF(I122&lt;&gt;"",MAX(A$1:A121)+1,"")</f>
        <v/>
      </c>
      <c r="B122" s="97" t="s">
        <v>2252</v>
      </c>
      <c r="C122" s="103" t="s">
        <v>57</v>
      </c>
      <c r="D122" s="103">
        <f t="shared" si="3"/>
        <v>4</v>
      </c>
      <c r="E122" s="89" t="s">
        <v>2735</v>
      </c>
      <c r="G122" s="103">
        <f>ROUND((32768/BASE_ANGLE) * MTPVAngle_37,0)</f>
        <v>20647</v>
      </c>
      <c r="H122" s="94" t="str">
        <f>IF(G122&lt;&gt;"",IF(C122="float32",FLOAT2HEX(G122),DEC2HEX(G122,8)),"")</f>
        <v>000050A7</v>
      </c>
      <c r="I122" s="94" t="str">
        <f t="shared" si="4"/>
        <v/>
      </c>
    </row>
    <row r="123" spans="1:9" x14ac:dyDescent="0.25">
      <c r="A123" s="96" t="str">
        <f>IF(I123&lt;&gt;"",MAX(A$1:A122)+1,"")</f>
        <v/>
      </c>
      <c r="B123" s="97" t="s">
        <v>2253</v>
      </c>
      <c r="C123" s="103" t="s">
        <v>57</v>
      </c>
      <c r="D123" s="103">
        <f t="shared" si="3"/>
        <v>4</v>
      </c>
      <c r="E123" s="89" t="s">
        <v>2736</v>
      </c>
      <c r="G123" s="103">
        <f>ROUND((32768/BASE_FLUX) * MTPVFlux_38,0)</f>
        <v>5276</v>
      </c>
      <c r="H123" s="94" t="str">
        <f>IF(G123&lt;&gt;"",IF(C123="float32",FLOAT2HEX(G123),DEC2HEX(G123,8)),"")</f>
        <v>0000149C</v>
      </c>
      <c r="I123" s="94" t="str">
        <f t="shared" si="4"/>
        <v/>
      </c>
    </row>
    <row r="124" spans="1:9" x14ac:dyDescent="0.25">
      <c r="A124" s="96" t="str">
        <f>IF(I124&lt;&gt;"",MAX(A$1:A123)+1,"")</f>
        <v/>
      </c>
      <c r="B124" s="74" t="s">
        <v>2254</v>
      </c>
      <c r="C124" s="103" t="s">
        <v>57</v>
      </c>
      <c r="D124" s="103">
        <f t="shared" si="3"/>
        <v>4</v>
      </c>
      <c r="E124" s="89" t="s">
        <v>2737</v>
      </c>
      <c r="G124" s="103">
        <f>ROUND((32768/BASE_TORQ) * MTPVTorque_38,0)</f>
        <v>2346</v>
      </c>
      <c r="H124" s="94" t="str">
        <f>IF(G124&lt;&gt;"",IF(C124="float32",FLOAT2HEX(G124),DEC2HEX(G124,8)),"")</f>
        <v>0000092A</v>
      </c>
      <c r="I124" s="94" t="str">
        <f t="shared" si="4"/>
        <v/>
      </c>
    </row>
    <row r="125" spans="1:9" x14ac:dyDescent="0.25">
      <c r="A125" s="96" t="str">
        <f>IF(I125&lt;&gt;"",MAX(A$1:A124)+1,"")</f>
        <v/>
      </c>
      <c r="B125" s="97" t="s">
        <v>2255</v>
      </c>
      <c r="C125" s="103" t="s">
        <v>57</v>
      </c>
      <c r="D125" s="103">
        <f t="shared" si="3"/>
        <v>4</v>
      </c>
      <c r="E125" s="89" t="s">
        <v>2738</v>
      </c>
      <c r="G125" s="103">
        <f>ROUND((32768/BASE_ANGLE) * MTPVAngle_38,0)</f>
        <v>20744</v>
      </c>
      <c r="H125" s="94" t="str">
        <f>IF(G125&lt;&gt;"",IF(C125="float32",FLOAT2HEX(G125),DEC2HEX(G125,8)),"")</f>
        <v>00005108</v>
      </c>
      <c r="I125" s="94" t="str">
        <f t="shared" si="4"/>
        <v/>
      </c>
    </row>
    <row r="126" spans="1:9" x14ac:dyDescent="0.25">
      <c r="A126" s="96" t="str">
        <f>IF(I126&lt;&gt;"",MAX(A$1:A125)+1,"")</f>
        <v/>
      </c>
      <c r="B126" s="97" t="s">
        <v>2256</v>
      </c>
      <c r="C126" s="103" t="s">
        <v>57</v>
      </c>
      <c r="D126" s="103">
        <f t="shared" si="3"/>
        <v>4</v>
      </c>
      <c r="E126" s="89" t="s">
        <v>2739</v>
      </c>
      <c r="G126" s="103">
        <f>ROUND((32768/BASE_FLUX) * MTPVFlux_39,0)</f>
        <v>5393</v>
      </c>
      <c r="H126" s="94" t="str">
        <f>IF(G126&lt;&gt;"",IF(C126="float32",FLOAT2HEX(G126),DEC2HEX(G126,8)),"")</f>
        <v>00001511</v>
      </c>
      <c r="I126" s="94" t="str">
        <f t="shared" si="4"/>
        <v/>
      </c>
    </row>
    <row r="127" spans="1:9" x14ac:dyDescent="0.25">
      <c r="A127" s="96" t="str">
        <f>IF(I127&lt;&gt;"",MAX(A$1:A126)+1,"")</f>
        <v/>
      </c>
      <c r="B127" s="74" t="s">
        <v>2257</v>
      </c>
      <c r="C127" s="103" t="s">
        <v>57</v>
      </c>
      <c r="D127" s="103">
        <f t="shared" si="3"/>
        <v>4</v>
      </c>
      <c r="E127" s="89" t="s">
        <v>2740</v>
      </c>
      <c r="G127" s="103">
        <f>ROUND((32768/BASE_TORQ) * MTPVTorque_39,0)</f>
        <v>2396</v>
      </c>
      <c r="H127" s="94" t="str">
        <f>IF(G127&lt;&gt;"",IF(C127="float32",FLOAT2HEX(G127),DEC2HEX(G127,8)),"")</f>
        <v>0000095C</v>
      </c>
      <c r="I127" s="94" t="str">
        <f t="shared" si="4"/>
        <v/>
      </c>
    </row>
    <row r="128" spans="1:9" x14ac:dyDescent="0.25">
      <c r="A128" s="96" t="str">
        <f>IF(I128&lt;&gt;"",MAX(A$1:A127)+1,"")</f>
        <v/>
      </c>
      <c r="B128" s="97" t="s">
        <v>2258</v>
      </c>
      <c r="C128" s="103" t="s">
        <v>57</v>
      </c>
      <c r="D128" s="103">
        <f t="shared" si="3"/>
        <v>4</v>
      </c>
      <c r="E128" s="89" t="s">
        <v>2741</v>
      </c>
      <c r="G128" s="103">
        <f>ROUND((32768/BASE_ANGLE) * MTPVAngle_39,0)</f>
        <v>20839</v>
      </c>
      <c r="H128" s="94" t="str">
        <f>IF(G128&lt;&gt;"",IF(C128="float32",FLOAT2HEX(G128),DEC2HEX(G128,8)),"")</f>
        <v>00005167</v>
      </c>
      <c r="I128" s="94" t="str">
        <f t="shared" si="4"/>
        <v/>
      </c>
    </row>
    <row r="129" spans="1:9" x14ac:dyDescent="0.25">
      <c r="A129" s="96" t="str">
        <f>IF(I129&lt;&gt;"",MAX(A$1:A128)+1,"")</f>
        <v/>
      </c>
      <c r="B129" s="97" t="s">
        <v>2259</v>
      </c>
      <c r="C129" s="103" t="s">
        <v>57</v>
      </c>
      <c r="D129" s="103">
        <f t="shared" si="3"/>
        <v>4</v>
      </c>
      <c r="E129" s="89" t="s">
        <v>2742</v>
      </c>
      <c r="G129" s="103">
        <f>ROUND((32768/BASE_FLUX) * MTPVFlux_40,0)</f>
        <v>5510</v>
      </c>
      <c r="H129" s="94" t="str">
        <f>IF(G129&lt;&gt;"",IF(C129="float32",FLOAT2HEX(G129),DEC2HEX(G129,8)),"")</f>
        <v>00001586</v>
      </c>
      <c r="I129" s="94" t="str">
        <f t="shared" si="4"/>
        <v/>
      </c>
    </row>
    <row r="130" spans="1:9" x14ac:dyDescent="0.25">
      <c r="A130" s="96" t="str">
        <f>IF(I130&lt;&gt;"",MAX(A$1:A129)+1,"")</f>
        <v/>
      </c>
      <c r="B130" s="74" t="s">
        <v>2260</v>
      </c>
      <c r="C130" s="103" t="s">
        <v>57</v>
      </c>
      <c r="D130" s="103">
        <f t="shared" si="3"/>
        <v>4</v>
      </c>
      <c r="E130" s="89" t="s">
        <v>2743</v>
      </c>
      <c r="G130" s="103">
        <f>ROUND((32768/BASE_TORQ) * MTPVTorque_40,0)</f>
        <v>2445</v>
      </c>
      <c r="H130" s="94" t="str">
        <f>IF(G130&lt;&gt;"",IF(C130="float32",FLOAT2HEX(G130),DEC2HEX(G130,8)),"")</f>
        <v>0000098D</v>
      </c>
      <c r="I130" s="94" t="str">
        <f t="shared" si="4"/>
        <v/>
      </c>
    </row>
    <row r="131" spans="1:9" x14ac:dyDescent="0.25">
      <c r="A131" s="96" t="str">
        <f>IF(I131&lt;&gt;"",MAX(A$1:A130)+1,"")</f>
        <v/>
      </c>
      <c r="B131" s="97" t="s">
        <v>2261</v>
      </c>
      <c r="C131" s="103" t="s">
        <v>57</v>
      </c>
      <c r="D131" s="103">
        <f t="shared" si="3"/>
        <v>4</v>
      </c>
      <c r="E131" s="89" t="s">
        <v>2744</v>
      </c>
      <c r="G131" s="103">
        <f>ROUND((32768/BASE_ANGLE) * MTPVAngle_40,0)</f>
        <v>20931</v>
      </c>
      <c r="H131" s="94" t="str">
        <f>IF(G131&lt;&gt;"",IF(C131="float32",FLOAT2HEX(G131),DEC2HEX(G131,8)),"")</f>
        <v>000051C3</v>
      </c>
      <c r="I131" s="94" t="str">
        <f t="shared" si="4"/>
        <v/>
      </c>
    </row>
    <row r="132" spans="1:9" x14ac:dyDescent="0.25">
      <c r="A132" s="96" t="str">
        <f>IF(I132&lt;&gt;"",MAX(A$1:A131)+1,"")</f>
        <v/>
      </c>
      <c r="B132" s="97" t="s">
        <v>2262</v>
      </c>
      <c r="C132" s="103" t="s">
        <v>57</v>
      </c>
      <c r="D132" s="103">
        <f t="shared" si="3"/>
        <v>4</v>
      </c>
      <c r="E132" s="89" t="s">
        <v>2745</v>
      </c>
      <c r="G132" s="103">
        <f>ROUND((32768/BASE_FLUX) * MTPVFlux_41,0)</f>
        <v>5627</v>
      </c>
      <c r="H132" s="94" t="str">
        <f>IF(G132&lt;&gt;"",IF(C132="float32",FLOAT2HEX(G132),DEC2HEX(G132,8)),"")</f>
        <v>000015FB</v>
      </c>
      <c r="I132" s="94" t="str">
        <f t="shared" si="4"/>
        <v/>
      </c>
    </row>
    <row r="133" spans="1:9" x14ac:dyDescent="0.25">
      <c r="A133" s="96" t="str">
        <f>IF(I133&lt;&gt;"",MAX(A$1:A132)+1,"")</f>
        <v/>
      </c>
      <c r="B133" s="74" t="s">
        <v>2263</v>
      </c>
      <c r="C133" s="103" t="s">
        <v>57</v>
      </c>
      <c r="D133" s="103">
        <f t="shared" si="3"/>
        <v>4</v>
      </c>
      <c r="E133" s="89" t="s">
        <v>2746</v>
      </c>
      <c r="G133" s="103">
        <f>ROUND((32768/BASE_TORQ) * MTPVTorque_41,0)</f>
        <v>2494</v>
      </c>
      <c r="H133" s="94" t="str">
        <f>IF(G133&lt;&gt;"",IF(C133="float32",FLOAT2HEX(G133),DEC2HEX(G133,8)),"")</f>
        <v>000009BE</v>
      </c>
      <c r="I133" s="94" t="str">
        <f t="shared" si="4"/>
        <v/>
      </c>
    </row>
    <row r="134" spans="1:9" x14ac:dyDescent="0.25">
      <c r="A134" s="96" t="str">
        <f>IF(I134&lt;&gt;"",MAX(A$1:A133)+1,"")</f>
        <v/>
      </c>
      <c r="B134" s="97" t="s">
        <v>2264</v>
      </c>
      <c r="C134" s="103" t="s">
        <v>57</v>
      </c>
      <c r="D134" s="103">
        <f t="shared" si="3"/>
        <v>4</v>
      </c>
      <c r="E134" s="89" t="s">
        <v>2747</v>
      </c>
      <c r="G134" s="103">
        <f>ROUND((32768/BASE_ANGLE) * MTPVAngle_41,0)</f>
        <v>21020</v>
      </c>
      <c r="H134" s="94" t="str">
        <f>IF(G134&lt;&gt;"",IF(C134="float32",FLOAT2HEX(G134),DEC2HEX(G134,8)),"")</f>
        <v>0000521C</v>
      </c>
      <c r="I134" s="94" t="str">
        <f t="shared" si="4"/>
        <v/>
      </c>
    </row>
    <row r="135" spans="1:9" x14ac:dyDescent="0.25">
      <c r="A135" s="96" t="str">
        <f>IF(I135&lt;&gt;"",MAX(A$1:A134)+1,"")</f>
        <v/>
      </c>
      <c r="B135" s="97" t="s">
        <v>2265</v>
      </c>
      <c r="C135" s="103" t="s">
        <v>57</v>
      </c>
      <c r="D135" s="103">
        <f t="shared" si="3"/>
        <v>4</v>
      </c>
      <c r="E135" s="89" t="s">
        <v>2748</v>
      </c>
      <c r="G135" s="103">
        <f>ROUND((32768/BASE_FLUX) * MTPVFlux_42,0)</f>
        <v>5745</v>
      </c>
      <c r="H135" s="94" t="str">
        <f>IF(G135&lt;&gt;"",IF(C135="float32",FLOAT2HEX(G135),DEC2HEX(G135,8)),"")</f>
        <v>00001671</v>
      </c>
      <c r="I135" s="94" t="str">
        <f t="shared" si="4"/>
        <v/>
      </c>
    </row>
    <row r="136" spans="1:9" x14ac:dyDescent="0.25">
      <c r="A136" s="96" t="str">
        <f>IF(I136&lt;&gt;"",MAX(A$1:A135)+1,"")</f>
        <v/>
      </c>
      <c r="B136" s="74" t="s">
        <v>2266</v>
      </c>
      <c r="C136" s="103" t="s">
        <v>57</v>
      </c>
      <c r="D136" s="103">
        <f t="shared" si="3"/>
        <v>4</v>
      </c>
      <c r="E136" s="89" t="s">
        <v>2749</v>
      </c>
      <c r="G136" s="103">
        <f>ROUND((32768/BASE_TORQ) * MTPVTorque_42,0)</f>
        <v>2543</v>
      </c>
      <c r="H136" s="94" t="str">
        <f>IF(G136&lt;&gt;"",IF(C136="float32",FLOAT2HEX(G136),DEC2HEX(G136,8)),"")</f>
        <v>000009EF</v>
      </c>
      <c r="I136" s="94" t="str">
        <f t="shared" si="4"/>
        <v/>
      </c>
    </row>
    <row r="137" spans="1:9" x14ac:dyDescent="0.25">
      <c r="A137" s="96" t="str">
        <f>IF(I137&lt;&gt;"",MAX(A$1:A136)+1,"")</f>
        <v/>
      </c>
      <c r="B137" s="97" t="s">
        <v>2267</v>
      </c>
      <c r="C137" s="103" t="s">
        <v>57</v>
      </c>
      <c r="D137" s="103">
        <f t="shared" ref="D137:D170" si="5">IF(OR(C137="sint64",C137="uint64",C137="double64"), 8, IF(OR(C137="sint32",C137="uint32",C137="float32"),4,IF(OR(C137="sint16",C137="uint16"),2,  IF(OR(C137="sint8",C137="uint8"),1,""))))</f>
        <v>4</v>
      </c>
      <c r="E137" s="89" t="s">
        <v>2750</v>
      </c>
      <c r="G137" s="103">
        <f>ROUND((32768/BASE_ANGLE) * MTPVAngle_42,0)</f>
        <v>21107</v>
      </c>
      <c r="H137" s="94" t="str">
        <f>IF(G137&lt;&gt;"",IF(C137="float32",FLOAT2HEX(G137),DEC2HEX(G137,8)),"")</f>
        <v>00005273</v>
      </c>
      <c r="I137" s="94" t="str">
        <f t="shared" si="4"/>
        <v/>
      </c>
    </row>
    <row r="138" spans="1:9" x14ac:dyDescent="0.25">
      <c r="A138" s="96" t="str">
        <f>IF(I138&lt;&gt;"",MAX(A$1:A137)+1,"")</f>
        <v/>
      </c>
      <c r="B138" s="97" t="s">
        <v>2268</v>
      </c>
      <c r="C138" s="103" t="s">
        <v>57</v>
      </c>
      <c r="D138" s="103">
        <f t="shared" si="5"/>
        <v>4</v>
      </c>
      <c r="E138" s="89" t="s">
        <v>2751</v>
      </c>
      <c r="G138" s="103">
        <f>ROUND((32768/BASE_FLUX) * MTPVFlux_43,0)</f>
        <v>5862</v>
      </c>
      <c r="H138" s="94" t="str">
        <f>IF(G138&lt;&gt;"",IF(C138="float32",FLOAT2HEX(G138),DEC2HEX(G138,8)),"")</f>
        <v>000016E6</v>
      </c>
      <c r="I138" s="94" t="str">
        <f t="shared" ref="I138:I201" si="6">IF(AND(G138&lt;&gt;"",(ROW()-8)&lt;(($G$7+1)*3+1)),HEX2DEC(H138),"")</f>
        <v/>
      </c>
    </row>
    <row r="139" spans="1:9" x14ac:dyDescent="0.25">
      <c r="A139" s="96" t="str">
        <f>IF(I139&lt;&gt;"",MAX(A$1:A138)+1,"")</f>
        <v/>
      </c>
      <c r="B139" s="74" t="s">
        <v>2269</v>
      </c>
      <c r="C139" s="103" t="s">
        <v>57</v>
      </c>
      <c r="D139" s="103">
        <f t="shared" si="5"/>
        <v>4</v>
      </c>
      <c r="E139" s="89" t="s">
        <v>2752</v>
      </c>
      <c r="G139" s="103">
        <f>ROUND((32768/BASE_TORQ) * MTPVTorque_43,0)</f>
        <v>2591</v>
      </c>
      <c r="H139" s="94" t="str">
        <f>IF(G139&lt;&gt;"",IF(C139="float32",FLOAT2HEX(G139),DEC2HEX(G139,8)),"")</f>
        <v>00000A1F</v>
      </c>
      <c r="I139" s="94" t="str">
        <f t="shared" si="6"/>
        <v/>
      </c>
    </row>
    <row r="140" spans="1:9" x14ac:dyDescent="0.25">
      <c r="A140" s="96" t="str">
        <f>IF(I140&lt;&gt;"",MAX(A$1:A139)+1,"")</f>
        <v/>
      </c>
      <c r="B140" s="97" t="s">
        <v>2270</v>
      </c>
      <c r="C140" s="103" t="s">
        <v>57</v>
      </c>
      <c r="D140" s="103">
        <f t="shared" si="5"/>
        <v>4</v>
      </c>
      <c r="E140" s="89" t="s">
        <v>2753</v>
      </c>
      <c r="G140" s="103">
        <f>ROUND((32768/BASE_ANGLE) * MTPVAngle_43,0)</f>
        <v>21192</v>
      </c>
      <c r="H140" s="94" t="str">
        <f>IF(G140&lt;&gt;"",IF(C140="float32",FLOAT2HEX(G140),DEC2HEX(G140,8)),"")</f>
        <v>000052C8</v>
      </c>
      <c r="I140" s="94" t="str">
        <f t="shared" si="6"/>
        <v/>
      </c>
    </row>
    <row r="141" spans="1:9" x14ac:dyDescent="0.25">
      <c r="A141" s="96" t="str">
        <f>IF(I141&lt;&gt;"",MAX(A$1:A140)+1,"")</f>
        <v/>
      </c>
      <c r="B141" s="97" t="s">
        <v>2271</v>
      </c>
      <c r="C141" s="103" t="s">
        <v>57</v>
      </c>
      <c r="D141" s="103">
        <f t="shared" si="5"/>
        <v>4</v>
      </c>
      <c r="E141" s="89" t="s">
        <v>2754</v>
      </c>
      <c r="G141" s="103">
        <f>ROUND((32768/BASE_FLUX) * MTPVFlux_44,0)</f>
        <v>5979</v>
      </c>
      <c r="H141" s="94" t="str">
        <f>IF(G141&lt;&gt;"",IF(C141="float32",FLOAT2HEX(G141),DEC2HEX(G141,8)),"")</f>
        <v>0000175B</v>
      </c>
      <c r="I141" s="94" t="str">
        <f t="shared" si="6"/>
        <v/>
      </c>
    </row>
    <row r="142" spans="1:9" x14ac:dyDescent="0.25">
      <c r="A142" s="96" t="str">
        <f>IF(I142&lt;&gt;"",MAX(A$1:A141)+1,"")</f>
        <v/>
      </c>
      <c r="B142" s="74" t="s">
        <v>2272</v>
      </c>
      <c r="C142" s="103" t="s">
        <v>57</v>
      </c>
      <c r="D142" s="103">
        <f t="shared" si="5"/>
        <v>4</v>
      </c>
      <c r="E142" s="89" t="s">
        <v>2755</v>
      </c>
      <c r="G142" s="103">
        <f>ROUND((32768/BASE_TORQ) * MTPVTorque_44,0)</f>
        <v>2639</v>
      </c>
      <c r="H142" s="94" t="str">
        <f>IF(G142&lt;&gt;"",IF(C142="float32",FLOAT2HEX(G142),DEC2HEX(G142,8)),"")</f>
        <v>00000A4F</v>
      </c>
      <c r="I142" s="94" t="str">
        <f t="shared" si="6"/>
        <v/>
      </c>
    </row>
    <row r="143" spans="1:9" x14ac:dyDescent="0.25">
      <c r="A143" s="96" t="str">
        <f>IF(I143&lt;&gt;"",MAX(A$1:A142)+1,"")</f>
        <v/>
      </c>
      <c r="B143" s="97" t="s">
        <v>2273</v>
      </c>
      <c r="C143" s="103" t="s">
        <v>57</v>
      </c>
      <c r="D143" s="103">
        <f t="shared" si="5"/>
        <v>4</v>
      </c>
      <c r="E143" s="89" t="s">
        <v>2756</v>
      </c>
      <c r="G143" s="103">
        <f>ROUND((32768/BASE_ANGLE) * MTPVAngle_44,0)</f>
        <v>21274</v>
      </c>
      <c r="H143" s="94" t="str">
        <f>IF(G143&lt;&gt;"",IF(C143="float32",FLOAT2HEX(G143),DEC2HEX(G143,8)),"")</f>
        <v>0000531A</v>
      </c>
      <c r="I143" s="94" t="str">
        <f t="shared" si="6"/>
        <v/>
      </c>
    </row>
    <row r="144" spans="1:9" x14ac:dyDescent="0.25">
      <c r="A144" s="96" t="str">
        <f>IF(I144&lt;&gt;"",MAX(A$1:A143)+1,"")</f>
        <v/>
      </c>
      <c r="B144" s="97" t="s">
        <v>2274</v>
      </c>
      <c r="C144" s="103" t="s">
        <v>57</v>
      </c>
      <c r="D144" s="103">
        <f t="shared" si="5"/>
        <v>4</v>
      </c>
      <c r="E144" s="89" t="s">
        <v>2757</v>
      </c>
      <c r="G144" s="103">
        <f>ROUND((32768/BASE_FLUX) * MTPVFlux_45,0)</f>
        <v>6096</v>
      </c>
      <c r="H144" s="94" t="str">
        <f>IF(G144&lt;&gt;"",IF(C144="float32",FLOAT2HEX(G144),DEC2HEX(G144,8)),"")</f>
        <v>000017D0</v>
      </c>
      <c r="I144" s="94" t="str">
        <f t="shared" si="6"/>
        <v/>
      </c>
    </row>
    <row r="145" spans="1:9" x14ac:dyDescent="0.25">
      <c r="A145" s="96" t="str">
        <f>IF(I145&lt;&gt;"",MAX(A$1:A144)+1,"")</f>
        <v/>
      </c>
      <c r="B145" s="74" t="s">
        <v>2275</v>
      </c>
      <c r="C145" s="103" t="s">
        <v>57</v>
      </c>
      <c r="D145" s="103">
        <f t="shared" si="5"/>
        <v>4</v>
      </c>
      <c r="E145" s="89" t="s">
        <v>2758</v>
      </c>
      <c r="G145" s="103">
        <f>ROUND((32768/BASE_TORQ) * MTPVTorque_45,0)</f>
        <v>2687</v>
      </c>
      <c r="H145" s="94" t="str">
        <f>IF(G145&lt;&gt;"",IF(C145="float32",FLOAT2HEX(G145),DEC2HEX(G145,8)),"")</f>
        <v>00000A7F</v>
      </c>
      <c r="I145" s="94" t="str">
        <f t="shared" si="6"/>
        <v/>
      </c>
    </row>
    <row r="146" spans="1:9" x14ac:dyDescent="0.25">
      <c r="A146" s="96" t="str">
        <f>IF(I146&lt;&gt;"",MAX(A$1:A145)+1,"")</f>
        <v/>
      </c>
      <c r="B146" s="97" t="s">
        <v>2276</v>
      </c>
      <c r="C146" s="103" t="s">
        <v>57</v>
      </c>
      <c r="D146" s="103">
        <f t="shared" si="5"/>
        <v>4</v>
      </c>
      <c r="E146" s="89" t="s">
        <v>2759</v>
      </c>
      <c r="G146" s="103">
        <f>ROUND((32768/BASE_ANGLE) * MTPVAngle_45,0)</f>
        <v>21353</v>
      </c>
      <c r="H146" s="94" t="str">
        <f>IF(G146&lt;&gt;"",IF(C146="float32",FLOAT2HEX(G146),DEC2HEX(G146,8)),"")</f>
        <v>00005369</v>
      </c>
      <c r="I146" s="94" t="str">
        <f t="shared" si="6"/>
        <v/>
      </c>
    </row>
    <row r="147" spans="1:9" x14ac:dyDescent="0.25">
      <c r="A147" s="96" t="str">
        <f>IF(I147&lt;&gt;"",MAX(A$1:A146)+1,"")</f>
        <v/>
      </c>
      <c r="B147" s="97" t="s">
        <v>2277</v>
      </c>
      <c r="C147" s="103" t="s">
        <v>57</v>
      </c>
      <c r="D147" s="103">
        <f t="shared" si="5"/>
        <v>4</v>
      </c>
      <c r="E147" s="89" t="s">
        <v>2760</v>
      </c>
      <c r="G147" s="103">
        <f>ROUND((32768/BASE_FLUX) * MTPVFlux_46,0)</f>
        <v>6214</v>
      </c>
      <c r="H147" s="94" t="str">
        <f>IF(G147&lt;&gt;"",IF(C147="float32",FLOAT2HEX(G147),DEC2HEX(G147,8)),"")</f>
        <v>00001846</v>
      </c>
      <c r="I147" s="94" t="str">
        <f t="shared" si="6"/>
        <v/>
      </c>
    </row>
    <row r="148" spans="1:9" x14ac:dyDescent="0.25">
      <c r="A148" s="96" t="str">
        <f>IF(I148&lt;&gt;"",MAX(A$1:A147)+1,"")</f>
        <v/>
      </c>
      <c r="B148" s="74" t="s">
        <v>2278</v>
      </c>
      <c r="C148" s="103" t="s">
        <v>57</v>
      </c>
      <c r="D148" s="103">
        <f t="shared" si="5"/>
        <v>4</v>
      </c>
      <c r="E148" s="89" t="s">
        <v>2761</v>
      </c>
      <c r="G148" s="103">
        <f>ROUND((32768/BASE_TORQ) * MTPVTorque_46,0)</f>
        <v>2734</v>
      </c>
      <c r="H148" s="94" t="str">
        <f>IF(G148&lt;&gt;"",IF(C148="float32",FLOAT2HEX(G148),DEC2HEX(G148,8)),"")</f>
        <v>00000AAE</v>
      </c>
      <c r="I148" s="94" t="str">
        <f t="shared" si="6"/>
        <v/>
      </c>
    </row>
    <row r="149" spans="1:9" x14ac:dyDescent="0.25">
      <c r="A149" s="96" t="str">
        <f>IF(I149&lt;&gt;"",MAX(A$1:A148)+1,"")</f>
        <v/>
      </c>
      <c r="B149" s="97" t="s">
        <v>2279</v>
      </c>
      <c r="C149" s="103" t="s">
        <v>57</v>
      </c>
      <c r="D149" s="103">
        <f t="shared" si="5"/>
        <v>4</v>
      </c>
      <c r="E149" s="89" t="s">
        <v>2762</v>
      </c>
      <c r="G149" s="103">
        <f>ROUND((32768/BASE_ANGLE) * MTPVAngle_46,0)</f>
        <v>21430</v>
      </c>
      <c r="H149" s="94" t="str">
        <f>IF(G149&lt;&gt;"",IF(C149="float32",FLOAT2HEX(G149),DEC2HEX(G149,8)),"")</f>
        <v>000053B6</v>
      </c>
      <c r="I149" s="94" t="str">
        <f t="shared" si="6"/>
        <v/>
      </c>
    </row>
    <row r="150" spans="1:9" x14ac:dyDescent="0.25">
      <c r="A150" s="96" t="str">
        <f>IF(I150&lt;&gt;"",MAX(A$1:A149)+1,"")</f>
        <v/>
      </c>
      <c r="B150" s="97" t="s">
        <v>2280</v>
      </c>
      <c r="C150" s="103" t="s">
        <v>57</v>
      </c>
      <c r="D150" s="103">
        <f t="shared" si="5"/>
        <v>4</v>
      </c>
      <c r="E150" s="89" t="s">
        <v>2763</v>
      </c>
      <c r="G150" s="103">
        <f>ROUND((32768/BASE_FLUX) * MTPVFlux_47,0)</f>
        <v>6331</v>
      </c>
      <c r="H150" s="94" t="str">
        <f>IF(G150&lt;&gt;"",IF(C150="float32",FLOAT2HEX(G150),DEC2HEX(G150,8)),"")</f>
        <v>000018BB</v>
      </c>
      <c r="I150" s="94" t="str">
        <f t="shared" si="6"/>
        <v/>
      </c>
    </row>
    <row r="151" spans="1:9" x14ac:dyDescent="0.25">
      <c r="A151" s="96" t="str">
        <f>IF(I151&lt;&gt;"",MAX(A$1:A150)+1,"")</f>
        <v/>
      </c>
      <c r="B151" s="74" t="s">
        <v>2281</v>
      </c>
      <c r="C151" s="103" t="s">
        <v>57</v>
      </c>
      <c r="D151" s="103">
        <f t="shared" si="5"/>
        <v>4</v>
      </c>
      <c r="E151" s="89" t="s">
        <v>2764</v>
      </c>
      <c r="G151" s="103">
        <f>ROUND((32768/BASE_TORQ) * MTPVTorque_47,0)</f>
        <v>2781</v>
      </c>
      <c r="H151" s="94" t="str">
        <f>IF(G151&lt;&gt;"",IF(C151="float32",FLOAT2HEX(G151),DEC2HEX(G151,8)),"")</f>
        <v>00000ADD</v>
      </c>
      <c r="I151" s="94" t="str">
        <f t="shared" si="6"/>
        <v/>
      </c>
    </row>
    <row r="152" spans="1:9" x14ac:dyDescent="0.25">
      <c r="A152" s="96" t="str">
        <f>IF(I152&lt;&gt;"",MAX(A$1:A151)+1,"")</f>
        <v/>
      </c>
      <c r="B152" s="97" t="s">
        <v>2282</v>
      </c>
      <c r="C152" s="103" t="s">
        <v>57</v>
      </c>
      <c r="D152" s="103">
        <f t="shared" si="5"/>
        <v>4</v>
      </c>
      <c r="E152" s="89" t="s">
        <v>2765</v>
      </c>
      <c r="G152" s="103">
        <f>ROUND((32768/BASE_ANGLE) * MTPVAngle_47,0)</f>
        <v>21505</v>
      </c>
      <c r="H152" s="94" t="str">
        <f>IF(G152&lt;&gt;"",IF(C152="float32",FLOAT2HEX(G152),DEC2HEX(G152,8)),"")</f>
        <v>00005401</v>
      </c>
      <c r="I152" s="94" t="str">
        <f t="shared" si="6"/>
        <v/>
      </c>
    </row>
    <row r="153" spans="1:9" x14ac:dyDescent="0.25">
      <c r="A153" s="96" t="str">
        <f>IF(I153&lt;&gt;"",MAX(A$1:A152)+1,"")</f>
        <v/>
      </c>
      <c r="B153" s="97" t="s">
        <v>2283</v>
      </c>
      <c r="C153" s="103" t="s">
        <v>57</v>
      </c>
      <c r="D153" s="103">
        <f t="shared" si="5"/>
        <v>4</v>
      </c>
      <c r="E153" s="89" t="s">
        <v>2766</v>
      </c>
      <c r="G153" s="103">
        <f>ROUND((32768/BASE_FLUX) * MTPVFlux_48,0)</f>
        <v>6448</v>
      </c>
      <c r="H153" s="94" t="str">
        <f>IF(G153&lt;&gt;"",IF(C153="float32",FLOAT2HEX(G153),DEC2HEX(G153,8)),"")</f>
        <v>00001930</v>
      </c>
      <c r="I153" s="94" t="str">
        <f t="shared" si="6"/>
        <v/>
      </c>
    </row>
    <row r="154" spans="1:9" x14ac:dyDescent="0.25">
      <c r="A154" s="96" t="str">
        <f>IF(I154&lt;&gt;"",MAX(A$1:A153)+1,"")</f>
        <v/>
      </c>
      <c r="B154" s="74" t="s">
        <v>2284</v>
      </c>
      <c r="C154" s="103" t="s">
        <v>57</v>
      </c>
      <c r="D154" s="103">
        <f t="shared" si="5"/>
        <v>4</v>
      </c>
      <c r="E154" s="89" t="s">
        <v>2767</v>
      </c>
      <c r="G154" s="103">
        <f>ROUND((32768/BASE_TORQ) * MTPVTorque_48,0)</f>
        <v>2828</v>
      </c>
      <c r="H154" s="94" t="str">
        <f>IF(G154&lt;&gt;"",IF(C154="float32",FLOAT2HEX(G154),DEC2HEX(G154,8)),"")</f>
        <v>00000B0C</v>
      </c>
      <c r="I154" s="94" t="str">
        <f t="shared" si="6"/>
        <v/>
      </c>
    </row>
    <row r="155" spans="1:9" x14ac:dyDescent="0.25">
      <c r="A155" s="96" t="str">
        <f>IF(I155&lt;&gt;"",MAX(A$1:A154)+1,"")</f>
        <v/>
      </c>
      <c r="B155" s="97" t="s">
        <v>2285</v>
      </c>
      <c r="C155" s="103" t="s">
        <v>57</v>
      </c>
      <c r="D155" s="103">
        <f t="shared" si="5"/>
        <v>4</v>
      </c>
      <c r="E155" s="89" t="s">
        <v>2768</v>
      </c>
      <c r="G155" s="103">
        <f>ROUND((32768/BASE_ANGLE) * MTPVAngle_48,0)</f>
        <v>21577</v>
      </c>
      <c r="H155" s="94" t="str">
        <f>IF(G155&lt;&gt;"",IF(C155="float32",FLOAT2HEX(G155),DEC2HEX(G155,8)),"")</f>
        <v>00005449</v>
      </c>
      <c r="I155" s="94" t="str">
        <f t="shared" si="6"/>
        <v/>
      </c>
    </row>
    <row r="156" spans="1:9" x14ac:dyDescent="0.25">
      <c r="A156" s="96" t="str">
        <f>IF(I156&lt;&gt;"",MAX(A$1:A155)+1,"")</f>
        <v/>
      </c>
      <c r="B156" s="97" t="s">
        <v>2286</v>
      </c>
      <c r="C156" s="103" t="s">
        <v>57</v>
      </c>
      <c r="D156" s="103">
        <f t="shared" si="5"/>
        <v>4</v>
      </c>
      <c r="E156" s="89" t="s">
        <v>2769</v>
      </c>
      <c r="G156" s="103">
        <f>ROUND((32768/BASE_FLUX) * MTPVFlux_49,0)</f>
        <v>6565</v>
      </c>
      <c r="H156" s="94" t="str">
        <f>IF(G156&lt;&gt;"",IF(C156="float32",FLOAT2HEX(G156),DEC2HEX(G156,8)),"")</f>
        <v>000019A5</v>
      </c>
      <c r="I156" s="94" t="str">
        <f t="shared" si="6"/>
        <v/>
      </c>
    </row>
    <row r="157" spans="1:9" x14ac:dyDescent="0.25">
      <c r="A157" s="96" t="str">
        <f>IF(I157&lt;&gt;"",MAX(A$1:A156)+1,"")</f>
        <v/>
      </c>
      <c r="B157" s="74" t="s">
        <v>2287</v>
      </c>
      <c r="C157" s="103" t="s">
        <v>57</v>
      </c>
      <c r="D157" s="103">
        <f t="shared" si="5"/>
        <v>4</v>
      </c>
      <c r="E157" s="89" t="s">
        <v>2770</v>
      </c>
      <c r="G157" s="103">
        <f>ROUND((32768/BASE_TORQ) * MTPVTorque_49,0)</f>
        <v>2874</v>
      </c>
      <c r="H157" s="94" t="str">
        <f>IF(G157&lt;&gt;"",IF(C157="float32",FLOAT2HEX(G157),DEC2HEX(G157,8)),"")</f>
        <v>00000B3A</v>
      </c>
      <c r="I157" s="94" t="str">
        <f t="shared" si="6"/>
        <v/>
      </c>
    </row>
    <row r="158" spans="1:9" x14ac:dyDescent="0.25">
      <c r="A158" s="96" t="str">
        <f>IF(I158&lt;&gt;"",MAX(A$1:A157)+1,"")</f>
        <v/>
      </c>
      <c r="B158" s="97" t="s">
        <v>2288</v>
      </c>
      <c r="C158" s="103" t="s">
        <v>57</v>
      </c>
      <c r="D158" s="103">
        <f t="shared" si="5"/>
        <v>4</v>
      </c>
      <c r="E158" s="89" t="s">
        <v>2771</v>
      </c>
      <c r="G158" s="103">
        <f>ROUND((32768/BASE_ANGLE) * MTPVAngle_49,0)</f>
        <v>21647</v>
      </c>
      <c r="H158" s="94" t="str">
        <f>IF(G158&lt;&gt;"",IF(C158="float32",FLOAT2HEX(G158),DEC2HEX(G158,8)),"")</f>
        <v>0000548F</v>
      </c>
      <c r="I158" s="94" t="str">
        <f t="shared" si="6"/>
        <v/>
      </c>
    </row>
    <row r="159" spans="1:9" x14ac:dyDescent="0.25">
      <c r="A159" s="96" t="str">
        <f>IF(I159&lt;&gt;"",MAX(A$1:A158)+1,"")</f>
        <v/>
      </c>
      <c r="B159" s="97" t="s">
        <v>2289</v>
      </c>
      <c r="C159" s="103" t="s">
        <v>57</v>
      </c>
      <c r="D159" s="103">
        <f t="shared" si="5"/>
        <v>4</v>
      </c>
      <c r="E159" s="89" t="s">
        <v>2772</v>
      </c>
      <c r="G159" s="103">
        <f>ROUND((32768/BASE_FLUX) * MTPVFlux_50,0)</f>
        <v>6683</v>
      </c>
      <c r="H159" s="94" t="str">
        <f>IF(G159&lt;&gt;"",IF(C159="float32",FLOAT2HEX(G159),DEC2HEX(G159,8)),"")</f>
        <v>00001A1B</v>
      </c>
      <c r="I159" s="94" t="str">
        <f t="shared" si="6"/>
        <v/>
      </c>
    </row>
    <row r="160" spans="1:9" x14ac:dyDescent="0.25">
      <c r="A160" s="96" t="str">
        <f>IF(I160&lt;&gt;"",MAX(A$1:A159)+1,"")</f>
        <v/>
      </c>
      <c r="B160" s="74" t="s">
        <v>2290</v>
      </c>
      <c r="C160" s="103" t="s">
        <v>57</v>
      </c>
      <c r="D160" s="103">
        <f t="shared" si="5"/>
        <v>4</v>
      </c>
      <c r="E160" s="89" t="s">
        <v>2773</v>
      </c>
      <c r="G160" s="103">
        <f>ROUND((32768/BASE_TORQ) * MTPVTorque_50,0)</f>
        <v>2920</v>
      </c>
      <c r="H160" s="94" t="str">
        <f>IF(G160&lt;&gt;"",IF(C160="float32",FLOAT2HEX(G160),DEC2HEX(G160,8)),"")</f>
        <v>00000B68</v>
      </c>
      <c r="I160" s="94" t="str">
        <f t="shared" si="6"/>
        <v/>
      </c>
    </row>
    <row r="161" spans="1:9" x14ac:dyDescent="0.25">
      <c r="A161" s="96" t="str">
        <f>IF(I161&lt;&gt;"",MAX(A$1:A160)+1,"")</f>
        <v/>
      </c>
      <c r="B161" s="97" t="s">
        <v>2291</v>
      </c>
      <c r="C161" s="103" t="s">
        <v>57</v>
      </c>
      <c r="D161" s="103">
        <f t="shared" si="5"/>
        <v>4</v>
      </c>
      <c r="E161" s="89" t="s">
        <v>2774</v>
      </c>
      <c r="G161" s="103">
        <f>ROUND((32768/BASE_ANGLE) * MTPVAngle_50,0)</f>
        <v>21715</v>
      </c>
      <c r="H161" s="94" t="str">
        <f>IF(G161&lt;&gt;"",IF(C161="float32",FLOAT2HEX(G161),DEC2HEX(G161,8)),"")</f>
        <v>000054D3</v>
      </c>
      <c r="I161" s="94" t="str">
        <f t="shared" si="6"/>
        <v/>
      </c>
    </row>
    <row r="162" spans="1:9" x14ac:dyDescent="0.25">
      <c r="A162" s="96" t="str">
        <f>IF(I162&lt;&gt;"",MAX(A$1:A161)+1,"")</f>
        <v/>
      </c>
      <c r="B162" s="97" t="s">
        <v>2292</v>
      </c>
      <c r="C162" s="103" t="s">
        <v>57</v>
      </c>
      <c r="D162" s="103">
        <f t="shared" si="5"/>
        <v>4</v>
      </c>
      <c r="E162" s="89" t="s">
        <v>2775</v>
      </c>
      <c r="G162" s="103">
        <f>ROUND((32768/BASE_FLUX) * MTPVFlux_51,0)</f>
        <v>6800</v>
      </c>
      <c r="H162" s="94" t="str">
        <f>IF(G162&lt;&gt;"",IF(C162="float32",FLOAT2HEX(G162),DEC2HEX(G162,8)),"")</f>
        <v>00001A90</v>
      </c>
      <c r="I162" s="94" t="str">
        <f t="shared" si="6"/>
        <v/>
      </c>
    </row>
    <row r="163" spans="1:9" x14ac:dyDescent="0.25">
      <c r="A163" s="96" t="str">
        <f>IF(I163&lt;&gt;"",MAX(A$1:A162)+1,"")</f>
        <v/>
      </c>
      <c r="B163" s="74" t="s">
        <v>2293</v>
      </c>
      <c r="C163" s="103" t="s">
        <v>57</v>
      </c>
      <c r="D163" s="103">
        <f t="shared" si="5"/>
        <v>4</v>
      </c>
      <c r="E163" s="89" t="s">
        <v>2776</v>
      </c>
      <c r="G163" s="103">
        <f>ROUND((32768/BASE_TORQ) * MTPVTorque_51,0)</f>
        <v>2966</v>
      </c>
      <c r="H163" s="94" t="str">
        <f>IF(G163&lt;&gt;"",IF(C163="float32",FLOAT2HEX(G163),DEC2HEX(G163,8)),"")</f>
        <v>00000B96</v>
      </c>
      <c r="I163" s="94" t="str">
        <f t="shared" si="6"/>
        <v/>
      </c>
    </row>
    <row r="164" spans="1:9" x14ac:dyDescent="0.25">
      <c r="A164" s="96" t="str">
        <f>IF(I164&lt;&gt;"",MAX(A$1:A163)+1,"")</f>
        <v/>
      </c>
      <c r="B164" s="97" t="s">
        <v>2294</v>
      </c>
      <c r="C164" s="103" t="s">
        <v>57</v>
      </c>
      <c r="D164" s="103">
        <f t="shared" si="5"/>
        <v>4</v>
      </c>
      <c r="E164" s="89" t="s">
        <v>2777</v>
      </c>
      <c r="G164" s="103">
        <f>ROUND((32768/BASE_ANGLE) * MTPVAngle_51,0)</f>
        <v>21781</v>
      </c>
      <c r="H164" s="94" t="str">
        <f>IF(G164&lt;&gt;"",IF(C164="float32",FLOAT2HEX(G164),DEC2HEX(G164,8)),"")</f>
        <v>00005515</v>
      </c>
      <c r="I164" s="94" t="str">
        <f t="shared" si="6"/>
        <v/>
      </c>
    </row>
    <row r="165" spans="1:9" x14ac:dyDescent="0.25">
      <c r="A165" s="96" t="str">
        <f>IF(I165&lt;&gt;"",MAX(A$1:A164)+1,"")</f>
        <v/>
      </c>
      <c r="B165" s="97" t="s">
        <v>2295</v>
      </c>
      <c r="C165" s="103" t="s">
        <v>57</v>
      </c>
      <c r="D165" s="103">
        <f t="shared" si="5"/>
        <v>4</v>
      </c>
      <c r="E165" s="89" t="s">
        <v>2778</v>
      </c>
      <c r="G165" s="103">
        <f>ROUND((32768/BASE_FLUX) * MTPVFlux_52,0)</f>
        <v>6917</v>
      </c>
      <c r="H165" s="94" t="str">
        <f>IF(G165&lt;&gt;"",IF(C165="float32",FLOAT2HEX(G165),DEC2HEX(G165,8)),"")</f>
        <v>00001B05</v>
      </c>
      <c r="I165" s="94" t="str">
        <f t="shared" si="6"/>
        <v/>
      </c>
    </row>
    <row r="166" spans="1:9" x14ac:dyDescent="0.25">
      <c r="A166" s="96" t="str">
        <f>IF(I166&lt;&gt;"",MAX(A$1:A165)+1,"")</f>
        <v/>
      </c>
      <c r="B166" s="74" t="s">
        <v>2296</v>
      </c>
      <c r="C166" s="103" t="s">
        <v>57</v>
      </c>
      <c r="D166" s="103">
        <f t="shared" si="5"/>
        <v>4</v>
      </c>
      <c r="E166" s="89" t="s">
        <v>2779</v>
      </c>
      <c r="G166" s="103">
        <f>ROUND((32768/BASE_TORQ) * MTPVTorque_52,0)</f>
        <v>3011</v>
      </c>
      <c r="H166" s="94" t="str">
        <f>IF(G166&lt;&gt;"",IF(C166="float32",FLOAT2HEX(G166),DEC2HEX(G166,8)),"")</f>
        <v>00000BC3</v>
      </c>
      <c r="I166" s="94" t="str">
        <f t="shared" si="6"/>
        <v/>
      </c>
    </row>
    <row r="167" spans="1:9" x14ac:dyDescent="0.25">
      <c r="A167" s="96" t="str">
        <f>IF(I167&lt;&gt;"",MAX(A$1:A166)+1,"")</f>
        <v/>
      </c>
      <c r="B167" s="97" t="s">
        <v>2297</v>
      </c>
      <c r="C167" s="103" t="s">
        <v>57</v>
      </c>
      <c r="D167" s="103">
        <f t="shared" si="5"/>
        <v>4</v>
      </c>
      <c r="E167" s="89" t="s">
        <v>2780</v>
      </c>
      <c r="G167" s="103">
        <f>ROUND((32768/BASE_ANGLE) * MTPVAngle_52,0)</f>
        <v>21844</v>
      </c>
      <c r="H167" s="94" t="str">
        <f>IF(G167&lt;&gt;"",IF(C167="float32",FLOAT2HEX(G167),DEC2HEX(G167,8)),"")</f>
        <v>00005554</v>
      </c>
      <c r="I167" s="94" t="str">
        <f t="shared" si="6"/>
        <v/>
      </c>
    </row>
    <row r="168" spans="1:9" x14ac:dyDescent="0.25">
      <c r="A168" s="96" t="str">
        <f>IF(I168&lt;&gt;"",MAX(A$1:A167)+1,"")</f>
        <v/>
      </c>
      <c r="B168" s="97" t="s">
        <v>2298</v>
      </c>
      <c r="C168" s="103" t="s">
        <v>57</v>
      </c>
      <c r="D168" s="103">
        <f t="shared" si="5"/>
        <v>4</v>
      </c>
      <c r="E168" s="89" t="s">
        <v>2781</v>
      </c>
      <c r="G168" s="103">
        <f>ROUND((32768/BASE_FLUX) * MTPVFlux_53,0)</f>
        <v>7034</v>
      </c>
      <c r="H168" s="94" t="str">
        <f>IF(G168&lt;&gt;"",IF(C168="float32",FLOAT2HEX(G168),DEC2HEX(G168,8)),"")</f>
        <v>00001B7A</v>
      </c>
      <c r="I168" s="94" t="str">
        <f t="shared" si="6"/>
        <v/>
      </c>
    </row>
    <row r="169" spans="1:9" x14ac:dyDescent="0.25">
      <c r="A169" s="96" t="str">
        <f>IF(I169&lt;&gt;"",MAX(A$1:A168)+1,"")</f>
        <v/>
      </c>
      <c r="B169" s="74" t="s">
        <v>2299</v>
      </c>
      <c r="C169" s="103" t="s">
        <v>57</v>
      </c>
      <c r="D169" s="103">
        <f t="shared" si="5"/>
        <v>4</v>
      </c>
      <c r="E169" s="89" t="s">
        <v>2782</v>
      </c>
      <c r="G169" s="103">
        <f>ROUND((32768/BASE_TORQ) * MTPVTorque_53,0)</f>
        <v>3056</v>
      </c>
      <c r="H169" s="94" t="str">
        <f>IF(G169&lt;&gt;"",IF(C169="float32",FLOAT2HEX(G169),DEC2HEX(G169,8)),"")</f>
        <v>00000BF0</v>
      </c>
      <c r="I169" s="94" t="str">
        <f t="shared" si="6"/>
        <v/>
      </c>
    </row>
    <row r="170" spans="1:9" x14ac:dyDescent="0.25">
      <c r="A170" s="96" t="str">
        <f>IF(I170&lt;&gt;"",MAX(A$1:A169)+1,"")</f>
        <v/>
      </c>
      <c r="B170" s="97" t="s">
        <v>2300</v>
      </c>
      <c r="C170" s="103" t="s">
        <v>57</v>
      </c>
      <c r="D170" s="103">
        <f t="shared" si="5"/>
        <v>4</v>
      </c>
      <c r="E170" s="89" t="s">
        <v>2783</v>
      </c>
      <c r="G170" s="103">
        <f>ROUND((32768/BASE_ANGLE) * MTPVAngle_53,0)</f>
        <v>21906</v>
      </c>
      <c r="H170" s="94" t="str">
        <f>IF(G170&lt;&gt;"",IF(C170="float32",FLOAT2HEX(G170),DEC2HEX(G170,8)),"")</f>
        <v>00005592</v>
      </c>
      <c r="I170" s="94" t="str">
        <f t="shared" si="6"/>
        <v/>
      </c>
    </row>
    <row r="171" spans="1:9" x14ac:dyDescent="0.25">
      <c r="A171" s="96" t="str">
        <f>IF(I171&lt;&gt;"",MAX(A$1:A170)+1,"")</f>
        <v/>
      </c>
      <c r="B171" s="97" t="s">
        <v>2301</v>
      </c>
      <c r="C171" s="103" t="s">
        <v>57</v>
      </c>
      <c r="D171" s="103">
        <f t="shared" ref="D171:D234" si="7">IF(OR(C171="sint64",C171="uint64",C171="double64"), 8, IF(OR(C171="sint32",C171="uint32",C171="float32"),4,IF(OR(C171="sint16",C171="uint16"),2,  IF(OR(C171="sint8",C171="uint8"),1,""))))</f>
        <v>4</v>
      </c>
      <c r="E171" s="89" t="s">
        <v>2784</v>
      </c>
      <c r="G171" s="103">
        <f>ROUND((32768/BASE_FLUX) * MTPVFlux_54,0)</f>
        <v>7152</v>
      </c>
      <c r="H171" s="94" t="str">
        <f>IF(G171&lt;&gt;"",IF(C171="float32",FLOAT2HEX(G171),DEC2HEX(G171,8)),"")</f>
        <v>00001BF0</v>
      </c>
      <c r="I171" s="94" t="str">
        <f t="shared" si="6"/>
        <v/>
      </c>
    </row>
    <row r="172" spans="1:9" x14ac:dyDescent="0.25">
      <c r="A172" s="96" t="str">
        <f>IF(I172&lt;&gt;"",MAX(A$1:A171)+1,"")</f>
        <v/>
      </c>
      <c r="B172" s="74" t="s">
        <v>2302</v>
      </c>
      <c r="C172" s="103" t="s">
        <v>57</v>
      </c>
      <c r="D172" s="103">
        <f t="shared" si="7"/>
        <v>4</v>
      </c>
      <c r="E172" s="89" t="s">
        <v>2785</v>
      </c>
      <c r="G172" s="103">
        <f>ROUND((32768/BASE_TORQ) * MTPVTorque_54,0)</f>
        <v>3101</v>
      </c>
      <c r="H172" s="94" t="str">
        <f>IF(G172&lt;&gt;"",IF(C172="float32",FLOAT2HEX(G172),DEC2HEX(G172,8)),"")</f>
        <v>00000C1D</v>
      </c>
      <c r="I172" s="94" t="str">
        <f t="shared" si="6"/>
        <v/>
      </c>
    </row>
    <row r="173" spans="1:9" x14ac:dyDescent="0.25">
      <c r="A173" s="96" t="str">
        <f>IF(I173&lt;&gt;"",MAX(A$1:A172)+1,"")</f>
        <v/>
      </c>
      <c r="B173" s="97" t="s">
        <v>2303</v>
      </c>
      <c r="C173" s="103" t="s">
        <v>57</v>
      </c>
      <c r="D173" s="103">
        <f t="shared" si="7"/>
        <v>4</v>
      </c>
      <c r="E173" s="89" t="s">
        <v>2786</v>
      </c>
      <c r="G173" s="103">
        <f>ROUND((32768/BASE_ANGLE) * MTPVAngle_54,0)</f>
        <v>21965</v>
      </c>
      <c r="H173" s="94" t="str">
        <f>IF(G173&lt;&gt;"",IF(C173="float32",FLOAT2HEX(G173),DEC2HEX(G173,8)),"")</f>
        <v>000055CD</v>
      </c>
      <c r="I173" s="94" t="str">
        <f t="shared" si="6"/>
        <v/>
      </c>
    </row>
    <row r="174" spans="1:9" x14ac:dyDescent="0.25">
      <c r="A174" s="96" t="str">
        <f>IF(I174&lt;&gt;"",MAX(A$1:A173)+1,"")</f>
        <v/>
      </c>
      <c r="B174" s="97" t="s">
        <v>2304</v>
      </c>
      <c r="C174" s="103" t="s">
        <v>57</v>
      </c>
      <c r="D174" s="103">
        <f t="shared" si="7"/>
        <v>4</v>
      </c>
      <c r="E174" s="89" t="s">
        <v>2787</v>
      </c>
      <c r="G174" s="103">
        <f>ROUND((32768/BASE_FLUX) * MTPVFlux_55,0)</f>
        <v>7269</v>
      </c>
      <c r="H174" s="94" t="str">
        <f>IF(G174&lt;&gt;"",IF(C174="float32",FLOAT2HEX(G174),DEC2HEX(G174,8)),"")</f>
        <v>00001C65</v>
      </c>
      <c r="I174" s="94" t="str">
        <f t="shared" si="6"/>
        <v/>
      </c>
    </row>
    <row r="175" spans="1:9" x14ac:dyDescent="0.25">
      <c r="A175" s="96" t="str">
        <f>IF(I175&lt;&gt;"",MAX(A$1:A174)+1,"")</f>
        <v/>
      </c>
      <c r="B175" s="74" t="s">
        <v>2305</v>
      </c>
      <c r="C175" s="103" t="s">
        <v>57</v>
      </c>
      <c r="D175" s="103">
        <f t="shared" si="7"/>
        <v>4</v>
      </c>
      <c r="E175" s="89" t="s">
        <v>2788</v>
      </c>
      <c r="G175" s="103">
        <f>ROUND((32768/BASE_TORQ) * MTPVTorque_55,0)</f>
        <v>3145</v>
      </c>
      <c r="H175" s="94" t="str">
        <f>IF(G175&lt;&gt;"",IF(C175="float32",FLOAT2HEX(G175),DEC2HEX(G175,8)),"")</f>
        <v>00000C49</v>
      </c>
      <c r="I175" s="94" t="str">
        <f t="shared" si="6"/>
        <v/>
      </c>
    </row>
    <row r="176" spans="1:9" x14ac:dyDescent="0.25">
      <c r="A176" s="96" t="str">
        <f>IF(I176&lt;&gt;"",MAX(A$1:A175)+1,"")</f>
        <v/>
      </c>
      <c r="B176" s="97" t="s">
        <v>2306</v>
      </c>
      <c r="C176" s="103" t="s">
        <v>57</v>
      </c>
      <c r="D176" s="103">
        <f t="shared" si="7"/>
        <v>4</v>
      </c>
      <c r="E176" s="89" t="s">
        <v>2789</v>
      </c>
      <c r="G176" s="103">
        <f>ROUND((32768/BASE_ANGLE) * MTPVAngle_55,0)</f>
        <v>22022</v>
      </c>
      <c r="H176" s="94" t="str">
        <f>IF(G176&lt;&gt;"",IF(C176="float32",FLOAT2HEX(G176),DEC2HEX(G176,8)),"")</f>
        <v>00005606</v>
      </c>
      <c r="I176" s="94" t="str">
        <f t="shared" si="6"/>
        <v/>
      </c>
    </row>
    <row r="177" spans="1:9" x14ac:dyDescent="0.25">
      <c r="A177" s="96" t="str">
        <f>IF(I177&lt;&gt;"",MAX(A$1:A176)+1,"")</f>
        <v/>
      </c>
      <c r="B177" s="97" t="s">
        <v>2307</v>
      </c>
      <c r="C177" s="103" t="s">
        <v>57</v>
      </c>
      <c r="D177" s="103">
        <f t="shared" si="7"/>
        <v>4</v>
      </c>
      <c r="E177" s="89" t="s">
        <v>2790</v>
      </c>
      <c r="G177" s="103">
        <f>ROUND((32768/BASE_FLUX) * MTPVFlux_56,0)</f>
        <v>7386</v>
      </c>
      <c r="H177" s="94" t="str">
        <f>IF(G177&lt;&gt;"",IF(C177="float32",FLOAT2HEX(G177),DEC2HEX(G177,8)),"")</f>
        <v>00001CDA</v>
      </c>
      <c r="I177" s="94" t="str">
        <f t="shared" si="6"/>
        <v/>
      </c>
    </row>
    <row r="178" spans="1:9" x14ac:dyDescent="0.25">
      <c r="A178" s="96" t="str">
        <f>IF(I178&lt;&gt;"",MAX(A$1:A177)+1,"")</f>
        <v/>
      </c>
      <c r="B178" s="74" t="s">
        <v>2308</v>
      </c>
      <c r="C178" s="103" t="s">
        <v>57</v>
      </c>
      <c r="D178" s="103">
        <f t="shared" si="7"/>
        <v>4</v>
      </c>
      <c r="E178" s="89" t="s">
        <v>2791</v>
      </c>
      <c r="G178" s="103">
        <f>ROUND((32768/BASE_TORQ) * MTPVTorque_56,0)</f>
        <v>3189</v>
      </c>
      <c r="H178" s="94" t="str">
        <f>IF(G178&lt;&gt;"",IF(C178="float32",FLOAT2HEX(G178),DEC2HEX(G178,8)),"")</f>
        <v>00000C75</v>
      </c>
      <c r="I178" s="94" t="str">
        <f t="shared" si="6"/>
        <v/>
      </c>
    </row>
    <row r="179" spans="1:9" x14ac:dyDescent="0.25">
      <c r="A179" s="96" t="str">
        <f>IF(I179&lt;&gt;"",MAX(A$1:A178)+1,"")</f>
        <v/>
      </c>
      <c r="B179" s="97" t="s">
        <v>2309</v>
      </c>
      <c r="C179" s="103" t="s">
        <v>57</v>
      </c>
      <c r="D179" s="103">
        <f t="shared" si="7"/>
        <v>4</v>
      </c>
      <c r="E179" s="89" t="s">
        <v>2792</v>
      </c>
      <c r="G179" s="103">
        <f>ROUND((32768/BASE_ANGLE) * MTPVAngle_56,0)</f>
        <v>22076</v>
      </c>
      <c r="H179" s="94" t="str">
        <f>IF(G179&lt;&gt;"",IF(C179="float32",FLOAT2HEX(G179),DEC2HEX(G179,8)),"")</f>
        <v>0000563C</v>
      </c>
      <c r="I179" s="94" t="str">
        <f t="shared" si="6"/>
        <v/>
      </c>
    </row>
    <row r="180" spans="1:9" x14ac:dyDescent="0.25">
      <c r="A180" s="96" t="str">
        <f>IF(I180&lt;&gt;"",MAX(A$1:A179)+1,"")</f>
        <v/>
      </c>
      <c r="B180" s="97" t="s">
        <v>2310</v>
      </c>
      <c r="C180" s="103" t="s">
        <v>57</v>
      </c>
      <c r="D180" s="103">
        <f t="shared" si="7"/>
        <v>4</v>
      </c>
      <c r="E180" s="89" t="s">
        <v>2793</v>
      </c>
      <c r="G180" s="103">
        <f>ROUND((32768/BASE_FLUX) * MTPVFlux_57,0)</f>
        <v>7503</v>
      </c>
      <c r="H180" s="94" t="str">
        <f>IF(G180&lt;&gt;"",IF(C180="float32",FLOAT2HEX(G180),DEC2HEX(G180,8)),"")</f>
        <v>00001D4F</v>
      </c>
      <c r="I180" s="94" t="str">
        <f t="shared" si="6"/>
        <v/>
      </c>
    </row>
    <row r="181" spans="1:9" x14ac:dyDescent="0.25">
      <c r="A181" s="96" t="str">
        <f>IF(I181&lt;&gt;"",MAX(A$1:A180)+1,"")</f>
        <v/>
      </c>
      <c r="B181" s="74" t="s">
        <v>2311</v>
      </c>
      <c r="C181" s="103" t="s">
        <v>57</v>
      </c>
      <c r="D181" s="103">
        <f t="shared" si="7"/>
        <v>4</v>
      </c>
      <c r="E181" s="89" t="s">
        <v>2794</v>
      </c>
      <c r="G181" s="103">
        <f>ROUND((32768/BASE_TORQ) * MTPVTorque_57,0)</f>
        <v>3232</v>
      </c>
      <c r="H181" s="94" t="str">
        <f>IF(G181&lt;&gt;"",IF(C181="float32",FLOAT2HEX(G181),DEC2HEX(G181,8)),"")</f>
        <v>00000CA0</v>
      </c>
      <c r="I181" s="94" t="str">
        <f t="shared" si="6"/>
        <v/>
      </c>
    </row>
    <row r="182" spans="1:9" x14ac:dyDescent="0.25">
      <c r="A182" s="96" t="str">
        <f>IF(I182&lt;&gt;"",MAX(A$1:A181)+1,"")</f>
        <v/>
      </c>
      <c r="B182" s="97" t="s">
        <v>2312</v>
      </c>
      <c r="C182" s="103" t="s">
        <v>57</v>
      </c>
      <c r="D182" s="103">
        <f t="shared" si="7"/>
        <v>4</v>
      </c>
      <c r="E182" s="89" t="s">
        <v>2795</v>
      </c>
      <c r="G182" s="103">
        <f>ROUND((32768/BASE_ANGLE) * MTPVAngle_57,0)</f>
        <v>22129</v>
      </c>
      <c r="H182" s="94" t="str">
        <f>IF(G182&lt;&gt;"",IF(C182="float32",FLOAT2HEX(G182),DEC2HEX(G182,8)),"")</f>
        <v>00005671</v>
      </c>
      <c r="I182" s="94" t="str">
        <f t="shared" si="6"/>
        <v/>
      </c>
    </row>
    <row r="183" spans="1:9" x14ac:dyDescent="0.25">
      <c r="A183" s="96" t="str">
        <f>IF(I183&lt;&gt;"",MAX(A$1:A182)+1,"")</f>
        <v/>
      </c>
      <c r="B183" s="97" t="s">
        <v>2313</v>
      </c>
      <c r="C183" s="103" t="s">
        <v>57</v>
      </c>
      <c r="D183" s="103">
        <f t="shared" si="7"/>
        <v>4</v>
      </c>
      <c r="E183" s="89" t="s">
        <v>2796</v>
      </c>
      <c r="G183" s="103">
        <f>ROUND((32768/BASE_FLUX) * MTPVFlux_58,0)</f>
        <v>7620</v>
      </c>
      <c r="H183" s="94" t="str">
        <f>IF(G183&lt;&gt;"",IF(C183="float32",FLOAT2HEX(G183),DEC2HEX(G183,8)),"")</f>
        <v>00001DC4</v>
      </c>
      <c r="I183" s="94" t="str">
        <f t="shared" si="6"/>
        <v/>
      </c>
    </row>
    <row r="184" spans="1:9" x14ac:dyDescent="0.25">
      <c r="A184" s="96" t="str">
        <f>IF(I184&lt;&gt;"",MAX(A$1:A183)+1,"")</f>
        <v/>
      </c>
      <c r="B184" s="74" t="s">
        <v>2314</v>
      </c>
      <c r="C184" s="103" t="s">
        <v>57</v>
      </c>
      <c r="D184" s="103">
        <f t="shared" si="7"/>
        <v>4</v>
      </c>
      <c r="E184" s="89" t="s">
        <v>2797</v>
      </c>
      <c r="G184" s="103">
        <f>ROUND((32768/BASE_TORQ) * MTPVTorque_58,0)</f>
        <v>3276</v>
      </c>
      <c r="H184" s="94" t="str">
        <f>IF(G184&lt;&gt;"",IF(C184="float32",FLOAT2HEX(G184),DEC2HEX(G184,8)),"")</f>
        <v>00000CCC</v>
      </c>
      <c r="I184" s="94" t="str">
        <f t="shared" si="6"/>
        <v/>
      </c>
    </row>
    <row r="185" spans="1:9" x14ac:dyDescent="0.25">
      <c r="A185" s="96" t="str">
        <f>IF(I185&lt;&gt;"",MAX(A$1:A184)+1,"")</f>
        <v/>
      </c>
      <c r="B185" s="97" t="s">
        <v>2315</v>
      </c>
      <c r="C185" s="103" t="s">
        <v>57</v>
      </c>
      <c r="D185" s="103">
        <f t="shared" si="7"/>
        <v>4</v>
      </c>
      <c r="E185" s="89" t="s">
        <v>2798</v>
      </c>
      <c r="G185" s="103">
        <f>ROUND((32768/BASE_ANGLE) * MTPVAngle_58,0)</f>
        <v>22180</v>
      </c>
      <c r="H185" s="94" t="str">
        <f>IF(G185&lt;&gt;"",IF(C185="float32",FLOAT2HEX(G185),DEC2HEX(G185,8)),"")</f>
        <v>000056A4</v>
      </c>
      <c r="I185" s="94" t="str">
        <f t="shared" si="6"/>
        <v/>
      </c>
    </row>
    <row r="186" spans="1:9" x14ac:dyDescent="0.25">
      <c r="A186" s="96" t="str">
        <f>IF(I186&lt;&gt;"",MAX(A$1:A185)+1,"")</f>
        <v/>
      </c>
      <c r="B186" s="97" t="s">
        <v>2316</v>
      </c>
      <c r="C186" s="103" t="s">
        <v>57</v>
      </c>
      <c r="D186" s="103">
        <f t="shared" si="7"/>
        <v>4</v>
      </c>
      <c r="E186" s="89" t="s">
        <v>2799</v>
      </c>
      <c r="G186" s="103">
        <f>ROUND((32768/BASE_FLUX) * MTPVFlux_59,0)</f>
        <v>7738</v>
      </c>
      <c r="H186" s="94" t="str">
        <f>IF(G186&lt;&gt;"",IF(C186="float32",FLOAT2HEX(G186),DEC2HEX(G186,8)),"")</f>
        <v>00001E3A</v>
      </c>
      <c r="I186" s="94" t="str">
        <f t="shared" si="6"/>
        <v/>
      </c>
    </row>
    <row r="187" spans="1:9" x14ac:dyDescent="0.25">
      <c r="A187" s="96" t="str">
        <f>IF(I187&lt;&gt;"",MAX(A$1:A186)+1,"")</f>
        <v/>
      </c>
      <c r="B187" s="74" t="s">
        <v>2317</v>
      </c>
      <c r="C187" s="103" t="s">
        <v>57</v>
      </c>
      <c r="D187" s="103">
        <f t="shared" si="7"/>
        <v>4</v>
      </c>
      <c r="E187" s="89" t="s">
        <v>2800</v>
      </c>
      <c r="G187" s="103">
        <f>ROUND((32768/BASE_TORQ) * MTPVTorque_59,0)</f>
        <v>3318</v>
      </c>
      <c r="H187" s="94" t="str">
        <f>IF(G187&lt;&gt;"",IF(C187="float32",FLOAT2HEX(G187),DEC2HEX(G187,8)),"")</f>
        <v>00000CF6</v>
      </c>
      <c r="I187" s="94" t="str">
        <f t="shared" si="6"/>
        <v/>
      </c>
    </row>
    <row r="188" spans="1:9" x14ac:dyDescent="0.25">
      <c r="A188" s="96" t="str">
        <f>IF(I188&lt;&gt;"",MAX(A$1:A187)+1,"")</f>
        <v/>
      </c>
      <c r="B188" s="97" t="s">
        <v>2318</v>
      </c>
      <c r="C188" s="103" t="s">
        <v>57</v>
      </c>
      <c r="D188" s="103">
        <f t="shared" si="7"/>
        <v>4</v>
      </c>
      <c r="E188" s="89" t="s">
        <v>2801</v>
      </c>
      <c r="G188" s="103">
        <f>ROUND((32768/BASE_ANGLE) * MTPVAngle_59,0)</f>
        <v>22229</v>
      </c>
      <c r="H188" s="94" t="str">
        <f>IF(G188&lt;&gt;"",IF(C188="float32",FLOAT2HEX(G188),DEC2HEX(G188,8)),"")</f>
        <v>000056D5</v>
      </c>
      <c r="I188" s="94" t="str">
        <f t="shared" si="6"/>
        <v/>
      </c>
    </row>
    <row r="189" spans="1:9" x14ac:dyDescent="0.25">
      <c r="A189" s="96" t="str">
        <f>IF(I189&lt;&gt;"",MAX(A$1:A188)+1,"")</f>
        <v/>
      </c>
      <c r="B189" s="97" t="s">
        <v>2319</v>
      </c>
      <c r="C189" s="103" t="s">
        <v>57</v>
      </c>
      <c r="D189" s="103">
        <f t="shared" si="7"/>
        <v>4</v>
      </c>
      <c r="E189" s="89" t="s">
        <v>2802</v>
      </c>
      <c r="G189" s="103">
        <f>ROUND((32768/BASE_FLUX) * MTPVFlux_60,0)</f>
        <v>7855</v>
      </c>
      <c r="H189" s="94" t="str">
        <f>IF(G189&lt;&gt;"",IF(C189="float32",FLOAT2HEX(G189),DEC2HEX(G189,8)),"")</f>
        <v>00001EAF</v>
      </c>
      <c r="I189" s="94" t="str">
        <f t="shared" si="6"/>
        <v/>
      </c>
    </row>
    <row r="190" spans="1:9" x14ac:dyDescent="0.25">
      <c r="A190" s="96" t="str">
        <f>IF(I190&lt;&gt;"",MAX(A$1:A189)+1,"")</f>
        <v/>
      </c>
      <c r="B190" s="74" t="s">
        <v>2320</v>
      </c>
      <c r="C190" s="103" t="s">
        <v>57</v>
      </c>
      <c r="D190" s="103">
        <f t="shared" si="7"/>
        <v>4</v>
      </c>
      <c r="E190" s="89" t="s">
        <v>2803</v>
      </c>
      <c r="G190" s="103">
        <f>ROUND((32768/BASE_TORQ) * MTPVTorque_60,0)</f>
        <v>3361</v>
      </c>
      <c r="H190" s="94" t="str">
        <f>IF(G190&lt;&gt;"",IF(C190="float32",FLOAT2HEX(G190),DEC2HEX(G190,8)),"")</f>
        <v>00000D21</v>
      </c>
      <c r="I190" s="94" t="str">
        <f t="shared" si="6"/>
        <v/>
      </c>
    </row>
    <row r="191" spans="1:9" x14ac:dyDescent="0.25">
      <c r="A191" s="96" t="str">
        <f>IF(I191&lt;&gt;"",MAX(A$1:A190)+1,"")</f>
        <v/>
      </c>
      <c r="B191" s="97" t="s">
        <v>2321</v>
      </c>
      <c r="C191" s="103" t="s">
        <v>57</v>
      </c>
      <c r="D191" s="103">
        <f t="shared" si="7"/>
        <v>4</v>
      </c>
      <c r="E191" s="89" t="s">
        <v>2804</v>
      </c>
      <c r="G191" s="103">
        <f>ROUND((32768/BASE_ANGLE) * MTPVAngle_60,0)</f>
        <v>22276</v>
      </c>
      <c r="H191" s="94" t="str">
        <f>IF(G191&lt;&gt;"",IF(C191="float32",FLOAT2HEX(G191),DEC2HEX(G191,8)),"")</f>
        <v>00005704</v>
      </c>
      <c r="I191" s="94" t="str">
        <f t="shared" si="6"/>
        <v/>
      </c>
    </row>
    <row r="192" spans="1:9" x14ac:dyDescent="0.25">
      <c r="A192" s="96" t="str">
        <f>IF(I192&lt;&gt;"",MAX(A$1:A191)+1,"")</f>
        <v/>
      </c>
      <c r="B192" s="97" t="s">
        <v>2322</v>
      </c>
      <c r="C192" s="103" t="s">
        <v>57</v>
      </c>
      <c r="D192" s="103">
        <f t="shared" si="7"/>
        <v>4</v>
      </c>
      <c r="E192" s="89" t="s">
        <v>2805</v>
      </c>
      <c r="G192" s="103">
        <f>ROUND((32768/BASE_FLUX) * MTPVFlux_61,0)</f>
        <v>7972</v>
      </c>
      <c r="H192" s="94" t="str">
        <f>IF(G192&lt;&gt;"",IF(C192="float32",FLOAT2HEX(G192),DEC2HEX(G192,8)),"")</f>
        <v>00001F24</v>
      </c>
      <c r="I192" s="94" t="str">
        <f t="shared" si="6"/>
        <v/>
      </c>
    </row>
    <row r="193" spans="1:9" x14ac:dyDescent="0.25">
      <c r="A193" s="96" t="str">
        <f>IF(I193&lt;&gt;"",MAX(A$1:A192)+1,"")</f>
        <v/>
      </c>
      <c r="B193" s="74" t="s">
        <v>2323</v>
      </c>
      <c r="C193" s="103" t="s">
        <v>57</v>
      </c>
      <c r="D193" s="103">
        <f t="shared" si="7"/>
        <v>4</v>
      </c>
      <c r="E193" s="89" t="s">
        <v>2806</v>
      </c>
      <c r="G193" s="103">
        <f>ROUND((32768/BASE_TORQ) * MTPVTorque_61,0)</f>
        <v>3403</v>
      </c>
      <c r="H193" s="94" t="str">
        <f>IF(G193&lt;&gt;"",IF(C193="float32",FLOAT2HEX(G193),DEC2HEX(G193,8)),"")</f>
        <v>00000D4B</v>
      </c>
      <c r="I193" s="94" t="str">
        <f t="shared" si="6"/>
        <v/>
      </c>
    </row>
    <row r="194" spans="1:9" x14ac:dyDescent="0.25">
      <c r="A194" s="96" t="str">
        <f>IF(I194&lt;&gt;"",MAX(A$1:A193)+1,"")</f>
        <v/>
      </c>
      <c r="B194" s="97" t="s">
        <v>2324</v>
      </c>
      <c r="C194" s="103" t="s">
        <v>57</v>
      </c>
      <c r="D194" s="103">
        <f t="shared" si="7"/>
        <v>4</v>
      </c>
      <c r="E194" s="89" t="s">
        <v>2807</v>
      </c>
      <c r="G194" s="103">
        <f>ROUND((32768/BASE_ANGLE) * MTPVAngle_61,0)</f>
        <v>22321</v>
      </c>
      <c r="H194" s="94" t="str">
        <f>IF(G194&lt;&gt;"",IF(C194="float32",FLOAT2HEX(G194),DEC2HEX(G194,8)),"")</f>
        <v>00005731</v>
      </c>
      <c r="I194" s="94" t="str">
        <f t="shared" si="6"/>
        <v/>
      </c>
    </row>
    <row r="195" spans="1:9" x14ac:dyDescent="0.25">
      <c r="A195" s="96" t="str">
        <f>IF(I195&lt;&gt;"",MAX(A$1:A194)+1,"")</f>
        <v/>
      </c>
      <c r="B195" s="97" t="s">
        <v>2325</v>
      </c>
      <c r="C195" s="103" t="s">
        <v>57</v>
      </c>
      <c r="D195" s="103">
        <f t="shared" si="7"/>
        <v>4</v>
      </c>
      <c r="E195" s="89" t="s">
        <v>2808</v>
      </c>
      <c r="G195" s="103">
        <f>ROUND((32768/BASE_FLUX) * MTPVFlux_62,0)</f>
        <v>8089</v>
      </c>
      <c r="H195" s="94" t="str">
        <f>IF(G195&lt;&gt;"",IF(C195="float32",FLOAT2HEX(G195),DEC2HEX(G195,8)),"")</f>
        <v>00001F99</v>
      </c>
      <c r="I195" s="94" t="str">
        <f t="shared" si="6"/>
        <v/>
      </c>
    </row>
    <row r="196" spans="1:9" x14ac:dyDescent="0.25">
      <c r="A196" s="96" t="str">
        <f>IF(I196&lt;&gt;"",MAX(A$1:A195)+1,"")</f>
        <v/>
      </c>
      <c r="B196" s="74" t="s">
        <v>2326</v>
      </c>
      <c r="C196" s="103" t="s">
        <v>57</v>
      </c>
      <c r="D196" s="103">
        <f t="shared" si="7"/>
        <v>4</v>
      </c>
      <c r="E196" s="89" t="s">
        <v>2809</v>
      </c>
      <c r="G196" s="103">
        <f>ROUND((32768/BASE_TORQ) * MTPVTorque_62,0)</f>
        <v>3444</v>
      </c>
      <c r="H196" s="94" t="str">
        <f>IF(G196&lt;&gt;"",IF(C196="float32",FLOAT2HEX(G196),DEC2HEX(G196,8)),"")</f>
        <v>00000D74</v>
      </c>
      <c r="I196" s="94" t="str">
        <f t="shared" si="6"/>
        <v/>
      </c>
    </row>
    <row r="197" spans="1:9" x14ac:dyDescent="0.25">
      <c r="A197" s="96" t="str">
        <f>IF(I197&lt;&gt;"",MAX(A$1:A196)+1,"")</f>
        <v/>
      </c>
      <c r="B197" s="97" t="s">
        <v>2327</v>
      </c>
      <c r="C197" s="103" t="s">
        <v>57</v>
      </c>
      <c r="D197" s="103">
        <f t="shared" si="7"/>
        <v>4</v>
      </c>
      <c r="E197" s="89" t="s">
        <v>2810</v>
      </c>
      <c r="G197" s="103">
        <f>ROUND((32768/BASE_ANGLE) * MTPVAngle_62,0)</f>
        <v>22364</v>
      </c>
      <c r="H197" s="94" t="str">
        <f>IF(G197&lt;&gt;"",IF(C197="float32",FLOAT2HEX(G197),DEC2HEX(G197,8)),"")</f>
        <v>0000575C</v>
      </c>
      <c r="I197" s="94" t="str">
        <f t="shared" si="6"/>
        <v/>
      </c>
    </row>
    <row r="198" spans="1:9" x14ac:dyDescent="0.25">
      <c r="A198" s="96" t="str">
        <f>IF(I198&lt;&gt;"",MAX(A$1:A197)+1,"")</f>
        <v/>
      </c>
      <c r="B198" s="97" t="s">
        <v>2328</v>
      </c>
      <c r="C198" s="103" t="s">
        <v>57</v>
      </c>
      <c r="D198" s="103">
        <f t="shared" si="7"/>
        <v>4</v>
      </c>
      <c r="E198" s="89" t="s">
        <v>2811</v>
      </c>
      <c r="G198" s="103">
        <f>ROUND((32768/BASE_FLUX) * MTPVFlux_63,0)</f>
        <v>8207</v>
      </c>
      <c r="H198" s="94" t="str">
        <f>IF(G198&lt;&gt;"",IF(C198="float32",FLOAT2HEX(G198),DEC2HEX(G198,8)),"")</f>
        <v>0000200F</v>
      </c>
      <c r="I198" s="94" t="str">
        <f t="shared" si="6"/>
        <v/>
      </c>
    </row>
    <row r="199" spans="1:9" x14ac:dyDescent="0.25">
      <c r="A199" s="96" t="str">
        <f>IF(I199&lt;&gt;"",MAX(A$1:A198)+1,"")</f>
        <v/>
      </c>
      <c r="B199" s="74" t="s">
        <v>2329</v>
      </c>
      <c r="C199" s="103" t="s">
        <v>57</v>
      </c>
      <c r="D199" s="103">
        <f t="shared" si="7"/>
        <v>4</v>
      </c>
      <c r="E199" s="89" t="s">
        <v>2812</v>
      </c>
      <c r="G199" s="103">
        <f>ROUND((32768/BASE_TORQ) * MTPVTorque_63,0)</f>
        <v>3485</v>
      </c>
      <c r="H199" s="94" t="str">
        <f>IF(G199&lt;&gt;"",IF(C199="float32",FLOAT2HEX(G199),DEC2HEX(G199,8)),"")</f>
        <v>00000D9D</v>
      </c>
      <c r="I199" s="94" t="str">
        <f t="shared" si="6"/>
        <v/>
      </c>
    </row>
    <row r="200" spans="1:9" x14ac:dyDescent="0.25">
      <c r="A200" s="96" t="str">
        <f>IF(I200&lt;&gt;"",MAX(A$1:A199)+1,"")</f>
        <v/>
      </c>
      <c r="B200" s="97" t="s">
        <v>2330</v>
      </c>
      <c r="C200" s="103" t="s">
        <v>57</v>
      </c>
      <c r="D200" s="103">
        <f t="shared" si="7"/>
        <v>4</v>
      </c>
      <c r="E200" s="89" t="s">
        <v>2813</v>
      </c>
      <c r="G200" s="103">
        <f>ROUND((32768/BASE_ANGLE) * MTPVAngle_63,0)</f>
        <v>22406</v>
      </c>
      <c r="H200" s="94" t="str">
        <f>IF(G200&lt;&gt;"",IF(C200="float32",FLOAT2HEX(G200),DEC2HEX(G200,8)),"")</f>
        <v>00005786</v>
      </c>
      <c r="I200" s="94" t="str">
        <f t="shared" si="6"/>
        <v/>
      </c>
    </row>
    <row r="201" spans="1:9" x14ac:dyDescent="0.25">
      <c r="A201" s="96" t="str">
        <f>IF(I201&lt;&gt;"",MAX(A$1:A200)+1,"")</f>
        <v/>
      </c>
      <c r="B201" s="97" t="s">
        <v>2331</v>
      </c>
      <c r="C201" s="103" t="s">
        <v>57</v>
      </c>
      <c r="D201" s="103">
        <f t="shared" si="7"/>
        <v>4</v>
      </c>
      <c r="E201" s="89" t="s">
        <v>2814</v>
      </c>
      <c r="G201" s="103">
        <f>ROUND((32768/BASE_FLUX) * MTPVFlux_64,0)</f>
        <v>8324</v>
      </c>
      <c r="H201" s="94" t="str">
        <f>IF(G201&lt;&gt;"",IF(C201="float32",FLOAT2HEX(G201),DEC2HEX(G201,8)),"")</f>
        <v>00002084</v>
      </c>
      <c r="I201" s="94" t="str">
        <f t="shared" si="6"/>
        <v/>
      </c>
    </row>
    <row r="202" spans="1:9" x14ac:dyDescent="0.25">
      <c r="A202" s="96" t="str">
        <f>IF(I202&lt;&gt;"",MAX(A$1:A201)+1,"")</f>
        <v/>
      </c>
      <c r="B202" s="74" t="s">
        <v>2332</v>
      </c>
      <c r="C202" s="103" t="s">
        <v>57</v>
      </c>
      <c r="D202" s="103">
        <f t="shared" si="7"/>
        <v>4</v>
      </c>
      <c r="E202" s="89" t="s">
        <v>2815</v>
      </c>
      <c r="G202" s="103">
        <f>ROUND((32768/BASE_TORQ) * MTPVTorque_64,0)</f>
        <v>3526</v>
      </c>
      <c r="H202" s="94" t="str">
        <f>IF(G202&lt;&gt;"",IF(C202="float32",FLOAT2HEX(G202),DEC2HEX(G202,8)),"")</f>
        <v>00000DC6</v>
      </c>
      <c r="I202" s="94" t="str">
        <f t="shared" ref="I202:I265" si="8">IF(AND(G202&lt;&gt;"",(ROW()-8)&lt;(($G$7+1)*3+1)),HEX2DEC(H202),"")</f>
        <v/>
      </c>
    </row>
    <row r="203" spans="1:9" x14ac:dyDescent="0.25">
      <c r="A203" s="96" t="str">
        <f>IF(I203&lt;&gt;"",MAX(A$1:A202)+1,"")</f>
        <v/>
      </c>
      <c r="B203" s="97" t="s">
        <v>2333</v>
      </c>
      <c r="C203" s="103" t="s">
        <v>57</v>
      </c>
      <c r="D203" s="103">
        <f t="shared" si="7"/>
        <v>4</v>
      </c>
      <c r="E203" s="89" t="s">
        <v>2816</v>
      </c>
      <c r="G203" s="103">
        <f>ROUND((32768/BASE_ANGLE) * MTPVAngle_64,0)</f>
        <v>22445</v>
      </c>
      <c r="H203" s="94" t="str">
        <f>IF(G203&lt;&gt;"",IF(C203="float32",FLOAT2HEX(G203),DEC2HEX(G203,8)),"")</f>
        <v>000057AD</v>
      </c>
      <c r="I203" s="94" t="str">
        <f t="shared" si="8"/>
        <v/>
      </c>
    </row>
    <row r="204" spans="1:9" x14ac:dyDescent="0.25">
      <c r="A204" s="96" t="str">
        <f>IF(I204&lt;&gt;"",MAX(A$1:A203)+1,"")</f>
        <v/>
      </c>
      <c r="B204" s="97" t="s">
        <v>2334</v>
      </c>
      <c r="C204" s="103" t="s">
        <v>57</v>
      </c>
      <c r="D204" s="103">
        <f t="shared" si="7"/>
        <v>4</v>
      </c>
      <c r="E204" s="89" t="s">
        <v>2817</v>
      </c>
      <c r="G204" s="103">
        <f>ROUND((32768/BASE_FLUX) * MTPVFlux_65,0)</f>
        <v>8441</v>
      </c>
      <c r="H204" s="94" t="str">
        <f>IF(G204&lt;&gt;"",IF(C204="float32",FLOAT2HEX(G204),DEC2HEX(G204,8)),"")</f>
        <v>000020F9</v>
      </c>
      <c r="I204" s="94" t="str">
        <f t="shared" si="8"/>
        <v/>
      </c>
    </row>
    <row r="205" spans="1:9" x14ac:dyDescent="0.25">
      <c r="A205" s="96" t="str">
        <f>IF(I205&lt;&gt;"",MAX(A$1:A204)+1,"")</f>
        <v/>
      </c>
      <c r="B205" s="74" t="s">
        <v>2335</v>
      </c>
      <c r="C205" s="103" t="s">
        <v>57</v>
      </c>
      <c r="D205" s="103">
        <f t="shared" si="7"/>
        <v>4</v>
      </c>
      <c r="E205" s="89" t="s">
        <v>2818</v>
      </c>
      <c r="G205" s="103">
        <f>ROUND((32768/BASE_TORQ) * MTPVTorque_65,0)</f>
        <v>3566</v>
      </c>
      <c r="H205" s="94" t="str">
        <f>IF(G205&lt;&gt;"",IF(C205="float32",FLOAT2HEX(G205),DEC2HEX(G205,8)),"")</f>
        <v>00000DEE</v>
      </c>
      <c r="I205" s="94" t="str">
        <f t="shared" si="8"/>
        <v/>
      </c>
    </row>
    <row r="206" spans="1:9" x14ac:dyDescent="0.25">
      <c r="A206" s="96" t="str">
        <f>IF(I206&lt;&gt;"",MAX(A$1:A205)+1,"")</f>
        <v/>
      </c>
      <c r="B206" s="97" t="s">
        <v>2336</v>
      </c>
      <c r="C206" s="103" t="s">
        <v>57</v>
      </c>
      <c r="D206" s="103">
        <f t="shared" si="7"/>
        <v>4</v>
      </c>
      <c r="E206" s="89" t="s">
        <v>2819</v>
      </c>
      <c r="G206" s="103">
        <f>ROUND((32768/BASE_ANGLE) * MTPVAngle_65,0)</f>
        <v>22483</v>
      </c>
      <c r="H206" s="94" t="str">
        <f>IF(G206&lt;&gt;"",IF(C206="float32",FLOAT2HEX(G206),DEC2HEX(G206,8)),"")</f>
        <v>000057D3</v>
      </c>
      <c r="I206" s="94" t="str">
        <f t="shared" si="8"/>
        <v/>
      </c>
    </row>
    <row r="207" spans="1:9" x14ac:dyDescent="0.25">
      <c r="A207" s="96" t="str">
        <f>IF(I207&lt;&gt;"",MAX(A$1:A206)+1,"")</f>
        <v/>
      </c>
      <c r="B207" s="97" t="s">
        <v>2337</v>
      </c>
      <c r="C207" s="103" t="s">
        <v>57</v>
      </c>
      <c r="D207" s="103">
        <f t="shared" si="7"/>
        <v>4</v>
      </c>
      <c r="E207" s="89" t="s">
        <v>2820</v>
      </c>
      <c r="G207" s="103">
        <f>ROUND((32768/BASE_FLUX) * MTPVFlux_66,0)</f>
        <v>8558</v>
      </c>
      <c r="H207" s="94" t="str">
        <f>IF(G207&lt;&gt;"",IF(C207="float32",FLOAT2HEX(G207),DEC2HEX(G207,8)),"")</f>
        <v>0000216E</v>
      </c>
      <c r="I207" s="94" t="str">
        <f t="shared" si="8"/>
        <v/>
      </c>
    </row>
    <row r="208" spans="1:9" x14ac:dyDescent="0.25">
      <c r="A208" s="96" t="str">
        <f>IF(I208&lt;&gt;"",MAX(A$1:A207)+1,"")</f>
        <v/>
      </c>
      <c r="B208" s="74" t="s">
        <v>2338</v>
      </c>
      <c r="C208" s="103" t="s">
        <v>57</v>
      </c>
      <c r="D208" s="103">
        <f t="shared" si="7"/>
        <v>4</v>
      </c>
      <c r="E208" s="89" t="s">
        <v>2821</v>
      </c>
      <c r="G208" s="103">
        <f>ROUND((32768/BASE_TORQ) * MTPVTorque_66,0)</f>
        <v>3606</v>
      </c>
      <c r="H208" s="94" t="str">
        <f>IF(G208&lt;&gt;"",IF(C208="float32",FLOAT2HEX(G208),DEC2HEX(G208,8)),"")</f>
        <v>00000E16</v>
      </c>
      <c r="I208" s="94" t="str">
        <f t="shared" si="8"/>
        <v/>
      </c>
    </row>
    <row r="209" spans="1:9" x14ac:dyDescent="0.25">
      <c r="A209" s="96" t="str">
        <f>IF(I209&lt;&gt;"",MAX(A$1:A208)+1,"")</f>
        <v/>
      </c>
      <c r="B209" s="97" t="s">
        <v>2339</v>
      </c>
      <c r="C209" s="103" t="s">
        <v>57</v>
      </c>
      <c r="D209" s="103">
        <f t="shared" si="7"/>
        <v>4</v>
      </c>
      <c r="E209" s="89" t="s">
        <v>2822</v>
      </c>
      <c r="G209" s="103">
        <f>ROUND((32768/BASE_ANGLE) * MTPVAngle_66,0)</f>
        <v>22519</v>
      </c>
      <c r="H209" s="94" t="str">
        <f>IF(G209&lt;&gt;"",IF(C209="float32",FLOAT2HEX(G209),DEC2HEX(G209,8)),"")</f>
        <v>000057F7</v>
      </c>
      <c r="I209" s="94" t="str">
        <f t="shared" si="8"/>
        <v/>
      </c>
    </row>
    <row r="210" spans="1:9" x14ac:dyDescent="0.25">
      <c r="A210" s="96" t="str">
        <f>IF(I210&lt;&gt;"",MAX(A$1:A209)+1,"")</f>
        <v/>
      </c>
      <c r="B210" s="97" t="s">
        <v>2340</v>
      </c>
      <c r="C210" s="103" t="s">
        <v>57</v>
      </c>
      <c r="D210" s="103">
        <f t="shared" si="7"/>
        <v>4</v>
      </c>
      <c r="E210" s="89" t="s">
        <v>2823</v>
      </c>
      <c r="G210" s="103">
        <f>ROUND((32768/BASE_FLUX) * MTPVFlux_67,0)</f>
        <v>8676</v>
      </c>
      <c r="H210" s="94" t="str">
        <f>IF(G210&lt;&gt;"",IF(C210="float32",FLOAT2HEX(G210),DEC2HEX(G210,8)),"")</f>
        <v>000021E4</v>
      </c>
      <c r="I210" s="94" t="str">
        <f t="shared" si="8"/>
        <v/>
      </c>
    </row>
    <row r="211" spans="1:9" x14ac:dyDescent="0.25">
      <c r="A211" s="96" t="str">
        <f>IF(I211&lt;&gt;"",MAX(A$1:A210)+1,"")</f>
        <v/>
      </c>
      <c r="B211" s="74" t="s">
        <v>2341</v>
      </c>
      <c r="C211" s="103" t="s">
        <v>57</v>
      </c>
      <c r="D211" s="103">
        <f t="shared" si="7"/>
        <v>4</v>
      </c>
      <c r="E211" s="89" t="s">
        <v>2824</v>
      </c>
      <c r="G211" s="103">
        <f>ROUND((32768/BASE_TORQ) * MTPVTorque_67,0)</f>
        <v>3645</v>
      </c>
      <c r="H211" s="94" t="str">
        <f>IF(G211&lt;&gt;"",IF(C211="float32",FLOAT2HEX(G211),DEC2HEX(G211,8)),"")</f>
        <v>00000E3D</v>
      </c>
      <c r="I211" s="94" t="str">
        <f t="shared" si="8"/>
        <v/>
      </c>
    </row>
    <row r="212" spans="1:9" x14ac:dyDescent="0.25">
      <c r="A212" s="96" t="str">
        <f>IF(I212&lt;&gt;"",MAX(A$1:A211)+1,"")</f>
        <v/>
      </c>
      <c r="B212" s="97" t="s">
        <v>2342</v>
      </c>
      <c r="C212" s="103" t="s">
        <v>57</v>
      </c>
      <c r="D212" s="103">
        <f t="shared" si="7"/>
        <v>4</v>
      </c>
      <c r="E212" s="89" t="s">
        <v>2825</v>
      </c>
      <c r="G212" s="103">
        <f>ROUND((32768/BASE_ANGLE) * MTPVAngle_67,0)</f>
        <v>22554</v>
      </c>
      <c r="H212" s="94" t="str">
        <f>IF(G212&lt;&gt;"",IF(C212="float32",FLOAT2HEX(G212),DEC2HEX(G212,8)),"")</f>
        <v>0000581A</v>
      </c>
      <c r="I212" s="94" t="str">
        <f t="shared" si="8"/>
        <v/>
      </c>
    </row>
    <row r="213" spans="1:9" x14ac:dyDescent="0.25">
      <c r="A213" s="96" t="str">
        <f>IF(I213&lt;&gt;"",MAX(A$1:A212)+1,"")</f>
        <v/>
      </c>
      <c r="B213" s="97" t="s">
        <v>2343</v>
      </c>
      <c r="C213" s="103" t="s">
        <v>57</v>
      </c>
      <c r="D213" s="103">
        <f t="shared" si="7"/>
        <v>4</v>
      </c>
      <c r="E213" s="89" t="s">
        <v>2826</v>
      </c>
      <c r="G213" s="103">
        <f>ROUND((32768/BASE_FLUX) * MTPVFlux_68,0)</f>
        <v>8793</v>
      </c>
      <c r="H213" s="94" t="str">
        <f>IF(G213&lt;&gt;"",IF(C213="float32",FLOAT2HEX(G213),DEC2HEX(G213,8)),"")</f>
        <v>00002259</v>
      </c>
      <c r="I213" s="94" t="str">
        <f t="shared" si="8"/>
        <v/>
      </c>
    </row>
    <row r="214" spans="1:9" x14ac:dyDescent="0.25">
      <c r="A214" s="96" t="str">
        <f>IF(I214&lt;&gt;"",MAX(A$1:A213)+1,"")</f>
        <v/>
      </c>
      <c r="B214" s="74" t="s">
        <v>2344</v>
      </c>
      <c r="C214" s="103" t="s">
        <v>57</v>
      </c>
      <c r="D214" s="103">
        <f t="shared" si="7"/>
        <v>4</v>
      </c>
      <c r="E214" s="89" t="s">
        <v>2827</v>
      </c>
      <c r="G214" s="103">
        <f>ROUND((32768/BASE_TORQ) * MTPVTorque_68,0)</f>
        <v>3684</v>
      </c>
      <c r="H214" s="94" t="str">
        <f>IF(G214&lt;&gt;"",IF(C214="float32",FLOAT2HEX(G214),DEC2HEX(G214,8)),"")</f>
        <v>00000E64</v>
      </c>
      <c r="I214" s="94" t="str">
        <f t="shared" si="8"/>
        <v/>
      </c>
    </row>
    <row r="215" spans="1:9" x14ac:dyDescent="0.25">
      <c r="A215" s="96" t="str">
        <f>IF(I215&lt;&gt;"",MAX(A$1:A214)+1,"")</f>
        <v/>
      </c>
      <c r="B215" s="97" t="s">
        <v>2345</v>
      </c>
      <c r="C215" s="103" t="s">
        <v>57</v>
      </c>
      <c r="D215" s="103">
        <f t="shared" si="7"/>
        <v>4</v>
      </c>
      <c r="E215" s="89" t="s">
        <v>2828</v>
      </c>
      <c r="G215" s="103">
        <f>ROUND((32768/BASE_ANGLE) * MTPVAngle_68,0)</f>
        <v>22586</v>
      </c>
      <c r="H215" s="94" t="str">
        <f>IF(G215&lt;&gt;"",IF(C215="float32",FLOAT2HEX(G215),DEC2HEX(G215,8)),"")</f>
        <v>0000583A</v>
      </c>
      <c r="I215" s="94" t="str">
        <f t="shared" si="8"/>
        <v/>
      </c>
    </row>
    <row r="216" spans="1:9" x14ac:dyDescent="0.25">
      <c r="A216" s="96" t="str">
        <f>IF(I216&lt;&gt;"",MAX(A$1:A215)+1,"")</f>
        <v/>
      </c>
      <c r="B216" s="97" t="s">
        <v>2346</v>
      </c>
      <c r="C216" s="103" t="s">
        <v>57</v>
      </c>
      <c r="D216" s="103">
        <f t="shared" si="7"/>
        <v>4</v>
      </c>
      <c r="E216" s="89" t="s">
        <v>2829</v>
      </c>
      <c r="G216" s="103">
        <f>ROUND((32768/BASE_FLUX) * MTPVFlux_69,0)</f>
        <v>8910</v>
      </c>
      <c r="H216" s="94" t="str">
        <f>IF(G216&lt;&gt;"",IF(C216="float32",FLOAT2HEX(G216),DEC2HEX(G216,8)),"")</f>
        <v>000022CE</v>
      </c>
      <c r="I216" s="94" t="str">
        <f t="shared" si="8"/>
        <v/>
      </c>
    </row>
    <row r="217" spans="1:9" x14ac:dyDescent="0.25">
      <c r="A217" s="96" t="str">
        <f>IF(I217&lt;&gt;"",MAX(A$1:A216)+1,"")</f>
        <v/>
      </c>
      <c r="B217" s="74" t="s">
        <v>2347</v>
      </c>
      <c r="C217" s="103" t="s">
        <v>57</v>
      </c>
      <c r="D217" s="103">
        <f t="shared" si="7"/>
        <v>4</v>
      </c>
      <c r="E217" s="89" t="s">
        <v>2830</v>
      </c>
      <c r="G217" s="103">
        <f>ROUND((32768/BASE_TORQ) * MTPVTorque_69,0)</f>
        <v>3722</v>
      </c>
      <c r="H217" s="94" t="str">
        <f>IF(G217&lt;&gt;"",IF(C217="float32",FLOAT2HEX(G217),DEC2HEX(G217,8)),"")</f>
        <v>00000E8A</v>
      </c>
      <c r="I217" s="94" t="str">
        <f t="shared" si="8"/>
        <v/>
      </c>
    </row>
    <row r="218" spans="1:9" x14ac:dyDescent="0.25">
      <c r="A218" s="96" t="str">
        <f>IF(I218&lt;&gt;"",MAX(A$1:A217)+1,"")</f>
        <v/>
      </c>
      <c r="B218" s="97" t="s">
        <v>2348</v>
      </c>
      <c r="C218" s="103" t="s">
        <v>57</v>
      </c>
      <c r="D218" s="103">
        <f t="shared" si="7"/>
        <v>4</v>
      </c>
      <c r="E218" s="89" t="s">
        <v>2831</v>
      </c>
      <c r="G218" s="103">
        <f>ROUND((32768/BASE_ANGLE) * MTPVAngle_69,0)</f>
        <v>22617</v>
      </c>
      <c r="H218" s="94" t="str">
        <f>IF(G218&lt;&gt;"",IF(C218="float32",FLOAT2HEX(G218),DEC2HEX(G218,8)),"")</f>
        <v>00005859</v>
      </c>
      <c r="I218" s="94" t="str">
        <f t="shared" si="8"/>
        <v/>
      </c>
    </row>
    <row r="219" spans="1:9" x14ac:dyDescent="0.25">
      <c r="A219" s="96" t="str">
        <f>IF(I219&lt;&gt;"",MAX(A$1:A218)+1,"")</f>
        <v/>
      </c>
      <c r="B219" s="97" t="s">
        <v>2349</v>
      </c>
      <c r="C219" s="103" t="s">
        <v>57</v>
      </c>
      <c r="D219" s="103">
        <f t="shared" si="7"/>
        <v>4</v>
      </c>
      <c r="E219" s="89" t="s">
        <v>2832</v>
      </c>
      <c r="G219" s="103">
        <f>ROUND((32768/BASE_FLUX) * MTPVFlux_70,0)</f>
        <v>9027</v>
      </c>
      <c r="H219" s="94" t="str">
        <f>IF(G219&lt;&gt;"",IF(C219="float32",FLOAT2HEX(G219),DEC2HEX(G219,8)),"")</f>
        <v>00002343</v>
      </c>
      <c r="I219" s="94" t="str">
        <f t="shared" si="8"/>
        <v/>
      </c>
    </row>
    <row r="220" spans="1:9" x14ac:dyDescent="0.25">
      <c r="A220" s="96" t="str">
        <f>IF(I220&lt;&gt;"",MAX(A$1:A219)+1,"")</f>
        <v/>
      </c>
      <c r="B220" s="74" t="s">
        <v>2350</v>
      </c>
      <c r="C220" s="103" t="s">
        <v>57</v>
      </c>
      <c r="D220" s="103">
        <f t="shared" si="7"/>
        <v>4</v>
      </c>
      <c r="E220" s="89" t="s">
        <v>2833</v>
      </c>
      <c r="G220" s="103">
        <f>ROUND((32768/BASE_TORQ) * MTPVTorque_70,0)</f>
        <v>3760</v>
      </c>
      <c r="H220" s="94" t="str">
        <f>IF(G220&lt;&gt;"",IF(C220="float32",FLOAT2HEX(G220),DEC2HEX(G220,8)),"")</f>
        <v>00000EB0</v>
      </c>
      <c r="I220" s="94" t="str">
        <f t="shared" si="8"/>
        <v/>
      </c>
    </row>
    <row r="221" spans="1:9" x14ac:dyDescent="0.25">
      <c r="A221" s="96" t="str">
        <f>IF(I221&lt;&gt;"",MAX(A$1:A220)+1,"")</f>
        <v/>
      </c>
      <c r="B221" s="97" t="s">
        <v>2351</v>
      </c>
      <c r="C221" s="103" t="s">
        <v>57</v>
      </c>
      <c r="D221" s="103">
        <f t="shared" si="7"/>
        <v>4</v>
      </c>
      <c r="E221" s="89" t="s">
        <v>2834</v>
      </c>
      <c r="G221" s="103">
        <f>ROUND((32768/BASE_ANGLE) * MTPVAngle_70,0)</f>
        <v>22647</v>
      </c>
      <c r="H221" s="94" t="str">
        <f>IF(G221&lt;&gt;"",IF(C221="float32",FLOAT2HEX(G221),DEC2HEX(G221,8)),"")</f>
        <v>00005877</v>
      </c>
      <c r="I221" s="94" t="str">
        <f t="shared" si="8"/>
        <v/>
      </c>
    </row>
    <row r="222" spans="1:9" x14ac:dyDescent="0.25">
      <c r="A222" s="96" t="str">
        <f>IF(I222&lt;&gt;"",MAX(A$1:A221)+1,"")</f>
        <v/>
      </c>
      <c r="B222" s="97" t="s">
        <v>2352</v>
      </c>
      <c r="C222" s="103" t="s">
        <v>57</v>
      </c>
      <c r="D222" s="103">
        <f t="shared" si="7"/>
        <v>4</v>
      </c>
      <c r="E222" s="89" t="s">
        <v>2835</v>
      </c>
      <c r="G222" s="103">
        <f>ROUND((32768/BASE_FLUX) * MTPVFlux_71,0)</f>
        <v>9145</v>
      </c>
      <c r="H222" s="94" t="str">
        <f>IF(G222&lt;&gt;"",IF(C222="float32",FLOAT2HEX(G222),DEC2HEX(G222,8)),"")</f>
        <v>000023B9</v>
      </c>
      <c r="I222" s="94" t="str">
        <f t="shared" si="8"/>
        <v/>
      </c>
    </row>
    <row r="223" spans="1:9" x14ac:dyDescent="0.25">
      <c r="A223" s="96" t="str">
        <f>IF(I223&lt;&gt;"",MAX(A$1:A222)+1,"")</f>
        <v/>
      </c>
      <c r="B223" s="74" t="s">
        <v>2353</v>
      </c>
      <c r="C223" s="103" t="s">
        <v>57</v>
      </c>
      <c r="D223" s="103">
        <f t="shared" si="7"/>
        <v>4</v>
      </c>
      <c r="E223" s="89" t="s">
        <v>2836</v>
      </c>
      <c r="G223" s="103">
        <f>ROUND((32768/BASE_TORQ) * MTPVTorque_71,0)</f>
        <v>3797</v>
      </c>
      <c r="H223" s="94" t="str">
        <f>IF(G223&lt;&gt;"",IF(C223="float32",FLOAT2HEX(G223),DEC2HEX(G223,8)),"")</f>
        <v>00000ED5</v>
      </c>
      <c r="I223" s="94" t="str">
        <f t="shared" si="8"/>
        <v/>
      </c>
    </row>
    <row r="224" spans="1:9" x14ac:dyDescent="0.25">
      <c r="A224" s="96" t="str">
        <f>IF(I224&lt;&gt;"",MAX(A$1:A223)+1,"")</f>
        <v/>
      </c>
      <c r="B224" s="97" t="s">
        <v>2354</v>
      </c>
      <c r="C224" s="103" t="s">
        <v>57</v>
      </c>
      <c r="D224" s="103">
        <f t="shared" si="7"/>
        <v>4</v>
      </c>
      <c r="E224" s="89" t="s">
        <v>2837</v>
      </c>
      <c r="G224" s="103">
        <f>ROUND((32768/BASE_ANGLE) * MTPVAngle_71,0)</f>
        <v>22675</v>
      </c>
      <c r="H224" s="94" t="str">
        <f>IF(G224&lt;&gt;"",IF(C224="float32",FLOAT2HEX(G224),DEC2HEX(G224,8)),"")</f>
        <v>00005893</v>
      </c>
      <c r="I224" s="94" t="str">
        <f t="shared" si="8"/>
        <v/>
      </c>
    </row>
    <row r="225" spans="1:9" x14ac:dyDescent="0.25">
      <c r="A225" s="96" t="str">
        <f>IF(I225&lt;&gt;"",MAX(A$1:A224)+1,"")</f>
        <v/>
      </c>
      <c r="B225" s="97" t="s">
        <v>2355</v>
      </c>
      <c r="C225" s="103" t="s">
        <v>57</v>
      </c>
      <c r="D225" s="103">
        <f t="shared" si="7"/>
        <v>4</v>
      </c>
      <c r="E225" s="89" t="s">
        <v>2838</v>
      </c>
      <c r="G225" s="103">
        <f>ROUND((32768/BASE_FLUX) * MTPVFlux_72,0)</f>
        <v>9262</v>
      </c>
      <c r="H225" s="94" t="str">
        <f>IF(G225&lt;&gt;"",IF(C225="float32",FLOAT2HEX(G225),DEC2HEX(G225,8)),"")</f>
        <v>0000242E</v>
      </c>
      <c r="I225" s="94" t="str">
        <f t="shared" si="8"/>
        <v/>
      </c>
    </row>
    <row r="226" spans="1:9" x14ac:dyDescent="0.25">
      <c r="A226" s="96" t="str">
        <f>IF(I226&lt;&gt;"",MAX(A$1:A225)+1,"")</f>
        <v/>
      </c>
      <c r="B226" s="74" t="s">
        <v>2356</v>
      </c>
      <c r="C226" s="103" t="s">
        <v>57</v>
      </c>
      <c r="D226" s="103">
        <f t="shared" si="7"/>
        <v>4</v>
      </c>
      <c r="E226" s="89" t="s">
        <v>2839</v>
      </c>
      <c r="G226" s="103">
        <f>ROUND((32768/BASE_TORQ) * MTPVTorque_72,0)</f>
        <v>3834</v>
      </c>
      <c r="H226" s="94" t="str">
        <f>IF(G226&lt;&gt;"",IF(C226="float32",FLOAT2HEX(G226),DEC2HEX(G226,8)),"")</f>
        <v>00000EFA</v>
      </c>
      <c r="I226" s="94" t="str">
        <f t="shared" si="8"/>
        <v/>
      </c>
    </row>
    <row r="227" spans="1:9" x14ac:dyDescent="0.25">
      <c r="A227" s="96" t="str">
        <f>IF(I227&lt;&gt;"",MAX(A$1:A226)+1,"")</f>
        <v/>
      </c>
      <c r="B227" s="97" t="s">
        <v>2357</v>
      </c>
      <c r="C227" s="103" t="s">
        <v>57</v>
      </c>
      <c r="D227" s="103">
        <f t="shared" si="7"/>
        <v>4</v>
      </c>
      <c r="E227" s="89" t="s">
        <v>2840</v>
      </c>
      <c r="G227" s="103">
        <f>ROUND((32768/BASE_ANGLE) * MTPVAngle_72,0)</f>
        <v>22701</v>
      </c>
      <c r="H227" s="94" t="str">
        <f>IF(G227&lt;&gt;"",IF(C227="float32",FLOAT2HEX(G227),DEC2HEX(G227,8)),"")</f>
        <v>000058AD</v>
      </c>
      <c r="I227" s="94" t="str">
        <f t="shared" si="8"/>
        <v/>
      </c>
    </row>
    <row r="228" spans="1:9" x14ac:dyDescent="0.25">
      <c r="A228" s="96" t="str">
        <f>IF(I228&lt;&gt;"",MAX(A$1:A227)+1,"")</f>
        <v/>
      </c>
      <c r="B228" s="97" t="s">
        <v>2358</v>
      </c>
      <c r="C228" s="103" t="s">
        <v>57</v>
      </c>
      <c r="D228" s="103">
        <f t="shared" si="7"/>
        <v>4</v>
      </c>
      <c r="E228" s="89" t="s">
        <v>2841</v>
      </c>
      <c r="G228" s="103">
        <f>ROUND((32768/BASE_FLUX) * MTPVFlux_73,0)</f>
        <v>9379</v>
      </c>
      <c r="H228" s="94" t="str">
        <f>IF(G228&lt;&gt;"",IF(C228="float32",FLOAT2HEX(G228),DEC2HEX(G228,8)),"")</f>
        <v>000024A3</v>
      </c>
      <c r="I228" s="94" t="str">
        <f t="shared" si="8"/>
        <v/>
      </c>
    </row>
    <row r="229" spans="1:9" x14ac:dyDescent="0.25">
      <c r="A229" s="96" t="str">
        <f>IF(I229&lt;&gt;"",MAX(A$1:A228)+1,"")</f>
        <v/>
      </c>
      <c r="B229" s="74" t="s">
        <v>2359</v>
      </c>
      <c r="C229" s="103" t="s">
        <v>57</v>
      </c>
      <c r="D229" s="103">
        <f t="shared" si="7"/>
        <v>4</v>
      </c>
      <c r="E229" s="89" t="s">
        <v>2842</v>
      </c>
      <c r="G229" s="103">
        <f>ROUND((32768/BASE_TORQ) * MTPVTorque_73,0)</f>
        <v>3870</v>
      </c>
      <c r="H229" s="94" t="str">
        <f>IF(G229&lt;&gt;"",IF(C229="float32",FLOAT2HEX(G229),DEC2HEX(G229,8)),"")</f>
        <v>00000F1E</v>
      </c>
      <c r="I229" s="94" t="str">
        <f t="shared" si="8"/>
        <v/>
      </c>
    </row>
    <row r="230" spans="1:9" x14ac:dyDescent="0.25">
      <c r="A230" s="96" t="str">
        <f>IF(I230&lt;&gt;"",MAX(A$1:A229)+1,"")</f>
        <v/>
      </c>
      <c r="B230" s="97" t="s">
        <v>2360</v>
      </c>
      <c r="C230" s="103" t="s">
        <v>57</v>
      </c>
      <c r="D230" s="103">
        <f t="shared" si="7"/>
        <v>4</v>
      </c>
      <c r="E230" s="89" t="s">
        <v>2843</v>
      </c>
      <c r="G230" s="103">
        <f>ROUND((32768/BASE_ANGLE) * MTPVAngle_73,0)</f>
        <v>22726</v>
      </c>
      <c r="H230" s="94" t="str">
        <f>IF(G230&lt;&gt;"",IF(C230="float32",FLOAT2HEX(G230),DEC2HEX(G230,8)),"")</f>
        <v>000058C6</v>
      </c>
      <c r="I230" s="94" t="str">
        <f t="shared" si="8"/>
        <v/>
      </c>
    </row>
    <row r="231" spans="1:9" x14ac:dyDescent="0.25">
      <c r="A231" s="96" t="str">
        <f>IF(I231&lt;&gt;"",MAX(A$1:A230)+1,"")</f>
        <v/>
      </c>
      <c r="B231" s="97" t="s">
        <v>2361</v>
      </c>
      <c r="C231" s="103" t="s">
        <v>57</v>
      </c>
      <c r="D231" s="103">
        <f t="shared" si="7"/>
        <v>4</v>
      </c>
      <c r="E231" s="89" t="s">
        <v>2844</v>
      </c>
      <c r="G231" s="103">
        <f>ROUND((32768/BASE_FLUX) * MTPVFlux_74,0)</f>
        <v>9496</v>
      </c>
      <c r="H231" s="94" t="str">
        <f>IF(G231&lt;&gt;"",IF(C231="float32",FLOAT2HEX(G231),DEC2HEX(G231,8)),"")</f>
        <v>00002518</v>
      </c>
      <c r="I231" s="94" t="str">
        <f t="shared" si="8"/>
        <v/>
      </c>
    </row>
    <row r="232" spans="1:9" x14ac:dyDescent="0.25">
      <c r="A232" s="96" t="str">
        <f>IF(I232&lt;&gt;"",MAX(A$1:A231)+1,"")</f>
        <v/>
      </c>
      <c r="B232" s="74" t="s">
        <v>2362</v>
      </c>
      <c r="C232" s="103" t="s">
        <v>57</v>
      </c>
      <c r="D232" s="103">
        <f t="shared" si="7"/>
        <v>4</v>
      </c>
      <c r="E232" s="89" t="s">
        <v>2845</v>
      </c>
      <c r="G232" s="103">
        <f>ROUND((32768/BASE_TORQ) * MTPVTorque_74,0)</f>
        <v>3882</v>
      </c>
      <c r="H232" s="94" t="str">
        <f>IF(G232&lt;&gt;"",IF(C232="float32",FLOAT2HEX(G232),DEC2HEX(G232,8)),"")</f>
        <v>00000F2A</v>
      </c>
      <c r="I232" s="94" t="str">
        <f t="shared" si="8"/>
        <v/>
      </c>
    </row>
    <row r="233" spans="1:9" x14ac:dyDescent="0.25">
      <c r="A233" s="96" t="str">
        <f>IF(I233&lt;&gt;"",MAX(A$1:A232)+1,"")</f>
        <v/>
      </c>
      <c r="B233" s="97" t="s">
        <v>2363</v>
      </c>
      <c r="C233" s="103" t="s">
        <v>57</v>
      </c>
      <c r="D233" s="103">
        <f t="shared" si="7"/>
        <v>4</v>
      </c>
      <c r="E233" s="89" t="s">
        <v>2846</v>
      </c>
      <c r="G233" s="103">
        <f>ROUND((32768/BASE_ANGLE) * MTPVAngle_74,0)</f>
        <v>22750</v>
      </c>
      <c r="H233" s="94" t="str">
        <f>IF(G233&lt;&gt;"",IF(C233="float32",FLOAT2HEX(G233),DEC2HEX(G233,8)),"")</f>
        <v>000058DE</v>
      </c>
      <c r="I233" s="94" t="str">
        <f t="shared" si="8"/>
        <v/>
      </c>
    </row>
    <row r="234" spans="1:9" x14ac:dyDescent="0.25">
      <c r="A234" s="96" t="str">
        <f>IF(I234&lt;&gt;"",MAX(A$1:A233)+1,"")</f>
        <v/>
      </c>
      <c r="B234" s="97" t="s">
        <v>2364</v>
      </c>
      <c r="C234" s="103" t="s">
        <v>57</v>
      </c>
      <c r="D234" s="103">
        <f t="shared" si="7"/>
        <v>4</v>
      </c>
      <c r="E234" s="89" t="s">
        <v>2847</v>
      </c>
      <c r="G234" s="103">
        <f>ROUND((32768/BASE_FLUX) * MTPVFlux_75,0)</f>
        <v>9614</v>
      </c>
      <c r="H234" s="94" t="str">
        <f>IF(G234&lt;&gt;"",IF(C234="float32",FLOAT2HEX(G234),DEC2HEX(G234,8)),"")</f>
        <v>0000258E</v>
      </c>
      <c r="I234" s="94" t="str">
        <f t="shared" si="8"/>
        <v/>
      </c>
    </row>
    <row r="235" spans="1:9" x14ac:dyDescent="0.25">
      <c r="A235" s="96" t="str">
        <f>IF(I235&lt;&gt;"",MAX(A$1:A234)+1,"")</f>
        <v/>
      </c>
      <c r="B235" s="74" t="s">
        <v>2365</v>
      </c>
      <c r="C235" s="103" t="s">
        <v>57</v>
      </c>
      <c r="D235" s="103">
        <f t="shared" ref="D235:D298" si="9">IF(OR(C235="sint64",C235="uint64",C235="double64"), 8, IF(OR(C235="sint32",C235="uint32",C235="float32"),4,IF(OR(C235="sint16",C235="uint16"),2,  IF(OR(C235="sint8",C235="uint8"),1,""))))</f>
        <v>4</v>
      </c>
      <c r="E235" s="89" t="s">
        <v>2848</v>
      </c>
      <c r="G235" s="103">
        <f>ROUND((32768/BASE_TORQ) * MTPVTorque_75,0)</f>
        <v>3915</v>
      </c>
      <c r="H235" s="94" t="str">
        <f>IF(G235&lt;&gt;"",IF(C235="float32",FLOAT2HEX(G235),DEC2HEX(G235,8)),"")</f>
        <v>00000F4B</v>
      </c>
      <c r="I235" s="94" t="str">
        <f t="shared" si="8"/>
        <v/>
      </c>
    </row>
    <row r="236" spans="1:9" x14ac:dyDescent="0.25">
      <c r="A236" s="96" t="str">
        <f>IF(I236&lt;&gt;"",MAX(A$1:A235)+1,"")</f>
        <v/>
      </c>
      <c r="B236" s="97" t="s">
        <v>2366</v>
      </c>
      <c r="C236" s="103" t="s">
        <v>57</v>
      </c>
      <c r="D236" s="103">
        <f t="shared" si="9"/>
        <v>4</v>
      </c>
      <c r="E236" s="89" t="s">
        <v>2849</v>
      </c>
      <c r="G236" s="103">
        <f>ROUND((32768/BASE_ANGLE) * MTPVAngle_75,0)</f>
        <v>22772</v>
      </c>
      <c r="H236" s="94" t="str">
        <f>IF(G236&lt;&gt;"",IF(C236="float32",FLOAT2HEX(G236),DEC2HEX(G236,8)),"")</f>
        <v>000058F4</v>
      </c>
      <c r="I236" s="94" t="str">
        <f t="shared" si="8"/>
        <v/>
      </c>
    </row>
    <row r="237" spans="1:9" x14ac:dyDescent="0.25">
      <c r="A237" s="96" t="str">
        <f>IF(I237&lt;&gt;"",MAX(A$1:A236)+1,"")</f>
        <v/>
      </c>
      <c r="B237" s="97" t="s">
        <v>2367</v>
      </c>
      <c r="C237" s="103" t="s">
        <v>57</v>
      </c>
      <c r="D237" s="103">
        <f t="shared" si="9"/>
        <v>4</v>
      </c>
      <c r="E237" s="89" t="s">
        <v>2850</v>
      </c>
      <c r="G237" s="103">
        <f>ROUND((32768/BASE_FLUX) * MTPVFlux_76,0)</f>
        <v>9731</v>
      </c>
      <c r="H237" s="94" t="str">
        <f>IF(G237&lt;&gt;"",IF(C237="float32",FLOAT2HEX(G237),DEC2HEX(G237,8)),"")</f>
        <v>00002603</v>
      </c>
      <c r="I237" s="94" t="str">
        <f t="shared" si="8"/>
        <v/>
      </c>
    </row>
    <row r="238" spans="1:9" x14ac:dyDescent="0.25">
      <c r="A238" s="96" t="str">
        <f>IF(I238&lt;&gt;"",MAX(A$1:A237)+1,"")</f>
        <v/>
      </c>
      <c r="B238" s="74" t="s">
        <v>2368</v>
      </c>
      <c r="C238" s="103" t="s">
        <v>57</v>
      </c>
      <c r="D238" s="103">
        <f t="shared" si="9"/>
        <v>4</v>
      </c>
      <c r="E238" s="89" t="s">
        <v>2851</v>
      </c>
      <c r="G238" s="103">
        <f>ROUND((32768/BASE_TORQ) * MTPVTorque_76,0)</f>
        <v>3949</v>
      </c>
      <c r="H238" s="94" t="str">
        <f>IF(G238&lt;&gt;"",IF(C238="float32",FLOAT2HEX(G238),DEC2HEX(G238,8)),"")</f>
        <v>00000F6D</v>
      </c>
      <c r="I238" s="94" t="str">
        <f t="shared" si="8"/>
        <v/>
      </c>
    </row>
    <row r="239" spans="1:9" x14ac:dyDescent="0.25">
      <c r="A239" s="96" t="str">
        <f>IF(I239&lt;&gt;"",MAX(A$1:A238)+1,"")</f>
        <v/>
      </c>
      <c r="B239" s="97" t="s">
        <v>2369</v>
      </c>
      <c r="C239" s="103" t="s">
        <v>57</v>
      </c>
      <c r="D239" s="103">
        <f t="shared" si="9"/>
        <v>4</v>
      </c>
      <c r="E239" s="89" t="s">
        <v>2852</v>
      </c>
      <c r="G239" s="103">
        <f>ROUND((32768/BASE_ANGLE) * MTPVAngle_76,0)</f>
        <v>22792</v>
      </c>
      <c r="H239" s="94" t="str">
        <f>IF(G239&lt;&gt;"",IF(C239="float32",FLOAT2HEX(G239),DEC2HEX(G239,8)),"")</f>
        <v>00005908</v>
      </c>
      <c r="I239" s="94" t="str">
        <f t="shared" si="8"/>
        <v/>
      </c>
    </row>
    <row r="240" spans="1:9" x14ac:dyDescent="0.25">
      <c r="A240" s="96" t="str">
        <f>IF(I240&lt;&gt;"",MAX(A$1:A239)+1,"")</f>
        <v/>
      </c>
      <c r="B240" s="97" t="s">
        <v>2370</v>
      </c>
      <c r="C240" s="103" t="s">
        <v>57</v>
      </c>
      <c r="D240" s="103">
        <f t="shared" si="9"/>
        <v>4</v>
      </c>
      <c r="E240" s="89" t="s">
        <v>2853</v>
      </c>
      <c r="G240" s="103">
        <f>ROUND((32768/BASE_FLUX) * MTPVFlux_77,0)</f>
        <v>9848</v>
      </c>
      <c r="H240" s="94" t="str">
        <f>IF(G240&lt;&gt;"",IF(C240="float32",FLOAT2HEX(G240),DEC2HEX(G240,8)),"")</f>
        <v>00002678</v>
      </c>
      <c r="I240" s="94" t="str">
        <f t="shared" si="8"/>
        <v/>
      </c>
    </row>
    <row r="241" spans="1:9" x14ac:dyDescent="0.25">
      <c r="A241" s="96" t="str">
        <f>IF(I241&lt;&gt;"",MAX(A$1:A240)+1,"")</f>
        <v/>
      </c>
      <c r="B241" s="74" t="s">
        <v>2371</v>
      </c>
      <c r="C241" s="103" t="s">
        <v>57</v>
      </c>
      <c r="D241" s="103">
        <f t="shared" si="9"/>
        <v>4</v>
      </c>
      <c r="E241" s="89" t="s">
        <v>2854</v>
      </c>
      <c r="G241" s="103">
        <f>ROUND((32768/BASE_TORQ) * MTPVTorque_77,0)</f>
        <v>3971</v>
      </c>
      <c r="H241" s="94" t="str">
        <f>IF(G241&lt;&gt;"",IF(C241="float32",FLOAT2HEX(G241),DEC2HEX(G241,8)),"")</f>
        <v>00000F83</v>
      </c>
      <c r="I241" s="94" t="str">
        <f t="shared" si="8"/>
        <v/>
      </c>
    </row>
    <row r="242" spans="1:9" x14ac:dyDescent="0.25">
      <c r="A242" s="96" t="str">
        <f>IF(I242&lt;&gt;"",MAX(A$1:A241)+1,"")</f>
        <v/>
      </c>
      <c r="B242" s="97" t="s">
        <v>2372</v>
      </c>
      <c r="C242" s="103" t="s">
        <v>57</v>
      </c>
      <c r="D242" s="103">
        <f t="shared" si="9"/>
        <v>4</v>
      </c>
      <c r="E242" s="89" t="s">
        <v>2855</v>
      </c>
      <c r="G242" s="103">
        <f>ROUND((32768/BASE_ANGLE) * MTPVAngle_77,0)</f>
        <v>22811</v>
      </c>
      <c r="H242" s="94" t="str">
        <f>IF(G242&lt;&gt;"",IF(C242="float32",FLOAT2HEX(G242),DEC2HEX(G242,8)),"")</f>
        <v>0000591B</v>
      </c>
      <c r="I242" s="94" t="str">
        <f t="shared" si="8"/>
        <v/>
      </c>
    </row>
    <row r="243" spans="1:9" x14ac:dyDescent="0.25">
      <c r="A243" s="96" t="str">
        <f>IF(I243&lt;&gt;"",MAX(A$1:A242)+1,"")</f>
        <v/>
      </c>
      <c r="B243" s="97" t="s">
        <v>2373</v>
      </c>
      <c r="C243" s="103" t="s">
        <v>57</v>
      </c>
      <c r="D243" s="103">
        <f t="shared" si="9"/>
        <v>4</v>
      </c>
      <c r="E243" s="89" t="s">
        <v>2856</v>
      </c>
      <c r="G243" s="103">
        <f>ROUND((32768/BASE_FLUX) * MTPVFlux_78,0)</f>
        <v>9965</v>
      </c>
      <c r="H243" s="94" t="str">
        <f>IF(G243&lt;&gt;"",IF(C243="float32",FLOAT2HEX(G243),DEC2HEX(G243,8)),"")</f>
        <v>000026ED</v>
      </c>
      <c r="I243" s="94" t="str">
        <f t="shared" si="8"/>
        <v/>
      </c>
    </row>
    <row r="244" spans="1:9" x14ac:dyDescent="0.25">
      <c r="A244" s="96" t="str">
        <f>IF(I244&lt;&gt;"",MAX(A$1:A243)+1,"")</f>
        <v/>
      </c>
      <c r="B244" s="74" t="s">
        <v>2374</v>
      </c>
      <c r="C244" s="103" t="s">
        <v>57</v>
      </c>
      <c r="D244" s="103">
        <f t="shared" si="9"/>
        <v>4</v>
      </c>
      <c r="E244" s="89" t="s">
        <v>2857</v>
      </c>
      <c r="G244" s="103">
        <f>ROUND((32768/BASE_TORQ) * MTPVTorque_78,0)</f>
        <v>3909</v>
      </c>
      <c r="H244" s="94" t="str">
        <f>IF(G244&lt;&gt;"",IF(C244="float32",FLOAT2HEX(G244),DEC2HEX(G244,8)),"")</f>
        <v>00000F45</v>
      </c>
      <c r="I244" s="94" t="str">
        <f t="shared" si="8"/>
        <v/>
      </c>
    </row>
    <row r="245" spans="1:9" x14ac:dyDescent="0.25">
      <c r="A245" s="96" t="str">
        <f>IF(I245&lt;&gt;"",MAX(A$1:A244)+1,"")</f>
        <v/>
      </c>
      <c r="B245" s="97" t="s">
        <v>2375</v>
      </c>
      <c r="C245" s="103" t="s">
        <v>57</v>
      </c>
      <c r="D245" s="103">
        <f t="shared" si="9"/>
        <v>4</v>
      </c>
      <c r="E245" s="89" t="s">
        <v>2858</v>
      </c>
      <c r="G245" s="103">
        <f>ROUND((32768/BASE_ANGLE) * MTPVAngle_78,0)</f>
        <v>22829</v>
      </c>
      <c r="H245" s="94" t="str">
        <f>IF(G245&lt;&gt;"",IF(C245="float32",FLOAT2HEX(G245),DEC2HEX(G245,8)),"")</f>
        <v>0000592D</v>
      </c>
      <c r="I245" s="94" t="str">
        <f t="shared" si="8"/>
        <v/>
      </c>
    </row>
    <row r="246" spans="1:9" x14ac:dyDescent="0.25">
      <c r="A246" s="96" t="str">
        <f>IF(I246&lt;&gt;"",MAX(A$1:A245)+1,"")</f>
        <v/>
      </c>
      <c r="B246" s="97" t="s">
        <v>2376</v>
      </c>
      <c r="C246" s="103" t="s">
        <v>57</v>
      </c>
      <c r="D246" s="103">
        <f t="shared" si="9"/>
        <v>4</v>
      </c>
      <c r="E246" s="89" t="s">
        <v>2859</v>
      </c>
      <c r="G246" s="103">
        <f>ROUND((32768/BASE_FLUX) * MTPVFlux_79,0)</f>
        <v>10082</v>
      </c>
      <c r="H246" s="94" t="str">
        <f>IF(G246&lt;&gt;"",IF(C246="float32",FLOAT2HEX(G246),DEC2HEX(G246,8)),"")</f>
        <v>00002762</v>
      </c>
      <c r="I246" s="94" t="str">
        <f t="shared" si="8"/>
        <v/>
      </c>
    </row>
    <row r="247" spans="1:9" x14ac:dyDescent="0.25">
      <c r="A247" s="96" t="str">
        <f>IF(I247&lt;&gt;"",MAX(A$1:A246)+1,"")</f>
        <v/>
      </c>
      <c r="B247" s="74" t="s">
        <v>2377</v>
      </c>
      <c r="C247" s="103" t="s">
        <v>57</v>
      </c>
      <c r="D247" s="103">
        <f t="shared" si="9"/>
        <v>4</v>
      </c>
      <c r="E247" s="89" t="s">
        <v>2860</v>
      </c>
      <c r="G247" s="103">
        <f>ROUND((32768/BASE_TORQ) * MTPVTorque_79,0)</f>
        <v>3998</v>
      </c>
      <c r="H247" s="94" t="str">
        <f>IF(G247&lt;&gt;"",IF(C247="float32",FLOAT2HEX(G247),DEC2HEX(G247,8)),"")</f>
        <v>00000F9E</v>
      </c>
      <c r="I247" s="94" t="str">
        <f t="shared" si="8"/>
        <v/>
      </c>
    </row>
    <row r="248" spans="1:9" x14ac:dyDescent="0.25">
      <c r="A248" s="96" t="str">
        <f>IF(I248&lt;&gt;"",MAX(A$1:A247)+1,"")</f>
        <v/>
      </c>
      <c r="B248" s="97" t="s">
        <v>2378</v>
      </c>
      <c r="C248" s="103" t="s">
        <v>57</v>
      </c>
      <c r="D248" s="103">
        <f t="shared" si="9"/>
        <v>4</v>
      </c>
      <c r="E248" s="89" t="s">
        <v>2861</v>
      </c>
      <c r="G248" s="103">
        <f>ROUND((32768/BASE_ANGLE) * MTPVAngle_79,0)</f>
        <v>22846</v>
      </c>
      <c r="H248" s="94" t="str">
        <f>IF(G248&lt;&gt;"",IF(C248="float32",FLOAT2HEX(G248),DEC2HEX(G248,8)),"")</f>
        <v>0000593E</v>
      </c>
      <c r="I248" s="94" t="str">
        <f t="shared" si="8"/>
        <v/>
      </c>
    </row>
    <row r="249" spans="1:9" x14ac:dyDescent="0.25">
      <c r="A249" s="96" t="str">
        <f>IF(I249&lt;&gt;"",MAX(A$1:A248)+1,"")</f>
        <v/>
      </c>
      <c r="B249" s="97" t="s">
        <v>2379</v>
      </c>
      <c r="C249" s="103" t="s">
        <v>57</v>
      </c>
      <c r="D249" s="103">
        <f t="shared" si="9"/>
        <v>4</v>
      </c>
      <c r="E249" s="89" t="s">
        <v>2862</v>
      </c>
      <c r="G249" s="103">
        <f>ROUND((32768/BASE_FLUX) * MTPVFlux_80,0)</f>
        <v>10200</v>
      </c>
      <c r="H249" s="94" t="str">
        <f>IF(G249&lt;&gt;"",IF(C249="float32",FLOAT2HEX(G249),DEC2HEX(G249,8)),"")</f>
        <v>000027D8</v>
      </c>
      <c r="I249" s="94" t="str">
        <f t="shared" si="8"/>
        <v/>
      </c>
    </row>
    <row r="250" spans="1:9" x14ac:dyDescent="0.25">
      <c r="A250" s="96" t="str">
        <f>IF(I250&lt;&gt;"",MAX(A$1:A249)+1,"")</f>
        <v/>
      </c>
      <c r="B250" s="74" t="s">
        <v>2380</v>
      </c>
      <c r="C250" s="103" t="s">
        <v>57</v>
      </c>
      <c r="D250" s="103">
        <f t="shared" si="9"/>
        <v>4</v>
      </c>
      <c r="E250" s="89" t="s">
        <v>2863</v>
      </c>
      <c r="G250" s="103">
        <f>ROUND((32768/BASE_TORQ) * MTPVTorque_80,0)</f>
        <v>4085</v>
      </c>
      <c r="H250" s="94" t="str">
        <f>IF(G250&lt;&gt;"",IF(C250="float32",FLOAT2HEX(G250),DEC2HEX(G250,8)),"")</f>
        <v>00000FF5</v>
      </c>
      <c r="I250" s="94" t="str">
        <f t="shared" si="8"/>
        <v/>
      </c>
    </row>
    <row r="251" spans="1:9" x14ac:dyDescent="0.25">
      <c r="A251" s="96" t="str">
        <f>IF(I251&lt;&gt;"",MAX(A$1:A250)+1,"")</f>
        <v/>
      </c>
      <c r="B251" s="97" t="s">
        <v>2381</v>
      </c>
      <c r="C251" s="103" t="s">
        <v>57</v>
      </c>
      <c r="D251" s="103">
        <f t="shared" si="9"/>
        <v>4</v>
      </c>
      <c r="E251" s="89" t="s">
        <v>2864</v>
      </c>
      <c r="G251" s="103">
        <f>ROUND((32768/BASE_ANGLE) * MTPVAngle_80,0)</f>
        <v>22861</v>
      </c>
      <c r="H251" s="94" t="str">
        <f>IF(G251&lt;&gt;"",IF(C251="float32",FLOAT2HEX(G251),DEC2HEX(G251,8)),"")</f>
        <v>0000594D</v>
      </c>
      <c r="I251" s="94" t="str">
        <f t="shared" si="8"/>
        <v/>
      </c>
    </row>
    <row r="252" spans="1:9" x14ac:dyDescent="0.25">
      <c r="A252" s="96" t="str">
        <f>IF(I252&lt;&gt;"",MAX(A$1:A251)+1,"")</f>
        <v/>
      </c>
      <c r="B252" s="97" t="s">
        <v>2382</v>
      </c>
      <c r="C252" s="103" t="s">
        <v>57</v>
      </c>
      <c r="D252" s="103">
        <f t="shared" si="9"/>
        <v>4</v>
      </c>
      <c r="E252" s="89" t="s">
        <v>2865</v>
      </c>
      <c r="G252" s="103">
        <f>ROUND((32768/BASE_FLUX) * MTPVFlux_81,0)</f>
        <v>10317</v>
      </c>
      <c r="H252" s="94" t="str">
        <f>IF(G252&lt;&gt;"",IF(C252="float32",FLOAT2HEX(G252),DEC2HEX(G252,8)),"")</f>
        <v>0000284D</v>
      </c>
      <c r="I252" s="94" t="str">
        <f t="shared" si="8"/>
        <v/>
      </c>
    </row>
    <row r="253" spans="1:9" x14ac:dyDescent="0.25">
      <c r="A253" s="96" t="str">
        <f>IF(I253&lt;&gt;"",MAX(A$1:A252)+1,"")</f>
        <v/>
      </c>
      <c r="B253" s="74" t="s">
        <v>2383</v>
      </c>
      <c r="C253" s="103" t="s">
        <v>57</v>
      </c>
      <c r="D253" s="103">
        <f t="shared" si="9"/>
        <v>4</v>
      </c>
      <c r="E253" s="89" t="s">
        <v>2866</v>
      </c>
      <c r="G253" s="103">
        <f>ROUND((32768/BASE_TORQ) * MTPVTorque_81,0)</f>
        <v>4171</v>
      </c>
      <c r="H253" s="94" t="str">
        <f>IF(G253&lt;&gt;"",IF(C253="float32",FLOAT2HEX(G253),DEC2HEX(G253,8)),"")</f>
        <v>0000104B</v>
      </c>
      <c r="I253" s="94" t="str">
        <f t="shared" si="8"/>
        <v/>
      </c>
    </row>
    <row r="254" spans="1:9" x14ac:dyDescent="0.25">
      <c r="A254" s="96" t="str">
        <f>IF(I254&lt;&gt;"",MAX(A$1:A253)+1,"")</f>
        <v/>
      </c>
      <c r="B254" s="97" t="s">
        <v>2384</v>
      </c>
      <c r="C254" s="103" t="s">
        <v>57</v>
      </c>
      <c r="D254" s="103">
        <f t="shared" si="9"/>
        <v>4</v>
      </c>
      <c r="E254" s="89" t="s">
        <v>2867</v>
      </c>
      <c r="G254" s="103">
        <f>ROUND((32768/BASE_ANGLE) * MTPVAngle_81,0)</f>
        <v>22875</v>
      </c>
      <c r="H254" s="94" t="str">
        <f>IF(G254&lt;&gt;"",IF(C254="float32",FLOAT2HEX(G254),DEC2HEX(G254,8)),"")</f>
        <v>0000595B</v>
      </c>
      <c r="I254" s="94" t="str">
        <f t="shared" si="8"/>
        <v/>
      </c>
    </row>
    <row r="255" spans="1:9" x14ac:dyDescent="0.25">
      <c r="A255" s="96" t="str">
        <f>IF(I255&lt;&gt;"",MAX(A$1:A254)+1,"")</f>
        <v/>
      </c>
      <c r="B255" s="97" t="s">
        <v>2385</v>
      </c>
      <c r="C255" s="103" t="s">
        <v>57</v>
      </c>
      <c r="D255" s="103">
        <f t="shared" si="9"/>
        <v>4</v>
      </c>
      <c r="E255" s="89" t="s">
        <v>2868</v>
      </c>
      <c r="G255" s="103">
        <f>ROUND((32768/BASE_FLUX) * MTPVFlux_82,0)</f>
        <v>10434</v>
      </c>
      <c r="H255" s="94" t="str">
        <f>IF(G255&lt;&gt;"",IF(C255="float32",FLOAT2HEX(G255),DEC2HEX(G255,8)),"")</f>
        <v>000028C2</v>
      </c>
      <c r="I255" s="94" t="str">
        <f t="shared" si="8"/>
        <v/>
      </c>
    </row>
    <row r="256" spans="1:9" x14ac:dyDescent="0.25">
      <c r="A256" s="96" t="str">
        <f>IF(I256&lt;&gt;"",MAX(A$1:A255)+1,"")</f>
        <v/>
      </c>
      <c r="B256" s="74" t="s">
        <v>2386</v>
      </c>
      <c r="C256" s="103" t="s">
        <v>57</v>
      </c>
      <c r="D256" s="103">
        <f t="shared" si="9"/>
        <v>4</v>
      </c>
      <c r="E256" s="89" t="s">
        <v>2869</v>
      </c>
      <c r="G256" s="103">
        <f>ROUND((32768/BASE_TORQ) * MTPVTorque_82,0)</f>
        <v>4255</v>
      </c>
      <c r="H256" s="94" t="str">
        <f>IF(G256&lt;&gt;"",IF(C256="float32",FLOAT2HEX(G256),DEC2HEX(G256,8)),"")</f>
        <v>0000109F</v>
      </c>
      <c r="I256" s="94" t="str">
        <f t="shared" si="8"/>
        <v/>
      </c>
    </row>
    <row r="257" spans="1:9" x14ac:dyDescent="0.25">
      <c r="A257" s="96" t="str">
        <f>IF(I257&lt;&gt;"",MAX(A$1:A256)+1,"")</f>
        <v/>
      </c>
      <c r="B257" s="97" t="s">
        <v>2387</v>
      </c>
      <c r="C257" s="103" t="s">
        <v>57</v>
      </c>
      <c r="D257" s="103">
        <f t="shared" si="9"/>
        <v>4</v>
      </c>
      <c r="E257" s="89" t="s">
        <v>2870</v>
      </c>
      <c r="G257" s="103">
        <f>ROUND((32768/BASE_ANGLE) * MTPVAngle_82,0)</f>
        <v>22888</v>
      </c>
      <c r="H257" s="94" t="str">
        <f>IF(G257&lt;&gt;"",IF(C257="float32",FLOAT2HEX(G257),DEC2HEX(G257,8)),"")</f>
        <v>00005968</v>
      </c>
      <c r="I257" s="94" t="str">
        <f t="shared" si="8"/>
        <v/>
      </c>
    </row>
    <row r="258" spans="1:9" x14ac:dyDescent="0.25">
      <c r="A258" s="96" t="str">
        <f>IF(I258&lt;&gt;"",MAX(A$1:A257)+1,"")</f>
        <v/>
      </c>
      <c r="B258" s="97" t="s">
        <v>2388</v>
      </c>
      <c r="C258" s="103" t="s">
        <v>57</v>
      </c>
      <c r="D258" s="103">
        <f t="shared" si="9"/>
        <v>4</v>
      </c>
      <c r="E258" s="89" t="s">
        <v>2871</v>
      </c>
      <c r="G258" s="103">
        <f>ROUND((32768/BASE_FLUX) * MTPVFlux_83,0)</f>
        <v>10551</v>
      </c>
      <c r="H258" s="94" t="str">
        <f>IF(G258&lt;&gt;"",IF(C258="float32",FLOAT2HEX(G258),DEC2HEX(G258,8)),"")</f>
        <v>00002937</v>
      </c>
      <c r="I258" s="94" t="str">
        <f t="shared" si="8"/>
        <v/>
      </c>
    </row>
    <row r="259" spans="1:9" x14ac:dyDescent="0.25">
      <c r="A259" s="96" t="str">
        <f>IF(I259&lt;&gt;"",MAX(A$1:A258)+1,"")</f>
        <v/>
      </c>
      <c r="B259" s="74" t="s">
        <v>2389</v>
      </c>
      <c r="C259" s="103" t="s">
        <v>57</v>
      </c>
      <c r="D259" s="103">
        <f t="shared" si="9"/>
        <v>4</v>
      </c>
      <c r="E259" s="89" t="s">
        <v>2872</v>
      </c>
      <c r="G259" s="103">
        <f>ROUND((32768/BASE_TORQ) * MTPVTorque_83,0)</f>
        <v>4338</v>
      </c>
      <c r="H259" s="94" t="str">
        <f>IF(G259&lt;&gt;"",IF(C259="float32",FLOAT2HEX(G259),DEC2HEX(G259,8)),"")</f>
        <v>000010F2</v>
      </c>
      <c r="I259" s="94" t="str">
        <f t="shared" si="8"/>
        <v/>
      </c>
    </row>
    <row r="260" spans="1:9" x14ac:dyDescent="0.25">
      <c r="A260" s="96" t="str">
        <f>IF(I260&lt;&gt;"",MAX(A$1:A259)+1,"")</f>
        <v/>
      </c>
      <c r="B260" s="97" t="s">
        <v>2390</v>
      </c>
      <c r="C260" s="103" t="s">
        <v>57</v>
      </c>
      <c r="D260" s="103">
        <f t="shared" si="9"/>
        <v>4</v>
      </c>
      <c r="E260" s="89" t="s">
        <v>2873</v>
      </c>
      <c r="G260" s="103">
        <f>ROUND((32768/BASE_ANGLE) * MTPVAngle_83,0)</f>
        <v>22900</v>
      </c>
      <c r="H260" s="94" t="str">
        <f>IF(G260&lt;&gt;"",IF(C260="float32",FLOAT2HEX(G260),DEC2HEX(G260,8)),"")</f>
        <v>00005974</v>
      </c>
      <c r="I260" s="94" t="str">
        <f t="shared" si="8"/>
        <v/>
      </c>
    </row>
    <row r="261" spans="1:9" x14ac:dyDescent="0.25">
      <c r="A261" s="96" t="str">
        <f>IF(I261&lt;&gt;"",MAX(A$1:A260)+1,"")</f>
        <v/>
      </c>
      <c r="B261" s="97" t="s">
        <v>2391</v>
      </c>
      <c r="C261" s="103" t="s">
        <v>57</v>
      </c>
      <c r="D261" s="103">
        <f t="shared" si="9"/>
        <v>4</v>
      </c>
      <c r="E261" s="89" t="s">
        <v>2874</v>
      </c>
      <c r="G261" s="103">
        <f>ROUND((32768/BASE_FLUX) * MTPVFlux_84,0)</f>
        <v>10669</v>
      </c>
      <c r="H261" s="94" t="str">
        <f>IF(G261&lt;&gt;"",IF(C261="float32",FLOAT2HEX(G261),DEC2HEX(G261,8)),"")</f>
        <v>000029AD</v>
      </c>
      <c r="I261" s="94" t="str">
        <f t="shared" si="8"/>
        <v/>
      </c>
    </row>
    <row r="262" spans="1:9" x14ac:dyDescent="0.25">
      <c r="A262" s="96" t="str">
        <f>IF(I262&lt;&gt;"",MAX(A$1:A261)+1,"")</f>
        <v/>
      </c>
      <c r="B262" s="74" t="s">
        <v>2392</v>
      </c>
      <c r="C262" s="103" t="s">
        <v>57</v>
      </c>
      <c r="D262" s="103">
        <f t="shared" si="9"/>
        <v>4</v>
      </c>
      <c r="E262" s="89" t="s">
        <v>2875</v>
      </c>
      <c r="G262" s="103">
        <f>ROUND((32768/BASE_TORQ) * MTPVTorque_84,0)</f>
        <v>4420</v>
      </c>
      <c r="H262" s="94" t="str">
        <f>IF(G262&lt;&gt;"",IF(C262="float32",FLOAT2HEX(G262),DEC2HEX(G262,8)),"")</f>
        <v>00001144</v>
      </c>
      <c r="I262" s="94" t="str">
        <f t="shared" si="8"/>
        <v/>
      </c>
    </row>
    <row r="263" spans="1:9" x14ac:dyDescent="0.25">
      <c r="A263" s="96" t="str">
        <f>IF(I263&lt;&gt;"",MAX(A$1:A262)+1,"")</f>
        <v/>
      </c>
      <c r="B263" s="97" t="s">
        <v>2393</v>
      </c>
      <c r="C263" s="103" t="s">
        <v>57</v>
      </c>
      <c r="D263" s="103">
        <f t="shared" si="9"/>
        <v>4</v>
      </c>
      <c r="E263" s="89" t="s">
        <v>2876</v>
      </c>
      <c r="G263" s="103">
        <f>ROUND((32768/BASE_ANGLE) * MTPVAngle_84,0)</f>
        <v>22911</v>
      </c>
      <c r="H263" s="94" t="str">
        <f>IF(G263&lt;&gt;"",IF(C263="float32",FLOAT2HEX(G263),DEC2HEX(G263,8)),"")</f>
        <v>0000597F</v>
      </c>
      <c r="I263" s="94" t="str">
        <f t="shared" si="8"/>
        <v/>
      </c>
    </row>
    <row r="264" spans="1:9" x14ac:dyDescent="0.25">
      <c r="A264" s="96" t="str">
        <f>IF(I264&lt;&gt;"",MAX(A$1:A263)+1,"")</f>
        <v/>
      </c>
      <c r="B264" s="97" t="s">
        <v>2394</v>
      </c>
      <c r="C264" s="103" t="s">
        <v>57</v>
      </c>
      <c r="D264" s="103">
        <f t="shared" si="9"/>
        <v>4</v>
      </c>
      <c r="E264" s="89" t="s">
        <v>2877</v>
      </c>
      <c r="G264" s="103">
        <f>ROUND((32768/BASE_FLUX) * MTPVFlux_85,0)</f>
        <v>10786</v>
      </c>
      <c r="H264" s="94" t="str">
        <f>IF(G264&lt;&gt;"",IF(C264="float32",FLOAT2HEX(G264),DEC2HEX(G264,8)),"")</f>
        <v>00002A22</v>
      </c>
      <c r="I264" s="94" t="str">
        <f t="shared" si="8"/>
        <v/>
      </c>
    </row>
    <row r="265" spans="1:9" x14ac:dyDescent="0.25">
      <c r="A265" s="96" t="str">
        <f>IF(I265&lt;&gt;"",MAX(A$1:A264)+1,"")</f>
        <v/>
      </c>
      <c r="B265" s="74" t="s">
        <v>2395</v>
      </c>
      <c r="C265" s="103" t="s">
        <v>57</v>
      </c>
      <c r="D265" s="103">
        <f t="shared" si="9"/>
        <v>4</v>
      </c>
      <c r="E265" s="89" t="s">
        <v>2878</v>
      </c>
      <c r="G265" s="103">
        <f>ROUND((32768/BASE_TORQ) * MTPVTorque_85,0)</f>
        <v>4500</v>
      </c>
      <c r="H265" s="94" t="str">
        <f>IF(G265&lt;&gt;"",IF(C265="float32",FLOAT2HEX(G265),DEC2HEX(G265,8)),"")</f>
        <v>00001194</v>
      </c>
      <c r="I265" s="94" t="str">
        <f t="shared" si="8"/>
        <v/>
      </c>
    </row>
    <row r="266" spans="1:9" x14ac:dyDescent="0.25">
      <c r="A266" s="96" t="str">
        <f>IF(I266&lt;&gt;"",MAX(A$1:A265)+1,"")</f>
        <v/>
      </c>
      <c r="B266" s="97" t="s">
        <v>2396</v>
      </c>
      <c r="C266" s="103" t="s">
        <v>57</v>
      </c>
      <c r="D266" s="103">
        <f t="shared" si="9"/>
        <v>4</v>
      </c>
      <c r="E266" s="89" t="s">
        <v>2879</v>
      </c>
      <c r="G266" s="103">
        <f>ROUND((32768/BASE_ANGLE) * MTPVAngle_85,0)</f>
        <v>22920</v>
      </c>
      <c r="H266" s="94" t="str">
        <f>IF(G266&lt;&gt;"",IF(C266="float32",FLOAT2HEX(G266),DEC2HEX(G266,8)),"")</f>
        <v>00005988</v>
      </c>
      <c r="I266" s="94" t="str">
        <f t="shared" ref="I266:I329" si="10">IF(AND(G266&lt;&gt;"",(ROW()-8)&lt;(($G$7+1)*3+1)),HEX2DEC(H266),"")</f>
        <v/>
      </c>
    </row>
    <row r="267" spans="1:9" x14ac:dyDescent="0.25">
      <c r="A267" s="96" t="str">
        <f>IF(I267&lt;&gt;"",MAX(A$1:A266)+1,"")</f>
        <v/>
      </c>
      <c r="B267" s="97" t="s">
        <v>2397</v>
      </c>
      <c r="C267" s="103" t="s">
        <v>57</v>
      </c>
      <c r="D267" s="103">
        <f t="shared" si="9"/>
        <v>4</v>
      </c>
      <c r="E267" s="89" t="s">
        <v>2880</v>
      </c>
      <c r="G267" s="103">
        <f>ROUND((32768/BASE_FLUX) * MTPVFlux_86,0)</f>
        <v>10903</v>
      </c>
      <c r="H267" s="94" t="str">
        <f>IF(G267&lt;&gt;"",IF(C267="float32",FLOAT2HEX(G267),DEC2HEX(G267,8)),"")</f>
        <v>00002A97</v>
      </c>
      <c r="I267" s="94" t="str">
        <f t="shared" si="10"/>
        <v/>
      </c>
    </row>
    <row r="268" spans="1:9" x14ac:dyDescent="0.25">
      <c r="A268" s="96" t="str">
        <f>IF(I268&lt;&gt;"",MAX(A$1:A267)+1,"")</f>
        <v/>
      </c>
      <c r="B268" s="74" t="s">
        <v>2398</v>
      </c>
      <c r="C268" s="103" t="s">
        <v>57</v>
      </c>
      <c r="D268" s="103">
        <f t="shared" si="9"/>
        <v>4</v>
      </c>
      <c r="E268" s="89" t="s">
        <v>2881</v>
      </c>
      <c r="G268" s="103">
        <f>ROUND((32768/BASE_TORQ) * MTPVTorque_86,0)</f>
        <v>4579</v>
      </c>
      <c r="H268" s="94" t="str">
        <f>IF(G268&lt;&gt;"",IF(C268="float32",FLOAT2HEX(G268),DEC2HEX(G268,8)),"")</f>
        <v>000011E3</v>
      </c>
      <c r="I268" s="94" t="str">
        <f t="shared" si="10"/>
        <v/>
      </c>
    </row>
    <row r="269" spans="1:9" x14ac:dyDescent="0.25">
      <c r="A269" s="96" t="str">
        <f>IF(I269&lt;&gt;"",MAX(A$1:A268)+1,"")</f>
        <v/>
      </c>
      <c r="B269" s="97" t="s">
        <v>2399</v>
      </c>
      <c r="C269" s="103" t="s">
        <v>57</v>
      </c>
      <c r="D269" s="103">
        <f t="shared" si="9"/>
        <v>4</v>
      </c>
      <c r="E269" s="89" t="s">
        <v>2882</v>
      </c>
      <c r="G269" s="103">
        <f>ROUND((32768/BASE_ANGLE) * MTPVAngle_86,0)</f>
        <v>22929</v>
      </c>
      <c r="H269" s="94" t="str">
        <f>IF(G269&lt;&gt;"",IF(C269="float32",FLOAT2HEX(G269),DEC2HEX(G269,8)),"")</f>
        <v>00005991</v>
      </c>
      <c r="I269" s="94" t="str">
        <f t="shared" si="10"/>
        <v/>
      </c>
    </row>
    <row r="270" spans="1:9" x14ac:dyDescent="0.25">
      <c r="A270" s="96" t="str">
        <f>IF(I270&lt;&gt;"",MAX(A$1:A269)+1,"")</f>
        <v/>
      </c>
      <c r="B270" s="97" t="s">
        <v>2400</v>
      </c>
      <c r="C270" s="103" t="s">
        <v>57</v>
      </c>
      <c r="D270" s="103">
        <f t="shared" si="9"/>
        <v>4</v>
      </c>
      <c r="E270" s="89" t="s">
        <v>2883</v>
      </c>
      <c r="G270" s="103">
        <f>ROUND((32768/BASE_FLUX) * MTPVFlux_87,0)</f>
        <v>11020</v>
      </c>
      <c r="H270" s="94" t="str">
        <f>IF(G270&lt;&gt;"",IF(C270="float32",FLOAT2HEX(G270),DEC2HEX(G270,8)),"")</f>
        <v>00002B0C</v>
      </c>
      <c r="I270" s="94" t="str">
        <f t="shared" si="10"/>
        <v/>
      </c>
    </row>
    <row r="271" spans="1:9" x14ac:dyDescent="0.25">
      <c r="A271" s="96" t="str">
        <f>IF(I271&lt;&gt;"",MAX(A$1:A270)+1,"")</f>
        <v/>
      </c>
      <c r="B271" s="74" t="s">
        <v>2401</v>
      </c>
      <c r="C271" s="103" t="s">
        <v>57</v>
      </c>
      <c r="D271" s="103">
        <f t="shared" si="9"/>
        <v>4</v>
      </c>
      <c r="E271" s="89" t="s">
        <v>2884</v>
      </c>
      <c r="G271" s="103">
        <f>ROUND((32768/BASE_TORQ) * MTPVTorque_87,0)</f>
        <v>4656</v>
      </c>
      <c r="H271" s="94" t="str">
        <f>IF(G271&lt;&gt;"",IF(C271="float32",FLOAT2HEX(G271),DEC2HEX(G271,8)),"")</f>
        <v>00001230</v>
      </c>
      <c r="I271" s="94" t="str">
        <f t="shared" si="10"/>
        <v/>
      </c>
    </row>
    <row r="272" spans="1:9" x14ac:dyDescent="0.25">
      <c r="A272" s="96" t="str">
        <f>IF(I272&lt;&gt;"",MAX(A$1:A271)+1,"")</f>
        <v/>
      </c>
      <c r="B272" s="97" t="s">
        <v>2402</v>
      </c>
      <c r="C272" s="103" t="s">
        <v>57</v>
      </c>
      <c r="D272" s="103">
        <f t="shared" si="9"/>
        <v>4</v>
      </c>
      <c r="E272" s="89" t="s">
        <v>2885</v>
      </c>
      <c r="G272" s="103">
        <f>ROUND((32768/BASE_ANGLE) * MTPVAngle_87,0)</f>
        <v>22936</v>
      </c>
      <c r="H272" s="94" t="str">
        <f>IF(G272&lt;&gt;"",IF(C272="float32",FLOAT2HEX(G272),DEC2HEX(G272,8)),"")</f>
        <v>00005998</v>
      </c>
      <c r="I272" s="94" t="str">
        <f t="shared" si="10"/>
        <v/>
      </c>
    </row>
    <row r="273" spans="1:9" x14ac:dyDescent="0.25">
      <c r="A273" s="96" t="str">
        <f>IF(I273&lt;&gt;"",MAX(A$1:A272)+1,"")</f>
        <v/>
      </c>
      <c r="B273" s="97" t="s">
        <v>2403</v>
      </c>
      <c r="C273" s="103" t="s">
        <v>57</v>
      </c>
      <c r="D273" s="103">
        <f t="shared" si="9"/>
        <v>4</v>
      </c>
      <c r="E273" s="89" t="s">
        <v>2886</v>
      </c>
      <c r="G273" s="103">
        <f>ROUND((32768/BASE_FLUX) * MTPVFlux_88,0)</f>
        <v>11138</v>
      </c>
      <c r="H273" s="94" t="str">
        <f>IF(G273&lt;&gt;"",IF(C273="float32",FLOAT2HEX(G273),DEC2HEX(G273,8)),"")</f>
        <v>00002B82</v>
      </c>
      <c r="I273" s="94" t="str">
        <f t="shared" si="10"/>
        <v/>
      </c>
    </row>
    <row r="274" spans="1:9" x14ac:dyDescent="0.25">
      <c r="A274" s="96" t="str">
        <f>IF(I274&lt;&gt;"",MAX(A$1:A273)+1,"")</f>
        <v/>
      </c>
      <c r="B274" s="74" t="s">
        <v>2404</v>
      </c>
      <c r="C274" s="103" t="s">
        <v>57</v>
      </c>
      <c r="D274" s="103">
        <f t="shared" si="9"/>
        <v>4</v>
      </c>
      <c r="E274" s="89" t="s">
        <v>2887</v>
      </c>
      <c r="G274" s="103">
        <f>ROUND((32768/BASE_TORQ) * MTPVTorque_88,0)</f>
        <v>4733</v>
      </c>
      <c r="H274" s="94" t="str">
        <f>IF(G274&lt;&gt;"",IF(C274="float32",FLOAT2HEX(G274),DEC2HEX(G274,8)),"")</f>
        <v>0000127D</v>
      </c>
      <c r="I274" s="94" t="str">
        <f t="shared" si="10"/>
        <v/>
      </c>
    </row>
    <row r="275" spans="1:9" x14ac:dyDescent="0.25">
      <c r="A275" s="96" t="str">
        <f>IF(I275&lt;&gt;"",MAX(A$1:A274)+1,"")</f>
        <v/>
      </c>
      <c r="B275" s="97" t="s">
        <v>2405</v>
      </c>
      <c r="C275" s="103" t="s">
        <v>57</v>
      </c>
      <c r="D275" s="103">
        <f t="shared" si="9"/>
        <v>4</v>
      </c>
      <c r="E275" s="89" t="s">
        <v>2888</v>
      </c>
      <c r="G275" s="103">
        <f>ROUND((32768/BASE_ANGLE) * MTPVAngle_88,0)</f>
        <v>22943</v>
      </c>
      <c r="H275" s="94" t="str">
        <f>IF(G275&lt;&gt;"",IF(C275="float32",FLOAT2HEX(G275),DEC2HEX(G275,8)),"")</f>
        <v>0000599F</v>
      </c>
      <c r="I275" s="94" t="str">
        <f t="shared" si="10"/>
        <v/>
      </c>
    </row>
    <row r="276" spans="1:9" x14ac:dyDescent="0.25">
      <c r="A276" s="96" t="str">
        <f>IF(I276&lt;&gt;"",MAX(A$1:A275)+1,"")</f>
        <v/>
      </c>
      <c r="B276" s="97" t="s">
        <v>2406</v>
      </c>
      <c r="C276" s="103" t="s">
        <v>57</v>
      </c>
      <c r="D276" s="103">
        <f t="shared" si="9"/>
        <v>4</v>
      </c>
      <c r="E276" s="89" t="s">
        <v>2889</v>
      </c>
      <c r="G276" s="103">
        <f>ROUND((32768/BASE_FLUX) * MTPVFlux_89,0)</f>
        <v>11255</v>
      </c>
      <c r="H276" s="94" t="str">
        <f>IF(G276&lt;&gt;"",IF(C276="float32",FLOAT2HEX(G276),DEC2HEX(G276,8)),"")</f>
        <v>00002BF7</v>
      </c>
      <c r="I276" s="94" t="str">
        <f t="shared" si="10"/>
        <v/>
      </c>
    </row>
    <row r="277" spans="1:9" x14ac:dyDescent="0.25">
      <c r="A277" s="96" t="str">
        <f>IF(I277&lt;&gt;"",MAX(A$1:A276)+1,"")</f>
        <v/>
      </c>
      <c r="B277" s="74" t="s">
        <v>2407</v>
      </c>
      <c r="C277" s="103" t="s">
        <v>57</v>
      </c>
      <c r="D277" s="103">
        <f t="shared" si="9"/>
        <v>4</v>
      </c>
      <c r="E277" s="89" t="s">
        <v>2890</v>
      </c>
      <c r="G277" s="103">
        <f>ROUND((32768/BASE_TORQ) * MTPVTorque_89,0)</f>
        <v>4808</v>
      </c>
      <c r="H277" s="94" t="str">
        <f>IF(G277&lt;&gt;"",IF(C277="float32",FLOAT2HEX(G277),DEC2HEX(G277,8)),"")</f>
        <v>000012C8</v>
      </c>
      <c r="I277" s="94" t="str">
        <f t="shared" si="10"/>
        <v/>
      </c>
    </row>
    <row r="278" spans="1:9" x14ac:dyDescent="0.25">
      <c r="A278" s="96" t="str">
        <f>IF(I278&lt;&gt;"",MAX(A$1:A277)+1,"")</f>
        <v/>
      </c>
      <c r="B278" s="97" t="s">
        <v>2408</v>
      </c>
      <c r="C278" s="103" t="s">
        <v>57</v>
      </c>
      <c r="D278" s="103">
        <f t="shared" si="9"/>
        <v>4</v>
      </c>
      <c r="E278" s="89" t="s">
        <v>2891</v>
      </c>
      <c r="G278" s="103">
        <f>ROUND((32768/BASE_ANGLE) * MTPVAngle_89,0)</f>
        <v>22948</v>
      </c>
      <c r="H278" s="94" t="str">
        <f>IF(G278&lt;&gt;"",IF(C278="float32",FLOAT2HEX(G278),DEC2HEX(G278,8)),"")</f>
        <v>000059A4</v>
      </c>
      <c r="I278" s="94" t="str">
        <f t="shared" si="10"/>
        <v/>
      </c>
    </row>
    <row r="279" spans="1:9" x14ac:dyDescent="0.25">
      <c r="A279" s="96" t="str">
        <f>IF(I279&lt;&gt;"",MAX(A$1:A278)+1,"")</f>
        <v/>
      </c>
      <c r="B279" s="97" t="s">
        <v>2409</v>
      </c>
      <c r="C279" s="103" t="s">
        <v>57</v>
      </c>
      <c r="D279" s="103">
        <f t="shared" si="9"/>
        <v>4</v>
      </c>
      <c r="E279" s="89" t="s">
        <v>2892</v>
      </c>
      <c r="G279" s="103">
        <f>ROUND((32768/BASE_FLUX) * MTPVFlux_90,0)</f>
        <v>11372</v>
      </c>
      <c r="H279" s="94" t="str">
        <f>IF(G279&lt;&gt;"",IF(C279="float32",FLOAT2HEX(G279),DEC2HEX(G279,8)),"")</f>
        <v>00002C6C</v>
      </c>
      <c r="I279" s="94" t="str">
        <f t="shared" si="10"/>
        <v/>
      </c>
    </row>
    <row r="280" spans="1:9" x14ac:dyDescent="0.25">
      <c r="A280" s="96" t="str">
        <f>IF(I280&lt;&gt;"",MAX(A$1:A279)+1,"")</f>
        <v/>
      </c>
      <c r="B280" s="74" t="s">
        <v>2410</v>
      </c>
      <c r="C280" s="103" t="s">
        <v>57</v>
      </c>
      <c r="D280" s="103">
        <f t="shared" si="9"/>
        <v>4</v>
      </c>
      <c r="E280" s="89" t="s">
        <v>2893</v>
      </c>
      <c r="G280" s="103">
        <f>ROUND((32768/BASE_TORQ) * MTPVTorque_90,0)</f>
        <v>4883</v>
      </c>
      <c r="H280" s="94" t="str">
        <f>IF(G280&lt;&gt;"",IF(C280="float32",FLOAT2HEX(G280),DEC2HEX(G280,8)),"")</f>
        <v>00001313</v>
      </c>
      <c r="I280" s="94" t="str">
        <f t="shared" si="10"/>
        <v/>
      </c>
    </row>
    <row r="281" spans="1:9" x14ac:dyDescent="0.25">
      <c r="A281" s="96" t="str">
        <f>IF(I281&lt;&gt;"",MAX(A$1:A280)+1,"")</f>
        <v/>
      </c>
      <c r="B281" s="97" t="s">
        <v>2411</v>
      </c>
      <c r="C281" s="103" t="s">
        <v>57</v>
      </c>
      <c r="D281" s="103">
        <f t="shared" si="9"/>
        <v>4</v>
      </c>
      <c r="E281" s="89" t="s">
        <v>2894</v>
      </c>
      <c r="G281" s="103">
        <f>ROUND((32768/BASE_ANGLE) * MTPVAngle_90,0)</f>
        <v>22953</v>
      </c>
      <c r="H281" s="94" t="str">
        <f>IF(G281&lt;&gt;"",IF(C281="float32",FLOAT2HEX(G281),DEC2HEX(G281,8)),"")</f>
        <v>000059A9</v>
      </c>
      <c r="I281" s="94" t="str">
        <f t="shared" si="10"/>
        <v/>
      </c>
    </row>
    <row r="282" spans="1:9" x14ac:dyDescent="0.25">
      <c r="A282" s="96" t="str">
        <f>IF(I282&lt;&gt;"",MAX(A$1:A281)+1,"")</f>
        <v/>
      </c>
      <c r="B282" s="97" t="s">
        <v>2412</v>
      </c>
      <c r="C282" s="103" t="s">
        <v>57</v>
      </c>
      <c r="D282" s="103">
        <f t="shared" si="9"/>
        <v>4</v>
      </c>
      <c r="E282" s="89" t="s">
        <v>2895</v>
      </c>
      <c r="G282" s="103">
        <f>ROUND((32768/BASE_FLUX) * MTPVFlux_91,0)</f>
        <v>11489</v>
      </c>
      <c r="H282" s="94" t="str">
        <f>IF(G282&lt;&gt;"",IF(C282="float32",FLOAT2HEX(G282),DEC2HEX(G282,8)),"")</f>
        <v>00002CE1</v>
      </c>
      <c r="I282" s="94" t="str">
        <f t="shared" si="10"/>
        <v/>
      </c>
    </row>
    <row r="283" spans="1:9" x14ac:dyDescent="0.25">
      <c r="A283" s="96" t="str">
        <f>IF(I283&lt;&gt;"",MAX(A$1:A282)+1,"")</f>
        <v/>
      </c>
      <c r="B283" s="74" t="s">
        <v>2413</v>
      </c>
      <c r="C283" s="103" t="s">
        <v>57</v>
      </c>
      <c r="D283" s="103">
        <f t="shared" si="9"/>
        <v>4</v>
      </c>
      <c r="E283" s="89" t="s">
        <v>2896</v>
      </c>
      <c r="G283" s="103">
        <f>ROUND((32768/BASE_TORQ) * MTPVTorque_91,0)</f>
        <v>4956</v>
      </c>
      <c r="H283" s="94" t="str">
        <f>IF(G283&lt;&gt;"",IF(C283="float32",FLOAT2HEX(G283),DEC2HEX(G283,8)),"")</f>
        <v>0000135C</v>
      </c>
      <c r="I283" s="94" t="str">
        <f t="shared" si="10"/>
        <v/>
      </c>
    </row>
    <row r="284" spans="1:9" x14ac:dyDescent="0.25">
      <c r="A284" s="96" t="str">
        <f>IF(I284&lt;&gt;"",MAX(A$1:A283)+1,"")</f>
        <v/>
      </c>
      <c r="B284" s="97" t="s">
        <v>2414</v>
      </c>
      <c r="C284" s="103" t="s">
        <v>57</v>
      </c>
      <c r="D284" s="103">
        <f t="shared" si="9"/>
        <v>4</v>
      </c>
      <c r="E284" s="89" t="s">
        <v>2897</v>
      </c>
      <c r="G284" s="103">
        <f>ROUND((32768/BASE_ANGLE) * MTPVAngle_91,0)</f>
        <v>22956</v>
      </c>
      <c r="H284" s="94" t="str">
        <f>IF(G284&lt;&gt;"",IF(C284="float32",FLOAT2HEX(G284),DEC2HEX(G284,8)),"")</f>
        <v>000059AC</v>
      </c>
      <c r="I284" s="94" t="str">
        <f t="shared" si="10"/>
        <v/>
      </c>
    </row>
    <row r="285" spans="1:9" x14ac:dyDescent="0.25">
      <c r="A285" s="96" t="str">
        <f>IF(I285&lt;&gt;"",MAX(A$1:A284)+1,"")</f>
        <v/>
      </c>
      <c r="B285" s="97" t="s">
        <v>2415</v>
      </c>
      <c r="C285" s="103" t="s">
        <v>57</v>
      </c>
      <c r="D285" s="103">
        <f t="shared" si="9"/>
        <v>4</v>
      </c>
      <c r="E285" s="89" t="s">
        <v>2898</v>
      </c>
      <c r="G285" s="103">
        <f>ROUND((32768/BASE_FLUX) * MTPVFlux_92,0)</f>
        <v>11607</v>
      </c>
      <c r="H285" s="94" t="str">
        <f>IF(G285&lt;&gt;"",IF(C285="float32",FLOAT2HEX(G285),DEC2HEX(G285,8)),"")</f>
        <v>00002D57</v>
      </c>
      <c r="I285" s="94" t="str">
        <f t="shared" si="10"/>
        <v/>
      </c>
    </row>
    <row r="286" spans="1:9" x14ac:dyDescent="0.25">
      <c r="A286" s="96" t="str">
        <f>IF(I286&lt;&gt;"",MAX(A$1:A285)+1,"")</f>
        <v/>
      </c>
      <c r="B286" s="74" t="s">
        <v>2416</v>
      </c>
      <c r="C286" s="103" t="s">
        <v>57</v>
      </c>
      <c r="D286" s="103">
        <f t="shared" si="9"/>
        <v>4</v>
      </c>
      <c r="E286" s="89" t="s">
        <v>2899</v>
      </c>
      <c r="G286" s="103">
        <f>ROUND((32768/BASE_TORQ) * MTPVTorque_92,0)</f>
        <v>5028</v>
      </c>
      <c r="H286" s="94" t="str">
        <f>IF(G286&lt;&gt;"",IF(C286="float32",FLOAT2HEX(G286),DEC2HEX(G286,8)),"")</f>
        <v>000013A4</v>
      </c>
      <c r="I286" s="94" t="str">
        <f t="shared" si="10"/>
        <v/>
      </c>
    </row>
    <row r="287" spans="1:9" x14ac:dyDescent="0.25">
      <c r="A287" s="96" t="str">
        <f>IF(I287&lt;&gt;"",MAX(A$1:A286)+1,"")</f>
        <v/>
      </c>
      <c r="B287" s="97" t="s">
        <v>2417</v>
      </c>
      <c r="C287" s="103" t="s">
        <v>57</v>
      </c>
      <c r="D287" s="103">
        <f t="shared" si="9"/>
        <v>4</v>
      </c>
      <c r="E287" s="89" t="s">
        <v>2900</v>
      </c>
      <c r="G287" s="103">
        <f>ROUND((32768/BASE_ANGLE) * MTPVAngle_92,0)</f>
        <v>22959</v>
      </c>
      <c r="H287" s="94" t="str">
        <f>IF(G287&lt;&gt;"",IF(C287="float32",FLOAT2HEX(G287),DEC2HEX(G287,8)),"")</f>
        <v>000059AF</v>
      </c>
      <c r="I287" s="94" t="str">
        <f t="shared" si="10"/>
        <v/>
      </c>
    </row>
    <row r="288" spans="1:9" x14ac:dyDescent="0.25">
      <c r="A288" s="96" t="str">
        <f>IF(I288&lt;&gt;"",MAX(A$1:A287)+1,"")</f>
        <v/>
      </c>
      <c r="B288" s="97" t="s">
        <v>2418</v>
      </c>
      <c r="C288" s="103" t="s">
        <v>57</v>
      </c>
      <c r="D288" s="103">
        <f t="shared" si="9"/>
        <v>4</v>
      </c>
      <c r="E288" s="89" t="s">
        <v>2901</v>
      </c>
      <c r="G288" s="103">
        <f>ROUND((32768/BASE_FLUX) * MTPVFlux_93,0)</f>
        <v>11724</v>
      </c>
      <c r="H288" s="94" t="str">
        <f>IF(G288&lt;&gt;"",IF(C288="float32",FLOAT2HEX(G288),DEC2HEX(G288,8)),"")</f>
        <v>00002DCC</v>
      </c>
      <c r="I288" s="94" t="str">
        <f t="shared" si="10"/>
        <v/>
      </c>
    </row>
    <row r="289" spans="1:9" x14ac:dyDescent="0.25">
      <c r="A289" s="96" t="str">
        <f>IF(I289&lt;&gt;"",MAX(A$1:A288)+1,"")</f>
        <v/>
      </c>
      <c r="B289" s="74" t="s">
        <v>2419</v>
      </c>
      <c r="C289" s="103" t="s">
        <v>57</v>
      </c>
      <c r="D289" s="103">
        <f t="shared" si="9"/>
        <v>4</v>
      </c>
      <c r="E289" s="89" t="s">
        <v>2902</v>
      </c>
      <c r="G289" s="103">
        <f>ROUND((32768/BASE_TORQ) * MTPVTorque_93,0)</f>
        <v>5099</v>
      </c>
      <c r="H289" s="94" t="str">
        <f>IF(G289&lt;&gt;"",IF(C289="float32",FLOAT2HEX(G289),DEC2HEX(G289,8)),"")</f>
        <v>000013EB</v>
      </c>
      <c r="I289" s="94" t="str">
        <f t="shared" si="10"/>
        <v/>
      </c>
    </row>
    <row r="290" spans="1:9" x14ac:dyDescent="0.25">
      <c r="A290" s="96" t="str">
        <f>IF(I290&lt;&gt;"",MAX(A$1:A289)+1,"")</f>
        <v/>
      </c>
      <c r="B290" s="97" t="s">
        <v>2420</v>
      </c>
      <c r="C290" s="103" t="s">
        <v>57</v>
      </c>
      <c r="D290" s="103">
        <f t="shared" si="9"/>
        <v>4</v>
      </c>
      <c r="E290" s="89" t="s">
        <v>2903</v>
      </c>
      <c r="G290" s="103">
        <f>ROUND((32768/BASE_ANGLE) * MTPVAngle_93,0)</f>
        <v>22961</v>
      </c>
      <c r="H290" s="94" t="str">
        <f>IF(G290&lt;&gt;"",IF(C290="float32",FLOAT2HEX(G290),DEC2HEX(G290,8)),"")</f>
        <v>000059B1</v>
      </c>
      <c r="I290" s="94" t="str">
        <f t="shared" si="10"/>
        <v/>
      </c>
    </row>
    <row r="291" spans="1:9" x14ac:dyDescent="0.25">
      <c r="A291" s="96" t="str">
        <f>IF(I291&lt;&gt;"",MAX(A$1:A290)+1,"")</f>
        <v/>
      </c>
      <c r="B291" s="97" t="s">
        <v>2421</v>
      </c>
      <c r="C291" s="103" t="s">
        <v>57</v>
      </c>
      <c r="D291" s="103">
        <f t="shared" si="9"/>
        <v>4</v>
      </c>
      <c r="E291" s="89" t="s">
        <v>2904</v>
      </c>
      <c r="G291" s="103">
        <f>ROUND((32768/BASE_FLUX) * MTPVFlux_94,0)</f>
        <v>11841</v>
      </c>
      <c r="H291" s="94" t="str">
        <f>IF(G291&lt;&gt;"",IF(C291="float32",FLOAT2HEX(G291),DEC2HEX(G291,8)),"")</f>
        <v>00002E41</v>
      </c>
      <c r="I291" s="94" t="str">
        <f t="shared" si="10"/>
        <v/>
      </c>
    </row>
    <row r="292" spans="1:9" x14ac:dyDescent="0.25">
      <c r="A292" s="96" t="str">
        <f>IF(I292&lt;&gt;"",MAX(A$1:A291)+1,"")</f>
        <v/>
      </c>
      <c r="B292" s="74" t="s">
        <v>2422</v>
      </c>
      <c r="C292" s="103" t="s">
        <v>57</v>
      </c>
      <c r="D292" s="103">
        <f t="shared" si="9"/>
        <v>4</v>
      </c>
      <c r="E292" s="89" t="s">
        <v>2905</v>
      </c>
      <c r="G292" s="103">
        <f>ROUND((32768/BASE_TORQ) * MTPVTorque_94,0)</f>
        <v>5169</v>
      </c>
      <c r="H292" s="94" t="str">
        <f>IF(G292&lt;&gt;"",IF(C292="float32",FLOAT2HEX(G292),DEC2HEX(G292,8)),"")</f>
        <v>00001431</v>
      </c>
      <c r="I292" s="94" t="str">
        <f t="shared" si="10"/>
        <v/>
      </c>
    </row>
    <row r="293" spans="1:9" x14ac:dyDescent="0.25">
      <c r="A293" s="96" t="str">
        <f>IF(I293&lt;&gt;"",MAX(A$1:A292)+1,"")</f>
        <v/>
      </c>
      <c r="B293" s="97" t="s">
        <v>2423</v>
      </c>
      <c r="C293" s="103" t="s">
        <v>57</v>
      </c>
      <c r="D293" s="103">
        <f t="shared" si="9"/>
        <v>4</v>
      </c>
      <c r="E293" s="89" t="s">
        <v>2906</v>
      </c>
      <c r="G293" s="103">
        <f>ROUND((32768/BASE_ANGLE) * MTPVAngle_94,0)</f>
        <v>22962</v>
      </c>
      <c r="H293" s="94" t="str">
        <f>IF(G293&lt;&gt;"",IF(C293="float32",FLOAT2HEX(G293),DEC2HEX(G293,8)),"")</f>
        <v>000059B2</v>
      </c>
      <c r="I293" s="94" t="str">
        <f t="shared" si="10"/>
        <v/>
      </c>
    </row>
    <row r="294" spans="1:9" x14ac:dyDescent="0.25">
      <c r="A294" s="96" t="str">
        <f>IF(I294&lt;&gt;"",MAX(A$1:A293)+1,"")</f>
        <v/>
      </c>
      <c r="B294" s="97" t="s">
        <v>2424</v>
      </c>
      <c r="C294" s="103" t="s">
        <v>57</v>
      </c>
      <c r="D294" s="103">
        <f t="shared" si="9"/>
        <v>4</v>
      </c>
      <c r="E294" s="89" t="s">
        <v>2907</v>
      </c>
      <c r="G294" s="103">
        <f>ROUND((32768/BASE_FLUX) * MTPVFlux_95,0)</f>
        <v>11958</v>
      </c>
      <c r="H294" s="94" t="str">
        <f>IF(G294&lt;&gt;"",IF(C294="float32",FLOAT2HEX(G294),DEC2HEX(G294,8)),"")</f>
        <v>00002EB6</v>
      </c>
      <c r="I294" s="94" t="str">
        <f t="shared" si="10"/>
        <v/>
      </c>
    </row>
    <row r="295" spans="1:9" x14ac:dyDescent="0.25">
      <c r="A295" s="96" t="str">
        <f>IF(I295&lt;&gt;"",MAX(A$1:A294)+1,"")</f>
        <v/>
      </c>
      <c r="B295" s="74" t="s">
        <v>2425</v>
      </c>
      <c r="C295" s="103" t="s">
        <v>57</v>
      </c>
      <c r="D295" s="103">
        <f t="shared" si="9"/>
        <v>4</v>
      </c>
      <c r="E295" s="89" t="s">
        <v>2908</v>
      </c>
      <c r="G295" s="103">
        <f>ROUND((32768/BASE_TORQ) * MTPVTorque_95,0)</f>
        <v>5238</v>
      </c>
      <c r="H295" s="94" t="str">
        <f>IF(G295&lt;&gt;"",IF(C295="float32",FLOAT2HEX(G295),DEC2HEX(G295,8)),"")</f>
        <v>00001476</v>
      </c>
      <c r="I295" s="94" t="str">
        <f t="shared" si="10"/>
        <v/>
      </c>
    </row>
    <row r="296" spans="1:9" x14ac:dyDescent="0.25">
      <c r="A296" s="96" t="str">
        <f>IF(I296&lt;&gt;"",MAX(A$1:A295)+1,"")</f>
        <v/>
      </c>
      <c r="B296" s="97" t="s">
        <v>2426</v>
      </c>
      <c r="C296" s="103" t="s">
        <v>57</v>
      </c>
      <c r="D296" s="103">
        <f t="shared" si="9"/>
        <v>4</v>
      </c>
      <c r="E296" s="89" t="s">
        <v>2909</v>
      </c>
      <c r="G296" s="103">
        <f>ROUND((32768/BASE_ANGLE) * MTPVAngle_95,0)</f>
        <v>22963</v>
      </c>
      <c r="H296" s="94" t="str">
        <f>IF(G296&lt;&gt;"",IF(C296="float32",FLOAT2HEX(G296),DEC2HEX(G296,8)),"")</f>
        <v>000059B3</v>
      </c>
      <c r="I296" s="94" t="str">
        <f t="shared" si="10"/>
        <v/>
      </c>
    </row>
    <row r="297" spans="1:9" x14ac:dyDescent="0.25">
      <c r="A297" s="96" t="str">
        <f>IF(I297&lt;&gt;"",MAX(A$1:A296)+1,"")</f>
        <v/>
      </c>
      <c r="B297" s="97" t="s">
        <v>2427</v>
      </c>
      <c r="C297" s="103" t="s">
        <v>57</v>
      </c>
      <c r="D297" s="103">
        <f t="shared" si="9"/>
        <v>4</v>
      </c>
      <c r="E297" s="89" t="s">
        <v>2910</v>
      </c>
      <c r="G297" s="103">
        <f>ROUND((32768/BASE_FLUX) * MTPVFlux_96,0)</f>
        <v>12076</v>
      </c>
      <c r="H297" s="94" t="str">
        <f>IF(G297&lt;&gt;"",IF(C297="float32",FLOAT2HEX(G297),DEC2HEX(G297,8)),"")</f>
        <v>00002F2C</v>
      </c>
      <c r="I297" s="94" t="str">
        <f t="shared" si="10"/>
        <v/>
      </c>
    </row>
    <row r="298" spans="1:9" x14ac:dyDescent="0.25">
      <c r="A298" s="96" t="str">
        <f>IF(I298&lt;&gt;"",MAX(A$1:A297)+1,"")</f>
        <v/>
      </c>
      <c r="B298" s="74" t="s">
        <v>2428</v>
      </c>
      <c r="C298" s="103" t="s">
        <v>57</v>
      </c>
      <c r="D298" s="103">
        <f t="shared" si="9"/>
        <v>4</v>
      </c>
      <c r="E298" s="89" t="s">
        <v>2911</v>
      </c>
      <c r="G298" s="103">
        <f>ROUND((32768/BASE_TORQ) * MTPVTorque_96,0)</f>
        <v>5412</v>
      </c>
      <c r="H298" s="94" t="str">
        <f>IF(G298&lt;&gt;"",IF(C298="float32",FLOAT2HEX(G298),DEC2HEX(G298,8)),"")</f>
        <v>00001524</v>
      </c>
      <c r="I298" s="94" t="str">
        <f t="shared" si="10"/>
        <v/>
      </c>
    </row>
    <row r="299" spans="1:9" x14ac:dyDescent="0.25">
      <c r="A299" s="96" t="str">
        <f>IF(I299&lt;&gt;"",MAX(A$1:A298)+1,"")</f>
        <v/>
      </c>
      <c r="B299" s="97" t="s">
        <v>2429</v>
      </c>
      <c r="C299" s="103" t="s">
        <v>57</v>
      </c>
      <c r="D299" s="103">
        <f t="shared" ref="D299:D362" si="11">IF(OR(C299="sint64",C299="uint64",C299="double64"), 8, IF(OR(C299="sint32",C299="uint32",C299="float32"),4,IF(OR(C299="sint16",C299="uint16"),2,  IF(OR(C299="sint8",C299="uint8"),1,""))))</f>
        <v>4</v>
      </c>
      <c r="E299" s="89" t="s">
        <v>2912</v>
      </c>
      <c r="G299" s="103">
        <f>ROUND((32768/BASE_ANGLE) * MTPVAngle_96,0)</f>
        <v>22963</v>
      </c>
      <c r="H299" s="94" t="str">
        <f>IF(G299&lt;&gt;"",IF(C299="float32",FLOAT2HEX(G299),DEC2HEX(G299,8)),"")</f>
        <v>000059B3</v>
      </c>
      <c r="I299" s="94" t="str">
        <f t="shared" si="10"/>
        <v/>
      </c>
    </row>
    <row r="300" spans="1:9" x14ac:dyDescent="0.25">
      <c r="A300" s="96" t="str">
        <f>IF(I300&lt;&gt;"",MAX(A$1:A299)+1,"")</f>
        <v/>
      </c>
      <c r="B300" s="97" t="s">
        <v>2430</v>
      </c>
      <c r="C300" s="103" t="s">
        <v>57</v>
      </c>
      <c r="D300" s="103">
        <f t="shared" si="11"/>
        <v>4</v>
      </c>
      <c r="E300" s="89" t="s">
        <v>2913</v>
      </c>
      <c r="G300" s="103">
        <f>ROUND((32768/BASE_FLUX) * MTPVFlux_97,0)</f>
        <v>12193</v>
      </c>
      <c r="H300" s="94" t="str">
        <f>IF(G300&lt;&gt;"",IF(C300="float32",FLOAT2HEX(G300),DEC2HEX(G300,8)),"")</f>
        <v>00002FA1</v>
      </c>
      <c r="I300" s="94" t="str">
        <f t="shared" si="10"/>
        <v/>
      </c>
    </row>
    <row r="301" spans="1:9" x14ac:dyDescent="0.25">
      <c r="A301" s="96" t="str">
        <f>IF(I301&lt;&gt;"",MAX(A$1:A300)+1,"")</f>
        <v/>
      </c>
      <c r="B301" s="74" t="s">
        <v>2431</v>
      </c>
      <c r="C301" s="103" t="s">
        <v>57</v>
      </c>
      <c r="D301" s="103">
        <f t="shared" si="11"/>
        <v>4</v>
      </c>
      <c r="E301" s="89" t="s">
        <v>2914</v>
      </c>
      <c r="G301" s="103">
        <f>ROUND((32768/BASE_TORQ) * MTPVTorque_97,0)</f>
        <v>5534</v>
      </c>
      <c r="H301" s="94" t="str">
        <f>IF(G301&lt;&gt;"",IF(C301="float32",FLOAT2HEX(G301),DEC2HEX(G301,8)),"")</f>
        <v>0000159E</v>
      </c>
      <c r="I301" s="94" t="str">
        <f t="shared" si="10"/>
        <v/>
      </c>
    </row>
    <row r="302" spans="1:9" x14ac:dyDescent="0.25">
      <c r="A302" s="96" t="str">
        <f>IF(I302&lt;&gt;"",MAX(A$1:A301)+1,"")</f>
        <v/>
      </c>
      <c r="B302" s="97" t="s">
        <v>2432</v>
      </c>
      <c r="C302" s="103" t="s">
        <v>57</v>
      </c>
      <c r="D302" s="103">
        <f t="shared" si="11"/>
        <v>4</v>
      </c>
      <c r="E302" s="89" t="s">
        <v>2915</v>
      </c>
      <c r="G302" s="103">
        <f>ROUND((32768/BASE_ANGLE) * MTPVAngle_97,0)</f>
        <v>22962</v>
      </c>
      <c r="H302" s="94" t="str">
        <f>IF(G302&lt;&gt;"",IF(C302="float32",FLOAT2HEX(G302),DEC2HEX(G302,8)),"")</f>
        <v>000059B2</v>
      </c>
      <c r="I302" s="94" t="str">
        <f t="shared" si="10"/>
        <v/>
      </c>
    </row>
    <row r="303" spans="1:9" x14ac:dyDescent="0.25">
      <c r="A303" s="96" t="str">
        <f>IF(I303&lt;&gt;"",MAX(A$1:A302)+1,"")</f>
        <v/>
      </c>
      <c r="B303" s="97" t="s">
        <v>2433</v>
      </c>
      <c r="C303" s="103" t="s">
        <v>57</v>
      </c>
      <c r="D303" s="103">
        <f t="shared" si="11"/>
        <v>4</v>
      </c>
      <c r="E303" s="89" t="s">
        <v>2916</v>
      </c>
      <c r="G303" s="103">
        <f>ROUND((32768/BASE_FLUX) * MTPVFlux_98,0)</f>
        <v>12310</v>
      </c>
      <c r="H303" s="94" t="str">
        <f>IF(G303&lt;&gt;"",IF(C303="float32",FLOAT2HEX(G303),DEC2HEX(G303,8)),"")</f>
        <v>00003016</v>
      </c>
      <c r="I303" s="94" t="str">
        <f t="shared" si="10"/>
        <v/>
      </c>
    </row>
    <row r="304" spans="1:9" x14ac:dyDescent="0.25">
      <c r="A304" s="96" t="str">
        <f>IF(I304&lt;&gt;"",MAX(A$1:A303)+1,"")</f>
        <v/>
      </c>
      <c r="B304" s="74" t="s">
        <v>2434</v>
      </c>
      <c r="C304" s="103" t="s">
        <v>57</v>
      </c>
      <c r="D304" s="103">
        <f t="shared" si="11"/>
        <v>4</v>
      </c>
      <c r="E304" s="89" t="s">
        <v>2917</v>
      </c>
      <c r="G304" s="103">
        <f>ROUND((32768/BASE_TORQ) * MTPVTorque_98,0)</f>
        <v>5657</v>
      </c>
      <c r="H304" s="94" t="str">
        <f>IF(G304&lt;&gt;"",IF(C304="float32",FLOAT2HEX(G304),DEC2HEX(G304,8)),"")</f>
        <v>00001619</v>
      </c>
      <c r="I304" s="94" t="str">
        <f t="shared" si="10"/>
        <v/>
      </c>
    </row>
    <row r="305" spans="1:9" x14ac:dyDescent="0.25">
      <c r="A305" s="96" t="str">
        <f>IF(I305&lt;&gt;"",MAX(A$1:A304)+1,"")</f>
        <v/>
      </c>
      <c r="B305" s="97" t="s">
        <v>2435</v>
      </c>
      <c r="C305" s="103" t="s">
        <v>57</v>
      </c>
      <c r="D305" s="103">
        <f t="shared" si="11"/>
        <v>4</v>
      </c>
      <c r="E305" s="89" t="s">
        <v>2918</v>
      </c>
      <c r="G305" s="103">
        <f>ROUND((32768/BASE_ANGLE) * MTPVAngle_98,0)</f>
        <v>22960</v>
      </c>
      <c r="H305" s="94" t="str">
        <f>IF(G305&lt;&gt;"",IF(C305="float32",FLOAT2HEX(G305),DEC2HEX(G305,8)),"")</f>
        <v>000059B0</v>
      </c>
      <c r="I305" s="94" t="str">
        <f t="shared" si="10"/>
        <v/>
      </c>
    </row>
    <row r="306" spans="1:9" x14ac:dyDescent="0.25">
      <c r="A306" s="96" t="str">
        <f>IF(I306&lt;&gt;"",MAX(A$1:A305)+1,"")</f>
        <v/>
      </c>
      <c r="B306" s="97" t="s">
        <v>2436</v>
      </c>
      <c r="C306" s="103" t="s">
        <v>57</v>
      </c>
      <c r="D306" s="103">
        <f t="shared" si="11"/>
        <v>4</v>
      </c>
      <c r="E306" s="89" t="s">
        <v>2919</v>
      </c>
      <c r="G306" s="103">
        <f>ROUND((32768/BASE_FLUX) * MTPVFlux_99,0)</f>
        <v>12427</v>
      </c>
      <c r="H306" s="94" t="str">
        <f>IF(G306&lt;&gt;"",IF(C306="float32",FLOAT2HEX(G306),DEC2HEX(G306,8)),"")</f>
        <v>0000308B</v>
      </c>
      <c r="I306" s="94" t="str">
        <f t="shared" si="10"/>
        <v/>
      </c>
    </row>
    <row r="307" spans="1:9" x14ac:dyDescent="0.25">
      <c r="A307" s="96" t="str">
        <f>IF(I307&lt;&gt;"",MAX(A$1:A306)+1,"")</f>
        <v/>
      </c>
      <c r="B307" s="74" t="s">
        <v>2437</v>
      </c>
      <c r="C307" s="103" t="s">
        <v>57</v>
      </c>
      <c r="D307" s="103">
        <f t="shared" si="11"/>
        <v>4</v>
      </c>
      <c r="E307" s="89" t="s">
        <v>2920</v>
      </c>
      <c r="G307" s="103">
        <f>ROUND((32768/BASE_TORQ) * MTPVTorque_99,0)</f>
        <v>5780</v>
      </c>
      <c r="H307" s="94" t="str">
        <f>IF(G307&lt;&gt;"",IF(C307="float32",FLOAT2HEX(G307),DEC2HEX(G307,8)),"")</f>
        <v>00001694</v>
      </c>
      <c r="I307" s="94" t="str">
        <f t="shared" si="10"/>
        <v/>
      </c>
    </row>
    <row r="308" spans="1:9" x14ac:dyDescent="0.25">
      <c r="A308" s="96" t="str">
        <f>IF(I308&lt;&gt;"",MAX(A$1:A307)+1,"")</f>
        <v/>
      </c>
      <c r="B308" s="97" t="s">
        <v>2438</v>
      </c>
      <c r="C308" s="103" t="s">
        <v>57</v>
      </c>
      <c r="D308" s="103">
        <f t="shared" si="11"/>
        <v>4</v>
      </c>
      <c r="E308" s="89" t="s">
        <v>2921</v>
      </c>
      <c r="G308" s="103">
        <f>ROUND((32768/BASE_ANGLE) * MTPVAngle_99,0)</f>
        <v>22958</v>
      </c>
      <c r="H308" s="94" t="str">
        <f>IF(G308&lt;&gt;"",IF(C308="float32",FLOAT2HEX(G308),DEC2HEX(G308,8)),"")</f>
        <v>000059AE</v>
      </c>
      <c r="I308" s="94" t="str">
        <f t="shared" si="10"/>
        <v/>
      </c>
    </row>
    <row r="309" spans="1:9" x14ac:dyDescent="0.25">
      <c r="A309" s="96" t="str">
        <f>IF(I309&lt;&gt;"",MAX(A$1:A308)+1,"")</f>
        <v/>
      </c>
      <c r="B309" s="97" t="s">
        <v>2439</v>
      </c>
      <c r="C309" s="103" t="s">
        <v>57</v>
      </c>
      <c r="D309" s="103">
        <f t="shared" si="11"/>
        <v>4</v>
      </c>
      <c r="E309" s="89" t="s">
        <v>2922</v>
      </c>
      <c r="G309" s="103">
        <f>ROUND((32768/BASE_FLUX) * MTPVFlux_100,0)</f>
        <v>12544</v>
      </c>
      <c r="H309" s="94" t="str">
        <f>IF(G309&lt;&gt;"",IF(C309="float32",FLOAT2HEX(G309),DEC2HEX(G309,8)),"")</f>
        <v>00003100</v>
      </c>
      <c r="I309" s="94" t="str">
        <f t="shared" si="10"/>
        <v/>
      </c>
    </row>
    <row r="310" spans="1:9" x14ac:dyDescent="0.25">
      <c r="A310" s="96" t="str">
        <f>IF(I310&lt;&gt;"",MAX(A$1:A309)+1,"")</f>
        <v/>
      </c>
      <c r="B310" s="74" t="s">
        <v>2440</v>
      </c>
      <c r="C310" s="103" t="s">
        <v>57</v>
      </c>
      <c r="D310" s="103">
        <f t="shared" si="11"/>
        <v>4</v>
      </c>
      <c r="E310" s="89" t="s">
        <v>2923</v>
      </c>
      <c r="G310" s="103">
        <f>ROUND((32768/BASE_TORQ) * MTPVTorque_100,0)</f>
        <v>5903</v>
      </c>
      <c r="H310" s="94" t="str">
        <f>IF(G310&lt;&gt;"",IF(C310="float32",FLOAT2HEX(G310),DEC2HEX(G310,8)),"")</f>
        <v>0000170F</v>
      </c>
      <c r="I310" s="94" t="str">
        <f t="shared" si="10"/>
        <v/>
      </c>
    </row>
    <row r="311" spans="1:9" x14ac:dyDescent="0.25">
      <c r="A311" s="96" t="str">
        <f>IF(I311&lt;&gt;"",MAX(A$1:A310)+1,"")</f>
        <v/>
      </c>
      <c r="B311" s="97" t="s">
        <v>2441</v>
      </c>
      <c r="C311" s="103" t="s">
        <v>57</v>
      </c>
      <c r="D311" s="103">
        <f t="shared" si="11"/>
        <v>4</v>
      </c>
      <c r="E311" s="89" t="s">
        <v>2924</v>
      </c>
      <c r="G311" s="103">
        <f>ROUND((32768/BASE_ANGLE) * MTPVAngle_100,0)</f>
        <v>22955</v>
      </c>
      <c r="H311" s="94" t="str">
        <f>IF(G311&lt;&gt;"",IF(C311="float32",FLOAT2HEX(G311),DEC2HEX(G311,8)),"")</f>
        <v>000059AB</v>
      </c>
      <c r="I311" s="94" t="str">
        <f t="shared" si="10"/>
        <v/>
      </c>
    </row>
    <row r="312" spans="1:9" x14ac:dyDescent="0.25">
      <c r="A312" s="96" t="str">
        <f>IF(I312&lt;&gt;"",MAX(A$1:A311)+1,"")</f>
        <v/>
      </c>
      <c r="B312" s="97" t="s">
        <v>2442</v>
      </c>
      <c r="C312" s="103" t="s">
        <v>57</v>
      </c>
      <c r="D312" s="103">
        <f t="shared" si="11"/>
        <v>4</v>
      </c>
      <c r="E312" s="89" t="s">
        <v>2925</v>
      </c>
      <c r="G312" s="103">
        <f>ROUND((32768/BASE_FLUX) * MTPVFlux_101,0)</f>
        <v>12662</v>
      </c>
      <c r="H312" s="94" t="str">
        <f>IF(G312&lt;&gt;"",IF(C312="float32",FLOAT2HEX(G312),DEC2HEX(G312,8)),"")</f>
        <v>00003176</v>
      </c>
      <c r="I312" s="94" t="str">
        <f t="shared" si="10"/>
        <v/>
      </c>
    </row>
    <row r="313" spans="1:9" x14ac:dyDescent="0.25">
      <c r="A313" s="96" t="str">
        <f>IF(I313&lt;&gt;"",MAX(A$1:A312)+1,"")</f>
        <v/>
      </c>
      <c r="B313" s="74" t="s">
        <v>2443</v>
      </c>
      <c r="C313" s="103" t="s">
        <v>57</v>
      </c>
      <c r="D313" s="103">
        <f t="shared" si="11"/>
        <v>4</v>
      </c>
      <c r="E313" s="89" t="s">
        <v>2926</v>
      </c>
      <c r="G313" s="103">
        <f>ROUND((32768/BASE_TORQ) * MTPVTorque_101,0)</f>
        <v>6026</v>
      </c>
      <c r="H313" s="94" t="str">
        <f>IF(G313&lt;&gt;"",IF(C313="float32",FLOAT2HEX(G313),DEC2HEX(G313,8)),"")</f>
        <v>0000178A</v>
      </c>
      <c r="I313" s="94" t="str">
        <f t="shared" si="10"/>
        <v/>
      </c>
    </row>
    <row r="314" spans="1:9" x14ac:dyDescent="0.25">
      <c r="A314" s="96" t="str">
        <f>IF(I314&lt;&gt;"",MAX(A$1:A313)+1,"")</f>
        <v/>
      </c>
      <c r="B314" s="97" t="s">
        <v>2444</v>
      </c>
      <c r="C314" s="103" t="s">
        <v>57</v>
      </c>
      <c r="D314" s="103">
        <f t="shared" si="11"/>
        <v>4</v>
      </c>
      <c r="E314" s="89" t="s">
        <v>2927</v>
      </c>
      <c r="G314" s="103">
        <f>ROUND((32768/BASE_ANGLE) * MTPVAngle_101,0)</f>
        <v>22952</v>
      </c>
      <c r="H314" s="94" t="str">
        <f>IF(G314&lt;&gt;"",IF(C314="float32",FLOAT2HEX(G314),DEC2HEX(G314,8)),"")</f>
        <v>000059A8</v>
      </c>
      <c r="I314" s="94" t="str">
        <f t="shared" si="10"/>
        <v/>
      </c>
    </row>
    <row r="315" spans="1:9" x14ac:dyDescent="0.25">
      <c r="A315" s="96" t="str">
        <f>IF(I315&lt;&gt;"",MAX(A$1:A314)+1,"")</f>
        <v/>
      </c>
      <c r="B315" s="97" t="s">
        <v>2445</v>
      </c>
      <c r="C315" s="103" t="s">
        <v>57</v>
      </c>
      <c r="D315" s="103">
        <f t="shared" si="11"/>
        <v>4</v>
      </c>
      <c r="E315" s="89" t="s">
        <v>2928</v>
      </c>
      <c r="G315" s="103">
        <f>ROUND((32768/BASE_FLUX) * MTPVFlux_102,0)</f>
        <v>12779</v>
      </c>
      <c r="H315" s="94" t="str">
        <f>IF(G315&lt;&gt;"",IF(C315="float32",FLOAT2HEX(G315),DEC2HEX(G315,8)),"")</f>
        <v>000031EB</v>
      </c>
      <c r="I315" s="94" t="str">
        <f t="shared" si="10"/>
        <v/>
      </c>
    </row>
    <row r="316" spans="1:9" x14ac:dyDescent="0.25">
      <c r="A316" s="96" t="str">
        <f>IF(I316&lt;&gt;"",MAX(A$1:A315)+1,"")</f>
        <v/>
      </c>
      <c r="B316" s="74" t="s">
        <v>2446</v>
      </c>
      <c r="C316" s="103" t="s">
        <v>57</v>
      </c>
      <c r="D316" s="103">
        <f t="shared" si="11"/>
        <v>4</v>
      </c>
      <c r="E316" s="89" t="s">
        <v>2929</v>
      </c>
      <c r="G316" s="103">
        <f>ROUND((32768/BASE_TORQ) * MTPVTorque_102,0)</f>
        <v>6150</v>
      </c>
      <c r="H316" s="94" t="str">
        <f>IF(G316&lt;&gt;"",IF(C316="float32",FLOAT2HEX(G316),DEC2HEX(G316,8)),"")</f>
        <v>00001806</v>
      </c>
      <c r="I316" s="94" t="str">
        <f t="shared" si="10"/>
        <v/>
      </c>
    </row>
    <row r="317" spans="1:9" x14ac:dyDescent="0.25">
      <c r="A317" s="96" t="str">
        <f>IF(I317&lt;&gt;"",MAX(A$1:A316)+1,"")</f>
        <v/>
      </c>
      <c r="B317" s="97" t="s">
        <v>2447</v>
      </c>
      <c r="C317" s="103" t="s">
        <v>57</v>
      </c>
      <c r="D317" s="103">
        <f t="shared" si="11"/>
        <v>4</v>
      </c>
      <c r="E317" s="89" t="s">
        <v>2930</v>
      </c>
      <c r="G317" s="103">
        <f>ROUND((32768/BASE_ANGLE) * MTPVAngle_102,0)</f>
        <v>22948</v>
      </c>
      <c r="H317" s="94" t="str">
        <f>IF(G317&lt;&gt;"",IF(C317="float32",FLOAT2HEX(G317),DEC2HEX(G317,8)),"")</f>
        <v>000059A4</v>
      </c>
      <c r="I317" s="94" t="str">
        <f t="shared" si="10"/>
        <v/>
      </c>
    </row>
    <row r="318" spans="1:9" x14ac:dyDescent="0.25">
      <c r="A318" s="96" t="str">
        <f>IF(I318&lt;&gt;"",MAX(A$1:A317)+1,"")</f>
        <v/>
      </c>
      <c r="B318" s="97" t="s">
        <v>2448</v>
      </c>
      <c r="C318" s="103" t="s">
        <v>57</v>
      </c>
      <c r="D318" s="103">
        <f t="shared" si="11"/>
        <v>4</v>
      </c>
      <c r="E318" s="89" t="s">
        <v>2931</v>
      </c>
      <c r="G318" s="103">
        <f>ROUND((32768/BASE_FLUX) * MTPVFlux_103,0)</f>
        <v>12896</v>
      </c>
      <c r="H318" s="94" t="str">
        <f>IF(G318&lt;&gt;"",IF(C318="float32",FLOAT2HEX(G318),DEC2HEX(G318,8)),"")</f>
        <v>00003260</v>
      </c>
      <c r="I318" s="94" t="str">
        <f t="shared" si="10"/>
        <v/>
      </c>
    </row>
    <row r="319" spans="1:9" x14ac:dyDescent="0.25">
      <c r="A319" s="96" t="str">
        <f>IF(I319&lt;&gt;"",MAX(A$1:A318)+1,"")</f>
        <v/>
      </c>
      <c r="B319" s="74" t="s">
        <v>2449</v>
      </c>
      <c r="C319" s="103" t="s">
        <v>57</v>
      </c>
      <c r="D319" s="103">
        <f t="shared" si="11"/>
        <v>4</v>
      </c>
      <c r="E319" s="89" t="s">
        <v>2932</v>
      </c>
      <c r="G319" s="103">
        <f>ROUND((32768/BASE_TORQ) * MTPVTorque_103,0)</f>
        <v>6274</v>
      </c>
      <c r="H319" s="94" t="str">
        <f>IF(G319&lt;&gt;"",IF(C319="float32",FLOAT2HEX(G319),DEC2HEX(G319,8)),"")</f>
        <v>00001882</v>
      </c>
      <c r="I319" s="94" t="str">
        <f t="shared" si="10"/>
        <v/>
      </c>
    </row>
    <row r="320" spans="1:9" x14ac:dyDescent="0.25">
      <c r="A320" s="96" t="str">
        <f>IF(I320&lt;&gt;"",MAX(A$1:A319)+1,"")</f>
        <v/>
      </c>
      <c r="B320" s="97" t="s">
        <v>2450</v>
      </c>
      <c r="C320" s="103" t="s">
        <v>57</v>
      </c>
      <c r="D320" s="103">
        <f t="shared" si="11"/>
        <v>4</v>
      </c>
      <c r="E320" s="89" t="s">
        <v>2933</v>
      </c>
      <c r="G320" s="103">
        <f>ROUND((32768/BASE_ANGLE) * MTPVAngle_103,0)</f>
        <v>22943</v>
      </c>
      <c r="H320" s="94" t="str">
        <f>IF(G320&lt;&gt;"",IF(C320="float32",FLOAT2HEX(G320),DEC2HEX(G320,8)),"")</f>
        <v>0000599F</v>
      </c>
      <c r="I320" s="94" t="str">
        <f t="shared" si="10"/>
        <v/>
      </c>
    </row>
    <row r="321" spans="1:9" x14ac:dyDescent="0.25">
      <c r="A321" s="96" t="str">
        <f>IF(I321&lt;&gt;"",MAX(A$1:A320)+1,"")</f>
        <v/>
      </c>
      <c r="B321" s="97" t="s">
        <v>2451</v>
      </c>
      <c r="C321" s="103" t="s">
        <v>57</v>
      </c>
      <c r="D321" s="103">
        <f t="shared" si="11"/>
        <v>4</v>
      </c>
      <c r="E321" s="89" t="s">
        <v>2934</v>
      </c>
      <c r="G321" s="103">
        <f>ROUND((32768/BASE_FLUX) * MTPVFlux_104,0)</f>
        <v>13013</v>
      </c>
      <c r="H321" s="94" t="str">
        <f>IF(G321&lt;&gt;"",IF(C321="float32",FLOAT2HEX(G321),DEC2HEX(G321,8)),"")</f>
        <v>000032D5</v>
      </c>
      <c r="I321" s="94" t="str">
        <f t="shared" si="10"/>
        <v/>
      </c>
    </row>
    <row r="322" spans="1:9" x14ac:dyDescent="0.25">
      <c r="A322" s="96" t="str">
        <f>IF(I322&lt;&gt;"",MAX(A$1:A321)+1,"")</f>
        <v/>
      </c>
      <c r="B322" s="74" t="s">
        <v>2452</v>
      </c>
      <c r="C322" s="103" t="s">
        <v>57</v>
      </c>
      <c r="D322" s="103">
        <f t="shared" si="11"/>
        <v>4</v>
      </c>
      <c r="E322" s="89" t="s">
        <v>2935</v>
      </c>
      <c r="G322" s="103">
        <f>ROUND((32768/BASE_TORQ) * MTPVTorque_104,0)</f>
        <v>6398</v>
      </c>
      <c r="H322" s="94" t="str">
        <f>IF(G322&lt;&gt;"",IF(C322="float32",FLOAT2HEX(G322),DEC2HEX(G322,8)),"")</f>
        <v>000018FE</v>
      </c>
      <c r="I322" s="94" t="str">
        <f t="shared" si="10"/>
        <v/>
      </c>
    </row>
    <row r="323" spans="1:9" x14ac:dyDescent="0.25">
      <c r="A323" s="96" t="str">
        <f>IF(I323&lt;&gt;"",MAX(A$1:A322)+1,"")</f>
        <v/>
      </c>
      <c r="B323" s="97" t="s">
        <v>2453</v>
      </c>
      <c r="C323" s="103" t="s">
        <v>57</v>
      </c>
      <c r="D323" s="103">
        <f t="shared" si="11"/>
        <v>4</v>
      </c>
      <c r="E323" s="89" t="s">
        <v>2936</v>
      </c>
      <c r="G323" s="103">
        <f>ROUND((32768/BASE_ANGLE) * MTPVAngle_104,0)</f>
        <v>22938</v>
      </c>
      <c r="H323" s="94" t="str">
        <f>IF(G323&lt;&gt;"",IF(C323="float32",FLOAT2HEX(G323),DEC2HEX(G323,8)),"")</f>
        <v>0000599A</v>
      </c>
      <c r="I323" s="94" t="str">
        <f t="shared" si="10"/>
        <v/>
      </c>
    </row>
    <row r="324" spans="1:9" x14ac:dyDescent="0.25">
      <c r="A324" s="96" t="str">
        <f>IF(I324&lt;&gt;"",MAX(A$1:A323)+1,"")</f>
        <v/>
      </c>
      <c r="B324" s="97" t="s">
        <v>2454</v>
      </c>
      <c r="C324" s="103" t="s">
        <v>57</v>
      </c>
      <c r="D324" s="103">
        <f t="shared" si="11"/>
        <v>4</v>
      </c>
      <c r="E324" s="89" t="s">
        <v>2937</v>
      </c>
      <c r="G324" s="103">
        <f>ROUND((32768/BASE_FLUX) * MTPVFlux_105,0)</f>
        <v>13131</v>
      </c>
      <c r="H324" s="94" t="str">
        <f>IF(G324&lt;&gt;"",IF(C324="float32",FLOAT2HEX(G324),DEC2HEX(G324,8)),"")</f>
        <v>0000334B</v>
      </c>
      <c r="I324" s="94" t="str">
        <f t="shared" si="10"/>
        <v/>
      </c>
    </row>
    <row r="325" spans="1:9" x14ac:dyDescent="0.25">
      <c r="A325" s="96" t="str">
        <f>IF(I325&lt;&gt;"",MAX(A$1:A324)+1,"")</f>
        <v/>
      </c>
      <c r="B325" s="74" t="s">
        <v>2455</v>
      </c>
      <c r="C325" s="103" t="s">
        <v>57</v>
      </c>
      <c r="D325" s="103">
        <f t="shared" si="11"/>
        <v>4</v>
      </c>
      <c r="E325" s="89" t="s">
        <v>2938</v>
      </c>
      <c r="G325" s="103">
        <f>ROUND((32768/BASE_TORQ) * MTPVTorque_105,0)</f>
        <v>6523</v>
      </c>
      <c r="H325" s="94" t="str">
        <f>IF(G325&lt;&gt;"",IF(C325="float32",FLOAT2HEX(G325),DEC2HEX(G325,8)),"")</f>
        <v>0000197B</v>
      </c>
      <c r="I325" s="94" t="str">
        <f t="shared" si="10"/>
        <v/>
      </c>
    </row>
    <row r="326" spans="1:9" x14ac:dyDescent="0.25">
      <c r="A326" s="96" t="str">
        <f>IF(I326&lt;&gt;"",MAX(A$1:A325)+1,"")</f>
        <v/>
      </c>
      <c r="B326" s="97" t="s">
        <v>2456</v>
      </c>
      <c r="C326" s="103" t="s">
        <v>57</v>
      </c>
      <c r="D326" s="103">
        <f t="shared" si="11"/>
        <v>4</v>
      </c>
      <c r="E326" s="89" t="s">
        <v>2939</v>
      </c>
      <c r="G326" s="103">
        <f>ROUND((32768/BASE_ANGLE) * MTPVAngle_105,0)</f>
        <v>22933</v>
      </c>
      <c r="H326" s="94" t="str">
        <f>IF(G326&lt;&gt;"",IF(C326="float32",FLOAT2HEX(G326),DEC2HEX(G326,8)),"")</f>
        <v>00005995</v>
      </c>
      <c r="I326" s="94" t="str">
        <f t="shared" si="10"/>
        <v/>
      </c>
    </row>
    <row r="327" spans="1:9" x14ac:dyDescent="0.25">
      <c r="A327" s="96" t="str">
        <f>IF(I327&lt;&gt;"",MAX(A$1:A326)+1,"")</f>
        <v/>
      </c>
      <c r="B327" s="97" t="s">
        <v>2457</v>
      </c>
      <c r="C327" s="103" t="s">
        <v>57</v>
      </c>
      <c r="D327" s="103">
        <f t="shared" si="11"/>
        <v>4</v>
      </c>
      <c r="E327" s="89" t="s">
        <v>2940</v>
      </c>
      <c r="G327" s="103">
        <f>ROUND((32768/BASE_FLUX) * MTPVFlux_106,0)</f>
        <v>13248</v>
      </c>
      <c r="H327" s="94" t="str">
        <f>IF(G327&lt;&gt;"",IF(C327="float32",FLOAT2HEX(G327),DEC2HEX(G327,8)),"")</f>
        <v>000033C0</v>
      </c>
      <c r="I327" s="94" t="str">
        <f t="shared" si="10"/>
        <v/>
      </c>
    </row>
    <row r="328" spans="1:9" x14ac:dyDescent="0.25">
      <c r="A328" s="96" t="str">
        <f>IF(I328&lt;&gt;"",MAX(A$1:A327)+1,"")</f>
        <v/>
      </c>
      <c r="B328" s="74" t="s">
        <v>2458</v>
      </c>
      <c r="C328" s="103" t="s">
        <v>57</v>
      </c>
      <c r="D328" s="103">
        <f t="shared" si="11"/>
        <v>4</v>
      </c>
      <c r="E328" s="89" t="s">
        <v>2941</v>
      </c>
      <c r="G328" s="103">
        <f>ROUND((32768/BASE_TORQ) * MTPVTorque_106,0)</f>
        <v>6647</v>
      </c>
      <c r="H328" s="94" t="str">
        <f>IF(G328&lt;&gt;"",IF(C328="float32",FLOAT2HEX(G328),DEC2HEX(G328,8)),"")</f>
        <v>000019F7</v>
      </c>
      <c r="I328" s="94" t="str">
        <f t="shared" si="10"/>
        <v/>
      </c>
    </row>
    <row r="329" spans="1:9" x14ac:dyDescent="0.25">
      <c r="A329" s="96" t="str">
        <f>IF(I329&lt;&gt;"",MAX(A$1:A328)+1,"")</f>
        <v/>
      </c>
      <c r="B329" s="97" t="s">
        <v>2459</v>
      </c>
      <c r="C329" s="103" t="s">
        <v>57</v>
      </c>
      <c r="D329" s="103">
        <f t="shared" si="11"/>
        <v>4</v>
      </c>
      <c r="E329" s="89" t="s">
        <v>2942</v>
      </c>
      <c r="G329" s="103">
        <f>ROUND((32768/BASE_ANGLE) * MTPVAngle_106,0)</f>
        <v>22927</v>
      </c>
      <c r="H329" s="94" t="str">
        <f>IF(G329&lt;&gt;"",IF(C329="float32",FLOAT2HEX(G329),DEC2HEX(G329,8)),"")</f>
        <v>0000598F</v>
      </c>
      <c r="I329" s="94" t="str">
        <f t="shared" si="10"/>
        <v/>
      </c>
    </row>
    <row r="330" spans="1:9" x14ac:dyDescent="0.25">
      <c r="A330" s="96" t="str">
        <f>IF(I330&lt;&gt;"",MAX(A$1:A329)+1,"")</f>
        <v/>
      </c>
      <c r="B330" s="97" t="s">
        <v>2460</v>
      </c>
      <c r="C330" s="103" t="s">
        <v>57</v>
      </c>
      <c r="D330" s="103">
        <f t="shared" si="11"/>
        <v>4</v>
      </c>
      <c r="E330" s="89" t="s">
        <v>2943</v>
      </c>
      <c r="G330" s="103">
        <f>ROUND((32768/BASE_FLUX) * MTPVFlux_107,0)</f>
        <v>13365</v>
      </c>
      <c r="H330" s="94" t="str">
        <f>IF(G330&lt;&gt;"",IF(C330="float32",FLOAT2HEX(G330),DEC2HEX(G330,8)),"")</f>
        <v>00003435</v>
      </c>
      <c r="I330" s="94" t="str">
        <f t="shared" ref="I330:I393" si="12">IF(AND(G330&lt;&gt;"",(ROW()-8)&lt;(($G$7+1)*3+1)),HEX2DEC(H330),"")</f>
        <v/>
      </c>
    </row>
    <row r="331" spans="1:9" x14ac:dyDescent="0.25">
      <c r="A331" s="96" t="str">
        <f>IF(I331&lt;&gt;"",MAX(A$1:A330)+1,"")</f>
        <v/>
      </c>
      <c r="B331" s="74" t="s">
        <v>2461</v>
      </c>
      <c r="C331" s="103" t="s">
        <v>57</v>
      </c>
      <c r="D331" s="103">
        <f t="shared" si="11"/>
        <v>4</v>
      </c>
      <c r="E331" s="89" t="s">
        <v>2944</v>
      </c>
      <c r="G331" s="103">
        <f>ROUND((32768/BASE_TORQ) * MTPVTorque_107,0)</f>
        <v>6772</v>
      </c>
      <c r="H331" s="94" t="str">
        <f>IF(G331&lt;&gt;"",IF(C331="float32",FLOAT2HEX(G331),DEC2HEX(G331,8)),"")</f>
        <v>00001A74</v>
      </c>
      <c r="I331" s="94" t="str">
        <f t="shared" si="12"/>
        <v/>
      </c>
    </row>
    <row r="332" spans="1:9" x14ac:dyDescent="0.25">
      <c r="A332" s="96" t="str">
        <f>IF(I332&lt;&gt;"",MAX(A$1:A331)+1,"")</f>
        <v/>
      </c>
      <c r="B332" s="97" t="s">
        <v>2462</v>
      </c>
      <c r="C332" s="103" t="s">
        <v>57</v>
      </c>
      <c r="D332" s="103">
        <f t="shared" si="11"/>
        <v>4</v>
      </c>
      <c r="E332" s="89" t="s">
        <v>2945</v>
      </c>
      <c r="G332" s="103">
        <f>ROUND((32768/BASE_ANGLE) * MTPVAngle_107,0)</f>
        <v>22921</v>
      </c>
      <c r="H332" s="94" t="str">
        <f>IF(G332&lt;&gt;"",IF(C332="float32",FLOAT2HEX(G332),DEC2HEX(G332,8)),"")</f>
        <v>00005989</v>
      </c>
      <c r="I332" s="94" t="str">
        <f t="shared" si="12"/>
        <v/>
      </c>
    </row>
    <row r="333" spans="1:9" x14ac:dyDescent="0.25">
      <c r="A333" s="96" t="str">
        <f>IF(I333&lt;&gt;"",MAX(A$1:A332)+1,"")</f>
        <v/>
      </c>
      <c r="B333" s="97" t="s">
        <v>2463</v>
      </c>
      <c r="C333" s="103" t="s">
        <v>57</v>
      </c>
      <c r="D333" s="103">
        <f t="shared" si="11"/>
        <v>4</v>
      </c>
      <c r="E333" s="89" t="s">
        <v>2946</v>
      </c>
      <c r="G333" s="103">
        <f>ROUND((32768/BASE_FLUX) * MTPVFlux_108,0)</f>
        <v>13482</v>
      </c>
      <c r="H333" s="94" t="str">
        <f>IF(G333&lt;&gt;"",IF(C333="float32",FLOAT2HEX(G333),DEC2HEX(G333,8)),"")</f>
        <v>000034AA</v>
      </c>
      <c r="I333" s="94" t="str">
        <f t="shared" si="12"/>
        <v/>
      </c>
    </row>
    <row r="334" spans="1:9" x14ac:dyDescent="0.25">
      <c r="A334" s="96" t="str">
        <f>IF(I334&lt;&gt;"",MAX(A$1:A333)+1,"")</f>
        <v/>
      </c>
      <c r="B334" s="74" t="s">
        <v>2464</v>
      </c>
      <c r="C334" s="103" t="s">
        <v>57</v>
      </c>
      <c r="D334" s="103">
        <f t="shared" si="11"/>
        <v>4</v>
      </c>
      <c r="E334" s="89" t="s">
        <v>2947</v>
      </c>
      <c r="G334" s="103">
        <f>ROUND((32768/BASE_TORQ) * MTPVTorque_108,0)</f>
        <v>6897</v>
      </c>
      <c r="H334" s="94" t="str">
        <f>IF(G334&lt;&gt;"",IF(C334="float32",FLOAT2HEX(G334),DEC2HEX(G334,8)),"")</f>
        <v>00001AF1</v>
      </c>
      <c r="I334" s="94" t="str">
        <f t="shared" si="12"/>
        <v/>
      </c>
    </row>
    <row r="335" spans="1:9" x14ac:dyDescent="0.25">
      <c r="A335" s="96" t="str">
        <f>IF(I335&lt;&gt;"",MAX(A$1:A334)+1,"")</f>
        <v/>
      </c>
      <c r="B335" s="97" t="s">
        <v>2465</v>
      </c>
      <c r="C335" s="103" t="s">
        <v>57</v>
      </c>
      <c r="D335" s="103">
        <f t="shared" si="11"/>
        <v>4</v>
      </c>
      <c r="E335" s="89" t="s">
        <v>2948</v>
      </c>
      <c r="G335" s="103">
        <f>ROUND((32768/BASE_ANGLE) * MTPVAngle_108,0)</f>
        <v>22915</v>
      </c>
      <c r="H335" s="94" t="str">
        <f>IF(G335&lt;&gt;"",IF(C335="float32",FLOAT2HEX(G335),DEC2HEX(G335,8)),"")</f>
        <v>00005983</v>
      </c>
      <c r="I335" s="94" t="str">
        <f t="shared" si="12"/>
        <v/>
      </c>
    </row>
    <row r="336" spans="1:9" x14ac:dyDescent="0.25">
      <c r="A336" s="96" t="str">
        <f>IF(I336&lt;&gt;"",MAX(A$1:A335)+1,"")</f>
        <v/>
      </c>
      <c r="B336" s="97" t="s">
        <v>2466</v>
      </c>
      <c r="C336" s="103" t="s">
        <v>57</v>
      </c>
      <c r="D336" s="103">
        <f t="shared" si="11"/>
        <v>4</v>
      </c>
      <c r="E336" s="89" t="s">
        <v>2949</v>
      </c>
      <c r="G336" s="103">
        <f>ROUND((32768/BASE_FLUX) * MTPVFlux_109,0)</f>
        <v>13600</v>
      </c>
      <c r="H336" s="94" t="str">
        <f>IF(G336&lt;&gt;"",IF(C336="float32",FLOAT2HEX(G336),DEC2HEX(G336,8)),"")</f>
        <v>00003520</v>
      </c>
      <c r="I336" s="94" t="str">
        <f t="shared" si="12"/>
        <v/>
      </c>
    </row>
    <row r="337" spans="1:9" x14ac:dyDescent="0.25">
      <c r="A337" s="96" t="str">
        <f>IF(I337&lt;&gt;"",MAX(A$1:A336)+1,"")</f>
        <v/>
      </c>
      <c r="B337" s="74" t="s">
        <v>2467</v>
      </c>
      <c r="C337" s="103" t="s">
        <v>57</v>
      </c>
      <c r="D337" s="103">
        <f t="shared" si="11"/>
        <v>4</v>
      </c>
      <c r="E337" s="89" t="s">
        <v>2950</v>
      </c>
      <c r="G337" s="103">
        <f>ROUND((32768/BASE_TORQ) * MTPVTorque_109,0)</f>
        <v>7022</v>
      </c>
      <c r="H337" s="94" t="str">
        <f>IF(G337&lt;&gt;"",IF(C337="float32",FLOAT2HEX(G337),DEC2HEX(G337,8)),"")</f>
        <v>00001B6E</v>
      </c>
      <c r="I337" s="94" t="str">
        <f t="shared" si="12"/>
        <v/>
      </c>
    </row>
    <row r="338" spans="1:9" x14ac:dyDescent="0.25">
      <c r="A338" s="96" t="str">
        <f>IF(I338&lt;&gt;"",MAX(A$1:A337)+1,"")</f>
        <v/>
      </c>
      <c r="B338" s="97" t="s">
        <v>2468</v>
      </c>
      <c r="C338" s="103" t="s">
        <v>57</v>
      </c>
      <c r="D338" s="103">
        <f t="shared" si="11"/>
        <v>4</v>
      </c>
      <c r="E338" s="89" t="s">
        <v>2951</v>
      </c>
      <c r="G338" s="103">
        <f>ROUND((32768/BASE_ANGLE) * MTPVAngle_109,0)</f>
        <v>22908</v>
      </c>
      <c r="H338" s="94" t="str">
        <f>IF(G338&lt;&gt;"",IF(C338="float32",FLOAT2HEX(G338),DEC2HEX(G338,8)),"")</f>
        <v>0000597C</v>
      </c>
      <c r="I338" s="94" t="str">
        <f t="shared" si="12"/>
        <v/>
      </c>
    </row>
    <row r="339" spans="1:9" x14ac:dyDescent="0.25">
      <c r="A339" s="96" t="str">
        <f>IF(I339&lt;&gt;"",MAX(A$1:A338)+1,"")</f>
        <v/>
      </c>
      <c r="B339" s="97" t="s">
        <v>2469</v>
      </c>
      <c r="C339" s="103" t="s">
        <v>57</v>
      </c>
      <c r="D339" s="103">
        <f t="shared" si="11"/>
        <v>4</v>
      </c>
      <c r="E339" s="89" t="s">
        <v>2952</v>
      </c>
      <c r="G339" s="103">
        <f>ROUND((32768/BASE_FLUX) * MTPVFlux_110,0)</f>
        <v>13717</v>
      </c>
      <c r="H339" s="94" t="str">
        <f>IF(G339&lt;&gt;"",IF(C339="float32",FLOAT2HEX(G339),DEC2HEX(G339,8)),"")</f>
        <v>00003595</v>
      </c>
      <c r="I339" s="94" t="str">
        <f t="shared" si="12"/>
        <v/>
      </c>
    </row>
    <row r="340" spans="1:9" x14ac:dyDescent="0.25">
      <c r="A340" s="96" t="str">
        <f>IF(I340&lt;&gt;"",MAX(A$1:A339)+1,"")</f>
        <v/>
      </c>
      <c r="B340" s="74" t="s">
        <v>2470</v>
      </c>
      <c r="C340" s="103" t="s">
        <v>57</v>
      </c>
      <c r="D340" s="103">
        <f t="shared" si="11"/>
        <v>4</v>
      </c>
      <c r="E340" s="89" t="s">
        <v>2953</v>
      </c>
      <c r="G340" s="103">
        <f>ROUND((32768/BASE_TORQ) * MTPVTorque_110,0)</f>
        <v>7147</v>
      </c>
      <c r="H340" s="94" t="str">
        <f>IF(G340&lt;&gt;"",IF(C340="float32",FLOAT2HEX(G340),DEC2HEX(G340,8)),"")</f>
        <v>00001BEB</v>
      </c>
      <c r="I340" s="94" t="str">
        <f t="shared" si="12"/>
        <v/>
      </c>
    </row>
    <row r="341" spans="1:9" x14ac:dyDescent="0.25">
      <c r="A341" s="96" t="str">
        <f>IF(I341&lt;&gt;"",MAX(A$1:A340)+1,"")</f>
        <v/>
      </c>
      <c r="B341" s="97" t="s">
        <v>2471</v>
      </c>
      <c r="C341" s="103" t="s">
        <v>57</v>
      </c>
      <c r="D341" s="103">
        <f t="shared" si="11"/>
        <v>4</v>
      </c>
      <c r="E341" s="89" t="s">
        <v>2954</v>
      </c>
      <c r="G341" s="103">
        <f>ROUND((32768/BASE_ANGLE) * MTPVAngle_110,0)</f>
        <v>22901</v>
      </c>
      <c r="H341" s="94" t="str">
        <f>IF(G341&lt;&gt;"",IF(C341="float32",FLOAT2HEX(G341),DEC2HEX(G341,8)),"")</f>
        <v>00005975</v>
      </c>
      <c r="I341" s="94" t="str">
        <f t="shared" si="12"/>
        <v/>
      </c>
    </row>
    <row r="342" spans="1:9" x14ac:dyDescent="0.25">
      <c r="A342" s="96" t="str">
        <f>IF(I342&lt;&gt;"",MAX(A$1:A341)+1,"")</f>
        <v/>
      </c>
      <c r="B342" s="97" t="s">
        <v>2472</v>
      </c>
      <c r="C342" s="103" t="s">
        <v>57</v>
      </c>
      <c r="D342" s="103">
        <f t="shared" si="11"/>
        <v>4</v>
      </c>
      <c r="E342" s="89" t="s">
        <v>2955</v>
      </c>
      <c r="G342" s="103">
        <f>ROUND((32768/BASE_FLUX) * MTPVFlux_111,0)</f>
        <v>13834</v>
      </c>
      <c r="H342" s="94" t="str">
        <f>IF(G342&lt;&gt;"",IF(C342="float32",FLOAT2HEX(G342),DEC2HEX(G342,8)),"")</f>
        <v>0000360A</v>
      </c>
      <c r="I342" s="94" t="str">
        <f t="shared" si="12"/>
        <v/>
      </c>
    </row>
    <row r="343" spans="1:9" x14ac:dyDescent="0.25">
      <c r="A343" s="96" t="str">
        <f>IF(I343&lt;&gt;"",MAX(A$1:A342)+1,"")</f>
        <v/>
      </c>
      <c r="B343" s="74" t="s">
        <v>2473</v>
      </c>
      <c r="C343" s="103" t="s">
        <v>57</v>
      </c>
      <c r="D343" s="103">
        <f t="shared" si="11"/>
        <v>4</v>
      </c>
      <c r="E343" s="89" t="s">
        <v>2956</v>
      </c>
      <c r="G343" s="103">
        <f>ROUND((32768/BASE_TORQ) * MTPVTorque_111,0)</f>
        <v>7272</v>
      </c>
      <c r="H343" s="94" t="str">
        <f>IF(G343&lt;&gt;"",IF(C343="float32",FLOAT2HEX(G343),DEC2HEX(G343,8)),"")</f>
        <v>00001C68</v>
      </c>
      <c r="I343" s="94" t="str">
        <f t="shared" si="12"/>
        <v/>
      </c>
    </row>
    <row r="344" spans="1:9" x14ac:dyDescent="0.25">
      <c r="A344" s="96" t="str">
        <f>IF(I344&lt;&gt;"",MAX(A$1:A343)+1,"")</f>
        <v/>
      </c>
      <c r="B344" s="97" t="s">
        <v>2474</v>
      </c>
      <c r="C344" s="103" t="s">
        <v>57</v>
      </c>
      <c r="D344" s="103">
        <f t="shared" si="11"/>
        <v>4</v>
      </c>
      <c r="E344" s="89" t="s">
        <v>2957</v>
      </c>
      <c r="G344" s="103">
        <f>ROUND((32768/BASE_ANGLE) * MTPVAngle_111,0)</f>
        <v>22894</v>
      </c>
      <c r="H344" s="94" t="str">
        <f>IF(G344&lt;&gt;"",IF(C344="float32",FLOAT2HEX(G344),DEC2HEX(G344,8)),"")</f>
        <v>0000596E</v>
      </c>
      <c r="I344" s="94" t="str">
        <f t="shared" si="12"/>
        <v/>
      </c>
    </row>
    <row r="345" spans="1:9" x14ac:dyDescent="0.25">
      <c r="A345" s="96" t="str">
        <f>IF(I345&lt;&gt;"",MAX(A$1:A344)+1,"")</f>
        <v/>
      </c>
      <c r="B345" s="97" t="s">
        <v>2475</v>
      </c>
      <c r="C345" s="103" t="s">
        <v>57</v>
      </c>
      <c r="D345" s="103">
        <f t="shared" si="11"/>
        <v>4</v>
      </c>
      <c r="E345" s="89" t="s">
        <v>2958</v>
      </c>
      <c r="G345" s="103">
        <f>ROUND((32768/BASE_FLUX) * MTPVFlux_112,0)</f>
        <v>13951</v>
      </c>
      <c r="H345" s="94" t="str">
        <f>IF(G345&lt;&gt;"",IF(C345="float32",FLOAT2HEX(G345),DEC2HEX(G345,8)),"")</f>
        <v>0000367F</v>
      </c>
      <c r="I345" s="94" t="str">
        <f t="shared" si="12"/>
        <v/>
      </c>
    </row>
    <row r="346" spans="1:9" x14ac:dyDescent="0.25">
      <c r="A346" s="96" t="str">
        <f>IF(I346&lt;&gt;"",MAX(A$1:A345)+1,"")</f>
        <v/>
      </c>
      <c r="B346" s="74" t="s">
        <v>2476</v>
      </c>
      <c r="C346" s="103" t="s">
        <v>57</v>
      </c>
      <c r="D346" s="103">
        <f t="shared" si="11"/>
        <v>4</v>
      </c>
      <c r="E346" s="89" t="s">
        <v>2959</v>
      </c>
      <c r="G346" s="103">
        <f>ROUND((32768/BASE_TORQ) * MTPVTorque_112,0)</f>
        <v>7398</v>
      </c>
      <c r="H346" s="94" t="str">
        <f>IF(G346&lt;&gt;"",IF(C346="float32",FLOAT2HEX(G346),DEC2HEX(G346,8)),"")</f>
        <v>00001CE6</v>
      </c>
      <c r="I346" s="94" t="str">
        <f t="shared" si="12"/>
        <v/>
      </c>
    </row>
    <row r="347" spans="1:9" x14ac:dyDescent="0.25">
      <c r="A347" s="96" t="str">
        <f>IF(I347&lt;&gt;"",MAX(A$1:A346)+1,"")</f>
        <v/>
      </c>
      <c r="B347" s="97" t="s">
        <v>2477</v>
      </c>
      <c r="C347" s="103" t="s">
        <v>57</v>
      </c>
      <c r="D347" s="103">
        <f t="shared" si="11"/>
        <v>4</v>
      </c>
      <c r="E347" s="89" t="s">
        <v>2960</v>
      </c>
      <c r="G347" s="103">
        <f>ROUND((32768/BASE_ANGLE) * MTPVAngle_112,0)</f>
        <v>22887</v>
      </c>
      <c r="H347" s="94" t="str">
        <f>IF(G347&lt;&gt;"",IF(C347="float32",FLOAT2HEX(G347),DEC2HEX(G347,8)),"")</f>
        <v>00005967</v>
      </c>
      <c r="I347" s="94" t="str">
        <f t="shared" si="12"/>
        <v/>
      </c>
    </row>
    <row r="348" spans="1:9" x14ac:dyDescent="0.25">
      <c r="A348" s="96" t="str">
        <f>IF(I348&lt;&gt;"",MAX(A$1:A347)+1,"")</f>
        <v/>
      </c>
      <c r="B348" s="97" t="s">
        <v>2478</v>
      </c>
      <c r="C348" s="103" t="s">
        <v>57</v>
      </c>
      <c r="D348" s="103">
        <f t="shared" si="11"/>
        <v>4</v>
      </c>
      <c r="E348" s="89" t="s">
        <v>2961</v>
      </c>
      <c r="G348" s="103">
        <f>ROUND((32768/BASE_FLUX) * MTPVFlux_113,0)</f>
        <v>14069</v>
      </c>
      <c r="H348" s="94" t="str">
        <f>IF(G348&lt;&gt;"",IF(C348="float32",FLOAT2HEX(G348),DEC2HEX(G348,8)),"")</f>
        <v>000036F5</v>
      </c>
      <c r="I348" s="94" t="str">
        <f t="shared" si="12"/>
        <v/>
      </c>
    </row>
    <row r="349" spans="1:9" x14ac:dyDescent="0.25">
      <c r="A349" s="96" t="str">
        <f>IF(I349&lt;&gt;"",MAX(A$1:A348)+1,"")</f>
        <v/>
      </c>
      <c r="B349" s="74" t="s">
        <v>2479</v>
      </c>
      <c r="C349" s="103" t="s">
        <v>57</v>
      </c>
      <c r="D349" s="103">
        <f t="shared" si="11"/>
        <v>4</v>
      </c>
      <c r="E349" s="89" t="s">
        <v>2962</v>
      </c>
      <c r="G349" s="103">
        <f>ROUND((32768/BASE_TORQ) * MTPVTorque_113,0)</f>
        <v>7523</v>
      </c>
      <c r="H349" s="94" t="str">
        <f>IF(G349&lt;&gt;"",IF(C349="float32",FLOAT2HEX(G349),DEC2HEX(G349,8)),"")</f>
        <v>00001D63</v>
      </c>
      <c r="I349" s="94" t="str">
        <f t="shared" si="12"/>
        <v/>
      </c>
    </row>
    <row r="350" spans="1:9" x14ac:dyDescent="0.25">
      <c r="A350" s="96" t="str">
        <f>IF(I350&lt;&gt;"",MAX(A$1:A349)+1,"")</f>
        <v/>
      </c>
      <c r="B350" s="97" t="s">
        <v>2480</v>
      </c>
      <c r="C350" s="103" t="s">
        <v>57</v>
      </c>
      <c r="D350" s="103">
        <f t="shared" si="11"/>
        <v>4</v>
      </c>
      <c r="E350" s="89" t="s">
        <v>2963</v>
      </c>
      <c r="G350" s="103">
        <f>ROUND((32768/BASE_ANGLE) * MTPVAngle_113,0)</f>
        <v>22879</v>
      </c>
      <c r="H350" s="94" t="str">
        <f>IF(G350&lt;&gt;"",IF(C350="float32",FLOAT2HEX(G350),DEC2HEX(G350,8)),"")</f>
        <v>0000595F</v>
      </c>
      <c r="I350" s="94" t="str">
        <f t="shared" si="12"/>
        <v/>
      </c>
    </row>
    <row r="351" spans="1:9" x14ac:dyDescent="0.25">
      <c r="A351" s="96" t="str">
        <f>IF(I351&lt;&gt;"",MAX(A$1:A350)+1,"")</f>
        <v/>
      </c>
      <c r="B351" s="97" t="s">
        <v>2481</v>
      </c>
      <c r="C351" s="103" t="s">
        <v>57</v>
      </c>
      <c r="D351" s="103">
        <f t="shared" si="11"/>
        <v>4</v>
      </c>
      <c r="E351" s="89" t="s">
        <v>2964</v>
      </c>
      <c r="G351" s="103">
        <f>ROUND((32768/BASE_FLUX) * MTPVFlux_114,0)</f>
        <v>14186</v>
      </c>
      <c r="H351" s="94" t="str">
        <f>IF(G351&lt;&gt;"",IF(C351="float32",FLOAT2HEX(G351),DEC2HEX(G351,8)),"")</f>
        <v>0000376A</v>
      </c>
      <c r="I351" s="94" t="str">
        <f t="shared" si="12"/>
        <v/>
      </c>
    </row>
    <row r="352" spans="1:9" x14ac:dyDescent="0.25">
      <c r="A352" s="96" t="str">
        <f>IF(I352&lt;&gt;"",MAX(A$1:A351)+1,"")</f>
        <v/>
      </c>
      <c r="B352" s="74" t="s">
        <v>2482</v>
      </c>
      <c r="C352" s="103" t="s">
        <v>57</v>
      </c>
      <c r="D352" s="103">
        <f t="shared" si="11"/>
        <v>4</v>
      </c>
      <c r="E352" s="89" t="s">
        <v>2965</v>
      </c>
      <c r="G352" s="103">
        <f>ROUND((32768/BASE_TORQ) * MTPVTorque_114,0)</f>
        <v>7648</v>
      </c>
      <c r="H352" s="94" t="str">
        <f>IF(G352&lt;&gt;"",IF(C352="float32",FLOAT2HEX(G352),DEC2HEX(G352,8)),"")</f>
        <v>00001DE0</v>
      </c>
      <c r="I352" s="94" t="str">
        <f t="shared" si="12"/>
        <v/>
      </c>
    </row>
    <row r="353" spans="1:9" x14ac:dyDescent="0.25">
      <c r="A353" s="96" t="str">
        <f>IF(I353&lt;&gt;"",MAX(A$1:A352)+1,"")</f>
        <v/>
      </c>
      <c r="B353" s="97" t="s">
        <v>2483</v>
      </c>
      <c r="C353" s="103" t="s">
        <v>57</v>
      </c>
      <c r="D353" s="103">
        <f t="shared" si="11"/>
        <v>4</v>
      </c>
      <c r="E353" s="89" t="s">
        <v>2966</v>
      </c>
      <c r="G353" s="103">
        <f>ROUND((32768/BASE_ANGLE) * MTPVAngle_114,0)</f>
        <v>22872</v>
      </c>
      <c r="H353" s="94" t="str">
        <f>IF(G353&lt;&gt;"",IF(C353="float32",FLOAT2HEX(G353),DEC2HEX(G353,8)),"")</f>
        <v>00005958</v>
      </c>
      <c r="I353" s="94" t="str">
        <f t="shared" si="12"/>
        <v/>
      </c>
    </row>
    <row r="354" spans="1:9" x14ac:dyDescent="0.25">
      <c r="A354" s="96" t="str">
        <f>IF(I354&lt;&gt;"",MAX(A$1:A353)+1,"")</f>
        <v/>
      </c>
      <c r="B354" s="97" t="s">
        <v>2484</v>
      </c>
      <c r="C354" s="103" t="s">
        <v>57</v>
      </c>
      <c r="D354" s="103">
        <f t="shared" si="11"/>
        <v>4</v>
      </c>
      <c r="E354" s="89" t="s">
        <v>2967</v>
      </c>
      <c r="G354" s="103">
        <f>ROUND((32768/BASE_FLUX) * MTPVFlux_115,0)</f>
        <v>14303</v>
      </c>
      <c r="H354" s="94" t="str">
        <f>IF(G354&lt;&gt;"",IF(C354="float32",FLOAT2HEX(G354),DEC2HEX(G354,8)),"")</f>
        <v>000037DF</v>
      </c>
      <c r="I354" s="94" t="str">
        <f t="shared" si="12"/>
        <v/>
      </c>
    </row>
    <row r="355" spans="1:9" x14ac:dyDescent="0.25">
      <c r="A355" s="96" t="str">
        <f>IF(I355&lt;&gt;"",MAX(A$1:A354)+1,"")</f>
        <v/>
      </c>
      <c r="B355" s="74" t="s">
        <v>2485</v>
      </c>
      <c r="C355" s="103" t="s">
        <v>57</v>
      </c>
      <c r="D355" s="103">
        <f t="shared" si="11"/>
        <v>4</v>
      </c>
      <c r="E355" s="89" t="s">
        <v>2968</v>
      </c>
      <c r="G355" s="103">
        <f>ROUND((32768/BASE_TORQ) * MTPVTorque_115,0)</f>
        <v>7774</v>
      </c>
      <c r="H355" s="94" t="str">
        <f>IF(G355&lt;&gt;"",IF(C355="float32",FLOAT2HEX(G355),DEC2HEX(G355,8)),"")</f>
        <v>00001E5E</v>
      </c>
      <c r="I355" s="94" t="str">
        <f t="shared" si="12"/>
        <v/>
      </c>
    </row>
    <row r="356" spans="1:9" x14ac:dyDescent="0.25">
      <c r="A356" s="96" t="str">
        <f>IF(I356&lt;&gt;"",MAX(A$1:A355)+1,"")</f>
        <v/>
      </c>
      <c r="B356" s="97" t="s">
        <v>2486</v>
      </c>
      <c r="C356" s="103" t="s">
        <v>57</v>
      </c>
      <c r="D356" s="103">
        <f t="shared" si="11"/>
        <v>4</v>
      </c>
      <c r="E356" s="89" t="s">
        <v>2969</v>
      </c>
      <c r="G356" s="103">
        <f>ROUND((32768/BASE_ANGLE) * MTPVAngle_115,0)</f>
        <v>22864</v>
      </c>
      <c r="H356" s="94" t="str">
        <f>IF(G356&lt;&gt;"",IF(C356="float32",FLOAT2HEX(G356),DEC2HEX(G356,8)),"")</f>
        <v>00005950</v>
      </c>
      <c r="I356" s="94" t="str">
        <f t="shared" si="12"/>
        <v/>
      </c>
    </row>
    <row r="357" spans="1:9" x14ac:dyDescent="0.25">
      <c r="A357" s="96" t="str">
        <f>IF(I357&lt;&gt;"",MAX(A$1:A356)+1,"")</f>
        <v/>
      </c>
      <c r="B357" s="97" t="s">
        <v>2487</v>
      </c>
      <c r="C357" s="103" t="s">
        <v>57</v>
      </c>
      <c r="D357" s="103">
        <f t="shared" si="11"/>
        <v>4</v>
      </c>
      <c r="E357" s="89" t="s">
        <v>2970</v>
      </c>
      <c r="G357" s="103">
        <f>ROUND((32768/BASE_FLUX) * MTPVFlux_116,0)</f>
        <v>14420</v>
      </c>
      <c r="H357" s="94" t="str">
        <f>IF(G357&lt;&gt;"",IF(C357="float32",FLOAT2HEX(G357),DEC2HEX(G357,8)),"")</f>
        <v>00003854</v>
      </c>
      <c r="I357" s="94" t="str">
        <f t="shared" si="12"/>
        <v/>
      </c>
    </row>
    <row r="358" spans="1:9" x14ac:dyDescent="0.25">
      <c r="A358" s="96" t="str">
        <f>IF(I358&lt;&gt;"",MAX(A$1:A357)+1,"")</f>
        <v/>
      </c>
      <c r="B358" s="74" t="s">
        <v>2488</v>
      </c>
      <c r="C358" s="103" t="s">
        <v>57</v>
      </c>
      <c r="D358" s="103">
        <f t="shared" si="11"/>
        <v>4</v>
      </c>
      <c r="E358" s="89" t="s">
        <v>2971</v>
      </c>
      <c r="G358" s="103">
        <f>ROUND((32768/BASE_TORQ) * MTPVTorque_116,0)</f>
        <v>7899</v>
      </c>
      <c r="H358" s="94" t="str">
        <f>IF(G358&lt;&gt;"",IF(C358="float32",FLOAT2HEX(G358),DEC2HEX(G358,8)),"")</f>
        <v>00001EDB</v>
      </c>
      <c r="I358" s="94" t="str">
        <f t="shared" si="12"/>
        <v/>
      </c>
    </row>
    <row r="359" spans="1:9" x14ac:dyDescent="0.25">
      <c r="A359" s="96" t="str">
        <f>IF(I359&lt;&gt;"",MAX(A$1:A358)+1,"")</f>
        <v/>
      </c>
      <c r="B359" s="97" t="s">
        <v>2489</v>
      </c>
      <c r="C359" s="103" t="s">
        <v>57</v>
      </c>
      <c r="D359" s="103">
        <f t="shared" si="11"/>
        <v>4</v>
      </c>
      <c r="E359" s="89" t="s">
        <v>2972</v>
      </c>
      <c r="G359" s="103">
        <f>ROUND((32768/BASE_ANGLE) * MTPVAngle_116,0)</f>
        <v>22856</v>
      </c>
      <c r="H359" s="94" t="str">
        <f>IF(G359&lt;&gt;"",IF(C359="float32",FLOAT2HEX(G359),DEC2HEX(G359,8)),"")</f>
        <v>00005948</v>
      </c>
      <c r="I359" s="94" t="str">
        <f t="shared" si="12"/>
        <v/>
      </c>
    </row>
    <row r="360" spans="1:9" x14ac:dyDescent="0.25">
      <c r="A360" s="96" t="str">
        <f>IF(I360&lt;&gt;"",MAX(A$1:A359)+1,"")</f>
        <v/>
      </c>
      <c r="B360" s="97" t="s">
        <v>2490</v>
      </c>
      <c r="C360" s="103" t="s">
        <v>57</v>
      </c>
      <c r="D360" s="103">
        <f t="shared" si="11"/>
        <v>4</v>
      </c>
      <c r="E360" s="89" t="s">
        <v>2973</v>
      </c>
      <c r="G360" s="103">
        <f>ROUND((32768/BASE_FLUX) * MTPVFlux_117,0)</f>
        <v>14538</v>
      </c>
      <c r="H360" s="94" t="str">
        <f>IF(G360&lt;&gt;"",IF(C360="float32",FLOAT2HEX(G360),DEC2HEX(G360,8)),"")</f>
        <v>000038CA</v>
      </c>
      <c r="I360" s="94" t="str">
        <f t="shared" si="12"/>
        <v/>
      </c>
    </row>
    <row r="361" spans="1:9" x14ac:dyDescent="0.25">
      <c r="A361" s="96" t="str">
        <f>IF(I361&lt;&gt;"",MAX(A$1:A360)+1,"")</f>
        <v/>
      </c>
      <c r="B361" s="74" t="s">
        <v>2491</v>
      </c>
      <c r="C361" s="103" t="s">
        <v>57</v>
      </c>
      <c r="D361" s="103">
        <f t="shared" si="11"/>
        <v>4</v>
      </c>
      <c r="E361" s="89" t="s">
        <v>2974</v>
      </c>
      <c r="G361" s="103">
        <f>ROUND((32768/BASE_TORQ) * MTPVTorque_117,0)</f>
        <v>8024</v>
      </c>
      <c r="H361" s="94" t="str">
        <f>IF(G361&lt;&gt;"",IF(C361="float32",FLOAT2HEX(G361),DEC2HEX(G361,8)),"")</f>
        <v>00001F58</v>
      </c>
      <c r="I361" s="94" t="str">
        <f t="shared" si="12"/>
        <v/>
      </c>
    </row>
    <row r="362" spans="1:9" x14ac:dyDescent="0.25">
      <c r="A362" s="96" t="str">
        <f>IF(I362&lt;&gt;"",MAX(A$1:A361)+1,"")</f>
        <v/>
      </c>
      <c r="B362" s="97" t="s">
        <v>2492</v>
      </c>
      <c r="C362" s="103" t="s">
        <v>57</v>
      </c>
      <c r="D362" s="103">
        <f t="shared" si="11"/>
        <v>4</v>
      </c>
      <c r="E362" s="89" t="s">
        <v>2975</v>
      </c>
      <c r="G362" s="103">
        <f>ROUND((32768/BASE_ANGLE) * MTPVAngle_117,0)</f>
        <v>22849</v>
      </c>
      <c r="H362" s="94" t="str">
        <f>IF(G362&lt;&gt;"",IF(C362="float32",FLOAT2HEX(G362),DEC2HEX(G362,8)),"")</f>
        <v>00005941</v>
      </c>
      <c r="I362" s="94" t="str">
        <f t="shared" si="12"/>
        <v/>
      </c>
    </row>
    <row r="363" spans="1:9" x14ac:dyDescent="0.25">
      <c r="A363" s="96" t="str">
        <f>IF(I363&lt;&gt;"",MAX(A$1:A362)+1,"")</f>
        <v/>
      </c>
      <c r="B363" s="97" t="s">
        <v>2493</v>
      </c>
      <c r="C363" s="103" t="s">
        <v>57</v>
      </c>
      <c r="D363" s="103">
        <f t="shared" ref="D363:D426" si="13">IF(OR(C363="sint64",C363="uint64",C363="double64"), 8, IF(OR(C363="sint32",C363="uint32",C363="float32"),4,IF(OR(C363="sint16",C363="uint16"),2,  IF(OR(C363="sint8",C363="uint8"),1,""))))</f>
        <v>4</v>
      </c>
      <c r="E363" s="89" t="s">
        <v>2976</v>
      </c>
      <c r="G363" s="103">
        <f>ROUND((32768/BASE_FLUX) * MTPVFlux_118,0)</f>
        <v>14655</v>
      </c>
      <c r="H363" s="94" t="str">
        <f>IF(G363&lt;&gt;"",IF(C363="float32",FLOAT2HEX(G363),DEC2HEX(G363,8)),"")</f>
        <v>0000393F</v>
      </c>
      <c r="I363" s="94" t="str">
        <f t="shared" si="12"/>
        <v/>
      </c>
    </row>
    <row r="364" spans="1:9" x14ac:dyDescent="0.25">
      <c r="A364" s="96" t="str">
        <f>IF(I364&lt;&gt;"",MAX(A$1:A363)+1,"")</f>
        <v/>
      </c>
      <c r="B364" s="74" t="s">
        <v>2494</v>
      </c>
      <c r="C364" s="103" t="s">
        <v>57</v>
      </c>
      <c r="D364" s="103">
        <f t="shared" si="13"/>
        <v>4</v>
      </c>
      <c r="E364" s="89" t="s">
        <v>2977</v>
      </c>
      <c r="G364" s="103">
        <f>ROUND((32768/BASE_TORQ) * MTPVTorque_118,0)</f>
        <v>8149</v>
      </c>
      <c r="H364" s="94" t="str">
        <f>IF(G364&lt;&gt;"",IF(C364="float32",FLOAT2HEX(G364),DEC2HEX(G364,8)),"")</f>
        <v>00001FD5</v>
      </c>
      <c r="I364" s="94" t="str">
        <f t="shared" si="12"/>
        <v/>
      </c>
    </row>
    <row r="365" spans="1:9" x14ac:dyDescent="0.25">
      <c r="A365" s="96" t="str">
        <f>IF(I365&lt;&gt;"",MAX(A$1:A364)+1,"")</f>
        <v/>
      </c>
      <c r="B365" s="97" t="s">
        <v>2495</v>
      </c>
      <c r="C365" s="103" t="s">
        <v>57</v>
      </c>
      <c r="D365" s="103">
        <f t="shared" si="13"/>
        <v>4</v>
      </c>
      <c r="E365" s="89" t="s">
        <v>2978</v>
      </c>
      <c r="G365" s="103">
        <f>ROUND((32768/BASE_ANGLE) * MTPVAngle_118,0)</f>
        <v>22841</v>
      </c>
      <c r="H365" s="94" t="str">
        <f>IF(G365&lt;&gt;"",IF(C365="float32",FLOAT2HEX(G365),DEC2HEX(G365,8)),"")</f>
        <v>00005939</v>
      </c>
      <c r="I365" s="94" t="str">
        <f t="shared" si="12"/>
        <v/>
      </c>
    </row>
    <row r="366" spans="1:9" x14ac:dyDescent="0.25">
      <c r="A366" s="96" t="str">
        <f>IF(I366&lt;&gt;"",MAX(A$1:A365)+1,"")</f>
        <v/>
      </c>
      <c r="B366" s="97" t="s">
        <v>2496</v>
      </c>
      <c r="C366" s="103" t="s">
        <v>57</v>
      </c>
      <c r="D366" s="103">
        <f t="shared" si="13"/>
        <v>4</v>
      </c>
      <c r="E366" s="89" t="s">
        <v>2979</v>
      </c>
      <c r="G366" s="103">
        <f>ROUND((32768/BASE_FLUX) * MTPVFlux_119,0)</f>
        <v>14772</v>
      </c>
      <c r="H366" s="94" t="str">
        <f>IF(G366&lt;&gt;"",IF(C366="float32",FLOAT2HEX(G366),DEC2HEX(G366,8)),"")</f>
        <v>000039B4</v>
      </c>
      <c r="I366" s="94" t="str">
        <f t="shared" si="12"/>
        <v/>
      </c>
    </row>
    <row r="367" spans="1:9" x14ac:dyDescent="0.25">
      <c r="A367" s="96" t="str">
        <f>IF(I367&lt;&gt;"",MAX(A$1:A366)+1,"")</f>
        <v/>
      </c>
      <c r="B367" s="74" t="s">
        <v>2497</v>
      </c>
      <c r="C367" s="103" t="s">
        <v>57</v>
      </c>
      <c r="D367" s="103">
        <f t="shared" si="13"/>
        <v>4</v>
      </c>
      <c r="E367" s="89" t="s">
        <v>2980</v>
      </c>
      <c r="G367" s="103">
        <f>ROUND((32768/BASE_TORQ) * MTPVTorque_119,0)</f>
        <v>8274</v>
      </c>
      <c r="H367" s="94" t="str">
        <f>IF(G367&lt;&gt;"",IF(C367="float32",FLOAT2HEX(G367),DEC2HEX(G367,8)),"")</f>
        <v>00002052</v>
      </c>
      <c r="I367" s="94" t="str">
        <f t="shared" si="12"/>
        <v/>
      </c>
    </row>
    <row r="368" spans="1:9" x14ac:dyDescent="0.25">
      <c r="A368" s="96" t="str">
        <f>IF(I368&lt;&gt;"",MAX(A$1:A367)+1,"")</f>
        <v/>
      </c>
      <c r="B368" s="97" t="s">
        <v>2498</v>
      </c>
      <c r="C368" s="103" t="s">
        <v>57</v>
      </c>
      <c r="D368" s="103">
        <f t="shared" si="13"/>
        <v>4</v>
      </c>
      <c r="E368" s="89" t="s">
        <v>2981</v>
      </c>
      <c r="G368" s="103">
        <f>ROUND((32768/BASE_ANGLE) * MTPVAngle_119,0)</f>
        <v>22833</v>
      </c>
      <c r="H368" s="94" t="str">
        <f>IF(G368&lt;&gt;"",IF(C368="float32",FLOAT2HEX(G368),DEC2HEX(G368,8)),"")</f>
        <v>00005931</v>
      </c>
      <c r="I368" s="94" t="str">
        <f t="shared" si="12"/>
        <v/>
      </c>
    </row>
    <row r="369" spans="1:9" x14ac:dyDescent="0.25">
      <c r="A369" s="96" t="str">
        <f>IF(I369&lt;&gt;"",MAX(A$1:A368)+1,"")</f>
        <v/>
      </c>
      <c r="B369" s="97" t="s">
        <v>2499</v>
      </c>
      <c r="C369" s="103" t="s">
        <v>57</v>
      </c>
      <c r="D369" s="103">
        <f t="shared" si="13"/>
        <v>4</v>
      </c>
      <c r="E369" s="89" t="s">
        <v>2982</v>
      </c>
      <c r="G369" s="103">
        <f>ROUND((32768/BASE_FLUX) * MTPVFlux_120,0)</f>
        <v>14889</v>
      </c>
      <c r="H369" s="94" t="str">
        <f>IF(G369&lt;&gt;"",IF(C369="float32",FLOAT2HEX(G369),DEC2HEX(G369,8)),"")</f>
        <v>00003A29</v>
      </c>
      <c r="I369" s="94" t="str">
        <f t="shared" si="12"/>
        <v/>
      </c>
    </row>
    <row r="370" spans="1:9" x14ac:dyDescent="0.25">
      <c r="A370" s="96" t="str">
        <f>IF(I370&lt;&gt;"",MAX(A$1:A369)+1,"")</f>
        <v/>
      </c>
      <c r="B370" s="74" t="s">
        <v>2500</v>
      </c>
      <c r="C370" s="103" t="s">
        <v>57</v>
      </c>
      <c r="D370" s="103">
        <f t="shared" si="13"/>
        <v>4</v>
      </c>
      <c r="E370" s="89" t="s">
        <v>2983</v>
      </c>
      <c r="G370" s="103">
        <f>ROUND((32768/BASE_TORQ) * MTPVTorque_120,0)</f>
        <v>8399</v>
      </c>
      <c r="H370" s="94" t="str">
        <f>IF(G370&lt;&gt;"",IF(C370="float32",FLOAT2HEX(G370),DEC2HEX(G370,8)),"")</f>
        <v>000020CF</v>
      </c>
      <c r="I370" s="94" t="str">
        <f t="shared" si="12"/>
        <v/>
      </c>
    </row>
    <row r="371" spans="1:9" x14ac:dyDescent="0.25">
      <c r="A371" s="96" t="str">
        <f>IF(I371&lt;&gt;"",MAX(A$1:A370)+1,"")</f>
        <v/>
      </c>
      <c r="B371" s="97" t="s">
        <v>2501</v>
      </c>
      <c r="C371" s="103" t="s">
        <v>57</v>
      </c>
      <c r="D371" s="103">
        <f t="shared" si="13"/>
        <v>4</v>
      </c>
      <c r="E371" s="89" t="s">
        <v>2984</v>
      </c>
      <c r="G371" s="103">
        <f>ROUND((32768/BASE_ANGLE) * MTPVAngle_120,0)</f>
        <v>22826</v>
      </c>
      <c r="H371" s="94" t="str">
        <f>IF(G371&lt;&gt;"",IF(C371="float32",FLOAT2HEX(G371),DEC2HEX(G371,8)),"")</f>
        <v>0000592A</v>
      </c>
      <c r="I371" s="94" t="str">
        <f t="shared" si="12"/>
        <v/>
      </c>
    </row>
    <row r="372" spans="1:9" x14ac:dyDescent="0.25">
      <c r="A372" s="96" t="str">
        <f>IF(I372&lt;&gt;"",MAX(A$1:A371)+1,"")</f>
        <v/>
      </c>
      <c r="B372" s="97" t="s">
        <v>2502</v>
      </c>
      <c r="C372" s="103" t="s">
        <v>57</v>
      </c>
      <c r="D372" s="103">
        <f t="shared" si="13"/>
        <v>4</v>
      </c>
      <c r="E372" s="89" t="s">
        <v>2985</v>
      </c>
      <c r="G372" s="103">
        <f>ROUND((32768/BASE_FLUX) * MTPVFlux_121,0)</f>
        <v>15006</v>
      </c>
      <c r="H372" s="94" t="str">
        <f>IF(G372&lt;&gt;"",IF(C372="float32",FLOAT2HEX(G372),DEC2HEX(G372,8)),"")</f>
        <v>00003A9E</v>
      </c>
      <c r="I372" s="94" t="str">
        <f t="shared" si="12"/>
        <v/>
      </c>
    </row>
    <row r="373" spans="1:9" x14ac:dyDescent="0.25">
      <c r="A373" s="96" t="str">
        <f>IF(I373&lt;&gt;"",MAX(A$1:A372)+1,"")</f>
        <v/>
      </c>
      <c r="B373" s="74" t="s">
        <v>2503</v>
      </c>
      <c r="C373" s="103" t="s">
        <v>57</v>
      </c>
      <c r="D373" s="103">
        <f t="shared" si="13"/>
        <v>4</v>
      </c>
      <c r="E373" s="89" t="s">
        <v>2986</v>
      </c>
      <c r="G373" s="103">
        <f>ROUND((32768/BASE_TORQ) * MTPVTorque_121,0)</f>
        <v>8524</v>
      </c>
      <c r="H373" s="94" t="str">
        <f>IF(G373&lt;&gt;"",IF(C373="float32",FLOAT2HEX(G373),DEC2HEX(G373,8)),"")</f>
        <v>0000214C</v>
      </c>
      <c r="I373" s="94" t="str">
        <f t="shared" si="12"/>
        <v/>
      </c>
    </row>
    <row r="374" spans="1:9" x14ac:dyDescent="0.25">
      <c r="A374" s="96" t="str">
        <f>IF(I374&lt;&gt;"",MAX(A$1:A373)+1,"")</f>
        <v/>
      </c>
      <c r="B374" s="97" t="s">
        <v>2504</v>
      </c>
      <c r="C374" s="103" t="s">
        <v>57</v>
      </c>
      <c r="D374" s="103">
        <f t="shared" si="13"/>
        <v>4</v>
      </c>
      <c r="E374" s="89" t="s">
        <v>2987</v>
      </c>
      <c r="G374" s="103">
        <f>ROUND((32768/BASE_ANGLE) * MTPVAngle_121,0)</f>
        <v>22818</v>
      </c>
      <c r="H374" s="94" t="str">
        <f>IF(G374&lt;&gt;"",IF(C374="float32",FLOAT2HEX(G374),DEC2HEX(G374,8)),"")</f>
        <v>00005922</v>
      </c>
      <c r="I374" s="94" t="str">
        <f t="shared" si="12"/>
        <v/>
      </c>
    </row>
    <row r="375" spans="1:9" x14ac:dyDescent="0.25">
      <c r="A375" s="96" t="str">
        <f>IF(I375&lt;&gt;"",MAX(A$1:A374)+1,"")</f>
        <v/>
      </c>
      <c r="B375" s="97" t="s">
        <v>2505</v>
      </c>
      <c r="C375" s="103" t="s">
        <v>57</v>
      </c>
      <c r="D375" s="103">
        <f t="shared" si="13"/>
        <v>4</v>
      </c>
      <c r="E375" s="89" t="s">
        <v>2988</v>
      </c>
      <c r="G375" s="103">
        <f>ROUND((32768/BASE_FLUX) * MTPVFlux_122,0)</f>
        <v>15124</v>
      </c>
      <c r="H375" s="94" t="str">
        <f>IF(G375&lt;&gt;"",IF(C375="float32",FLOAT2HEX(G375),DEC2HEX(G375,8)),"")</f>
        <v>00003B14</v>
      </c>
      <c r="I375" s="94" t="str">
        <f t="shared" si="12"/>
        <v/>
      </c>
    </row>
    <row r="376" spans="1:9" x14ac:dyDescent="0.25">
      <c r="A376" s="96" t="str">
        <f>IF(I376&lt;&gt;"",MAX(A$1:A375)+1,"")</f>
        <v/>
      </c>
      <c r="B376" s="74" t="s">
        <v>2506</v>
      </c>
      <c r="C376" s="103" t="s">
        <v>57</v>
      </c>
      <c r="D376" s="103">
        <f t="shared" si="13"/>
        <v>4</v>
      </c>
      <c r="E376" s="89" t="s">
        <v>2989</v>
      </c>
      <c r="G376" s="103">
        <f>ROUND((32768/BASE_TORQ) * MTPVTorque_122,0)</f>
        <v>8565</v>
      </c>
      <c r="H376" s="94" t="str">
        <f>IF(G376&lt;&gt;"",IF(C376="float32",FLOAT2HEX(G376),DEC2HEX(G376,8)),"")</f>
        <v>00002175</v>
      </c>
      <c r="I376" s="94" t="str">
        <f t="shared" si="12"/>
        <v/>
      </c>
    </row>
    <row r="377" spans="1:9" x14ac:dyDescent="0.25">
      <c r="A377" s="96" t="str">
        <f>IF(I377&lt;&gt;"",MAX(A$1:A376)+1,"")</f>
        <v/>
      </c>
      <c r="B377" s="97" t="s">
        <v>2507</v>
      </c>
      <c r="C377" s="103" t="s">
        <v>57</v>
      </c>
      <c r="D377" s="103">
        <f t="shared" si="13"/>
        <v>4</v>
      </c>
      <c r="E377" s="89" t="s">
        <v>2990</v>
      </c>
      <c r="G377" s="103">
        <f>ROUND((32768/BASE_ANGLE) * MTPVAngle_122,0)</f>
        <v>22811</v>
      </c>
      <c r="H377" s="94" t="str">
        <f>IF(G377&lt;&gt;"",IF(C377="float32",FLOAT2HEX(G377),DEC2HEX(G377,8)),"")</f>
        <v>0000591B</v>
      </c>
      <c r="I377" s="94" t="str">
        <f t="shared" si="12"/>
        <v/>
      </c>
    </row>
    <row r="378" spans="1:9" x14ac:dyDescent="0.25">
      <c r="A378" s="96" t="str">
        <f>IF(I378&lt;&gt;"",MAX(A$1:A377)+1,"")</f>
        <v/>
      </c>
      <c r="B378" s="97" t="s">
        <v>2508</v>
      </c>
      <c r="C378" s="103" t="s">
        <v>57</v>
      </c>
      <c r="D378" s="103">
        <f t="shared" si="13"/>
        <v>4</v>
      </c>
      <c r="E378" s="89" t="s">
        <v>2991</v>
      </c>
      <c r="G378" s="103">
        <f>ROUND((32768/BASE_FLUX) * MTPVFlux_123,0)</f>
        <v>15241</v>
      </c>
      <c r="H378" s="94" t="str">
        <f>IF(G378&lt;&gt;"",IF(C378="float32",FLOAT2HEX(G378),DEC2HEX(G378,8)),"")</f>
        <v>00003B89</v>
      </c>
      <c r="I378" s="94" t="str">
        <f t="shared" si="12"/>
        <v/>
      </c>
    </row>
    <row r="379" spans="1:9" x14ac:dyDescent="0.25">
      <c r="A379" s="96" t="str">
        <f>IF(I379&lt;&gt;"",MAX(A$1:A378)+1,"")</f>
        <v/>
      </c>
      <c r="B379" s="74" t="s">
        <v>2509</v>
      </c>
      <c r="C379" s="103" t="s">
        <v>57</v>
      </c>
      <c r="D379" s="103">
        <f t="shared" si="13"/>
        <v>4</v>
      </c>
      <c r="E379" s="89" t="s">
        <v>2992</v>
      </c>
      <c r="G379" s="103">
        <f>ROUND((32768/BASE_TORQ) * MTPVTorque_123,0)</f>
        <v>8565</v>
      </c>
      <c r="H379" s="94" t="str">
        <f>IF(G379&lt;&gt;"",IF(C379="float32",FLOAT2HEX(G379),DEC2HEX(G379,8)),"")</f>
        <v>00002175</v>
      </c>
      <c r="I379" s="94" t="str">
        <f t="shared" si="12"/>
        <v/>
      </c>
    </row>
    <row r="380" spans="1:9" x14ac:dyDescent="0.25">
      <c r="A380" s="96" t="str">
        <f>IF(I380&lt;&gt;"",MAX(A$1:A379)+1,"")</f>
        <v/>
      </c>
      <c r="B380" s="97" t="s">
        <v>2510</v>
      </c>
      <c r="C380" s="103" t="s">
        <v>57</v>
      </c>
      <c r="D380" s="103">
        <f t="shared" si="13"/>
        <v>4</v>
      </c>
      <c r="E380" s="89" t="s">
        <v>2993</v>
      </c>
      <c r="G380" s="103">
        <f>ROUND((32768/BASE_ANGLE) * MTPVAngle_123,0)</f>
        <v>22804</v>
      </c>
      <c r="H380" s="94" t="str">
        <f>IF(G380&lt;&gt;"",IF(C380="float32",FLOAT2HEX(G380),DEC2HEX(G380,8)),"")</f>
        <v>00005914</v>
      </c>
      <c r="I380" s="94" t="str">
        <f t="shared" si="12"/>
        <v/>
      </c>
    </row>
    <row r="381" spans="1:9" x14ac:dyDescent="0.25">
      <c r="A381" s="96" t="str">
        <f>IF(I381&lt;&gt;"",MAX(A$1:A380)+1,"")</f>
        <v/>
      </c>
      <c r="B381" s="97" t="s">
        <v>2511</v>
      </c>
      <c r="C381" s="103" t="s">
        <v>57</v>
      </c>
      <c r="D381" s="103">
        <f t="shared" si="13"/>
        <v>4</v>
      </c>
      <c r="E381" s="89" t="s">
        <v>2994</v>
      </c>
      <c r="G381" s="103">
        <f>ROUND((32768/BASE_FLUX) * MTPVFlux_124,0)</f>
        <v>15358</v>
      </c>
      <c r="H381" s="94" t="str">
        <f>IF(G381&lt;&gt;"",IF(C381="float32",FLOAT2HEX(G381),DEC2HEX(G381,8)),"")</f>
        <v>00003BFE</v>
      </c>
      <c r="I381" s="94" t="str">
        <f t="shared" si="12"/>
        <v/>
      </c>
    </row>
    <row r="382" spans="1:9" x14ac:dyDescent="0.25">
      <c r="A382" s="96" t="str">
        <f>IF(I382&lt;&gt;"",MAX(A$1:A381)+1,"")</f>
        <v/>
      </c>
      <c r="B382" s="74" t="s">
        <v>2512</v>
      </c>
      <c r="C382" s="103" t="s">
        <v>57</v>
      </c>
      <c r="D382" s="103">
        <f t="shared" si="13"/>
        <v>4</v>
      </c>
      <c r="E382" s="89" t="s">
        <v>2995</v>
      </c>
      <c r="G382" s="103">
        <f>ROUND((32768/BASE_TORQ) * MTPVTorque_124,0)</f>
        <v>8565</v>
      </c>
      <c r="H382" s="94" t="str">
        <f>IF(G382&lt;&gt;"",IF(C382="float32",FLOAT2HEX(G382),DEC2HEX(G382,8)),"")</f>
        <v>00002175</v>
      </c>
      <c r="I382" s="94" t="str">
        <f t="shared" si="12"/>
        <v/>
      </c>
    </row>
    <row r="383" spans="1:9" x14ac:dyDescent="0.25">
      <c r="A383" s="96" t="str">
        <f>IF(I383&lt;&gt;"",MAX(A$1:A382)+1,"")</f>
        <v/>
      </c>
      <c r="B383" s="97" t="s">
        <v>2513</v>
      </c>
      <c r="C383" s="103" t="s">
        <v>57</v>
      </c>
      <c r="D383" s="103">
        <f t="shared" si="13"/>
        <v>4</v>
      </c>
      <c r="E383" s="89" t="s">
        <v>2996</v>
      </c>
      <c r="G383" s="103">
        <f>ROUND((32768/BASE_ANGLE) * MTPVAngle_124,0)</f>
        <v>22797</v>
      </c>
      <c r="H383" s="94" t="str">
        <f>IF(G383&lt;&gt;"",IF(C383="float32",FLOAT2HEX(G383),DEC2HEX(G383,8)),"")</f>
        <v>0000590D</v>
      </c>
      <c r="I383" s="94" t="str">
        <f t="shared" si="12"/>
        <v/>
      </c>
    </row>
    <row r="384" spans="1:9" x14ac:dyDescent="0.25">
      <c r="A384" s="96" t="str">
        <f>IF(I384&lt;&gt;"",MAX(A$1:A383)+1,"")</f>
        <v/>
      </c>
      <c r="B384" s="97" t="s">
        <v>2514</v>
      </c>
      <c r="C384" s="103" t="s">
        <v>57</v>
      </c>
      <c r="D384" s="103">
        <f t="shared" si="13"/>
        <v>4</v>
      </c>
      <c r="E384" s="89" t="s">
        <v>2997</v>
      </c>
      <c r="G384" s="103">
        <f>ROUND((32768/BASE_FLUX) * MTPVFlux_125,0)</f>
        <v>15475</v>
      </c>
      <c r="H384" s="94" t="str">
        <f>IF(G384&lt;&gt;"",IF(C384="float32",FLOAT2HEX(G384),DEC2HEX(G384,8)),"")</f>
        <v>00003C73</v>
      </c>
      <c r="I384" s="94" t="str">
        <f t="shared" si="12"/>
        <v/>
      </c>
    </row>
    <row r="385" spans="1:9" x14ac:dyDescent="0.25">
      <c r="A385" s="96" t="str">
        <f>IF(I385&lt;&gt;"",MAX(A$1:A384)+1,"")</f>
        <v/>
      </c>
      <c r="B385" s="74" t="s">
        <v>2515</v>
      </c>
      <c r="C385" s="103" t="s">
        <v>57</v>
      </c>
      <c r="D385" s="103">
        <f t="shared" si="13"/>
        <v>4</v>
      </c>
      <c r="E385" s="89" t="s">
        <v>2998</v>
      </c>
      <c r="G385" s="103">
        <f>ROUND((32768/BASE_TORQ) * MTPVTorque_125,0)</f>
        <v>8565</v>
      </c>
      <c r="H385" s="94" t="str">
        <f>IF(G385&lt;&gt;"",IF(C385="float32",FLOAT2HEX(G385),DEC2HEX(G385,8)),"")</f>
        <v>00002175</v>
      </c>
      <c r="I385" s="94" t="str">
        <f t="shared" si="12"/>
        <v/>
      </c>
    </row>
    <row r="386" spans="1:9" x14ac:dyDescent="0.25">
      <c r="A386" s="96" t="str">
        <f>IF(I386&lt;&gt;"",MAX(A$1:A385)+1,"")</f>
        <v/>
      </c>
      <c r="B386" s="97" t="s">
        <v>2516</v>
      </c>
      <c r="C386" s="103" t="s">
        <v>57</v>
      </c>
      <c r="D386" s="103">
        <f t="shared" si="13"/>
        <v>4</v>
      </c>
      <c r="E386" s="89" t="s">
        <v>2999</v>
      </c>
      <c r="G386" s="103">
        <f>ROUND((32768/BASE_ANGLE) * MTPVAngle_125,0)</f>
        <v>22790</v>
      </c>
      <c r="H386" s="94" t="str">
        <f>IF(G386&lt;&gt;"",IF(C386="float32",FLOAT2HEX(G386),DEC2HEX(G386,8)),"")</f>
        <v>00005906</v>
      </c>
      <c r="I386" s="94" t="str">
        <f t="shared" si="12"/>
        <v/>
      </c>
    </row>
    <row r="387" spans="1:9" x14ac:dyDescent="0.25">
      <c r="A387" s="96" t="str">
        <f>IF(I387&lt;&gt;"",MAX(A$1:A386)+1,"")</f>
        <v/>
      </c>
      <c r="B387" s="97" t="s">
        <v>2517</v>
      </c>
      <c r="C387" s="103" t="s">
        <v>57</v>
      </c>
      <c r="D387" s="103">
        <f t="shared" si="13"/>
        <v>4</v>
      </c>
      <c r="E387" s="89" t="s">
        <v>3000</v>
      </c>
      <c r="G387" s="103">
        <f>ROUND((32768/BASE_FLUX) * MTPVFlux_126,0)</f>
        <v>15593</v>
      </c>
      <c r="H387" s="94" t="str">
        <f>IF(G387&lt;&gt;"",IF(C387="float32",FLOAT2HEX(G387),DEC2HEX(G387,8)),"")</f>
        <v>00003CE9</v>
      </c>
      <c r="I387" s="94" t="str">
        <f t="shared" si="12"/>
        <v/>
      </c>
    </row>
    <row r="388" spans="1:9" x14ac:dyDescent="0.25">
      <c r="A388" s="96" t="str">
        <f>IF(I388&lt;&gt;"",MAX(A$1:A387)+1,"")</f>
        <v/>
      </c>
      <c r="B388" s="74" t="s">
        <v>2518</v>
      </c>
      <c r="C388" s="103" t="s">
        <v>57</v>
      </c>
      <c r="D388" s="103">
        <f t="shared" si="13"/>
        <v>4</v>
      </c>
      <c r="E388" s="89" t="s">
        <v>3001</v>
      </c>
      <c r="G388" s="103">
        <f>ROUND((32768/BASE_TORQ) * MTPVTorque_126,0)</f>
        <v>8565</v>
      </c>
      <c r="H388" s="94" t="str">
        <f>IF(G388&lt;&gt;"",IF(C388="float32",FLOAT2HEX(G388),DEC2HEX(G388,8)),"")</f>
        <v>00002175</v>
      </c>
      <c r="I388" s="94" t="str">
        <f t="shared" si="12"/>
        <v/>
      </c>
    </row>
    <row r="389" spans="1:9" x14ac:dyDescent="0.25">
      <c r="A389" s="96" t="str">
        <f>IF(I389&lt;&gt;"",MAX(A$1:A388)+1,"")</f>
        <v/>
      </c>
      <c r="B389" s="97" t="s">
        <v>2519</v>
      </c>
      <c r="C389" s="103" t="s">
        <v>57</v>
      </c>
      <c r="D389" s="103">
        <f t="shared" si="13"/>
        <v>4</v>
      </c>
      <c r="E389" s="89" t="s">
        <v>3002</v>
      </c>
      <c r="G389" s="103">
        <f>ROUND((32768/BASE_ANGLE) * MTPVAngle_126,0)</f>
        <v>22783</v>
      </c>
      <c r="H389" s="94" t="str">
        <f>IF(G389&lt;&gt;"",IF(C389="float32",FLOAT2HEX(G389),DEC2HEX(G389,8)),"")</f>
        <v>000058FF</v>
      </c>
      <c r="I389" s="94" t="str">
        <f t="shared" si="12"/>
        <v/>
      </c>
    </row>
    <row r="390" spans="1:9" x14ac:dyDescent="0.25">
      <c r="A390" s="96" t="str">
        <f>IF(I390&lt;&gt;"",MAX(A$1:A389)+1,"")</f>
        <v/>
      </c>
      <c r="B390" s="97" t="s">
        <v>2520</v>
      </c>
      <c r="C390" s="103" t="s">
        <v>57</v>
      </c>
      <c r="D390" s="103">
        <f t="shared" si="13"/>
        <v>4</v>
      </c>
      <c r="E390" s="89" t="s">
        <v>3003</v>
      </c>
      <c r="G390" s="103">
        <f>ROUND((32768/BASE_FLUX) * MTPVFlux_127,0)</f>
        <v>15710</v>
      </c>
      <c r="H390" s="94" t="str">
        <f>IF(G390&lt;&gt;"",IF(C390="float32",FLOAT2HEX(G390),DEC2HEX(G390,8)),"")</f>
        <v>00003D5E</v>
      </c>
      <c r="I390" s="94" t="str">
        <f t="shared" si="12"/>
        <v/>
      </c>
    </row>
    <row r="391" spans="1:9" x14ac:dyDescent="0.25">
      <c r="A391" s="96" t="str">
        <f>IF(I391&lt;&gt;"",MAX(A$1:A390)+1,"")</f>
        <v/>
      </c>
      <c r="B391" s="74" t="s">
        <v>2521</v>
      </c>
      <c r="C391" s="103" t="s">
        <v>57</v>
      </c>
      <c r="D391" s="103">
        <f t="shared" si="13"/>
        <v>4</v>
      </c>
      <c r="E391" s="89" t="s">
        <v>3004</v>
      </c>
      <c r="G391" s="103">
        <f>ROUND((32768/BASE_TORQ) * MTPVTorque_127,0)</f>
        <v>8565</v>
      </c>
      <c r="H391" s="94" t="str">
        <f>IF(G391&lt;&gt;"",IF(C391="float32",FLOAT2HEX(G391),DEC2HEX(G391,8)),"")</f>
        <v>00002175</v>
      </c>
      <c r="I391" s="94" t="str">
        <f t="shared" si="12"/>
        <v/>
      </c>
    </row>
    <row r="392" spans="1:9" x14ac:dyDescent="0.25">
      <c r="A392" s="96" t="str">
        <f>IF(I392&lt;&gt;"",MAX(A$1:A391)+1,"")</f>
        <v/>
      </c>
      <c r="B392" s="97" t="s">
        <v>2522</v>
      </c>
      <c r="C392" s="103" t="s">
        <v>57</v>
      </c>
      <c r="D392" s="103">
        <f t="shared" si="13"/>
        <v>4</v>
      </c>
      <c r="E392" s="89" t="s">
        <v>3005</v>
      </c>
      <c r="G392" s="103">
        <f>ROUND((32768/BASE_ANGLE) * MTPVAngle_127,0)</f>
        <v>22777</v>
      </c>
      <c r="H392" s="94" t="str">
        <f>IF(G392&lt;&gt;"",IF(C392="float32",FLOAT2HEX(G392),DEC2HEX(G392,8)),"")</f>
        <v>000058F9</v>
      </c>
      <c r="I392" s="94" t="str">
        <f t="shared" si="12"/>
        <v/>
      </c>
    </row>
    <row r="393" spans="1:9" x14ac:dyDescent="0.25">
      <c r="A393" s="96" t="str">
        <f>IF(I393&lt;&gt;"",MAX(A$1:A392)+1,"")</f>
        <v/>
      </c>
      <c r="B393" s="97" t="s">
        <v>2523</v>
      </c>
      <c r="C393" s="103" t="s">
        <v>57</v>
      </c>
      <c r="D393" s="103">
        <f t="shared" si="13"/>
        <v>4</v>
      </c>
      <c r="E393" s="89" t="s">
        <v>3006</v>
      </c>
      <c r="G393" s="103">
        <f>ROUND((32768/BASE_FLUX) * MTPVFlux_128,0)</f>
        <v>15827</v>
      </c>
      <c r="H393" s="94" t="str">
        <f>IF(G393&lt;&gt;"",IF(C393="float32",FLOAT2HEX(G393),DEC2HEX(G393,8)),"")</f>
        <v>00003DD3</v>
      </c>
      <c r="I393" s="94" t="str">
        <f t="shared" si="12"/>
        <v/>
      </c>
    </row>
    <row r="394" spans="1:9" x14ac:dyDescent="0.25">
      <c r="A394" s="96" t="str">
        <f>IF(I394&lt;&gt;"",MAX(A$1:A393)+1,"")</f>
        <v/>
      </c>
      <c r="B394" s="74" t="s">
        <v>2524</v>
      </c>
      <c r="C394" s="103" t="s">
        <v>57</v>
      </c>
      <c r="D394" s="103">
        <f t="shared" si="13"/>
        <v>4</v>
      </c>
      <c r="E394" s="89" t="s">
        <v>3007</v>
      </c>
      <c r="G394" s="103">
        <f>ROUND((32768/BASE_TORQ) * MTPVTorque_128,0)</f>
        <v>8565</v>
      </c>
      <c r="H394" s="94" t="str">
        <f>IF(G394&lt;&gt;"",IF(C394="float32",FLOAT2HEX(G394),DEC2HEX(G394,8)),"")</f>
        <v>00002175</v>
      </c>
      <c r="I394" s="94" t="str">
        <f t="shared" ref="I394:I457" si="14">IF(AND(G394&lt;&gt;"",(ROW()-8)&lt;(($G$7+1)*3+1)),HEX2DEC(H394),"")</f>
        <v/>
      </c>
    </row>
    <row r="395" spans="1:9" x14ac:dyDescent="0.25">
      <c r="A395" s="96" t="str">
        <f>IF(I395&lt;&gt;"",MAX(A$1:A394)+1,"")</f>
        <v/>
      </c>
      <c r="B395" s="97" t="s">
        <v>2525</v>
      </c>
      <c r="C395" s="103" t="s">
        <v>57</v>
      </c>
      <c r="D395" s="103">
        <f t="shared" si="13"/>
        <v>4</v>
      </c>
      <c r="E395" s="89" t="s">
        <v>3008</v>
      </c>
      <c r="G395" s="103">
        <f>ROUND((32768/BASE_ANGLE) * MTPVAngle_128,0)</f>
        <v>22772</v>
      </c>
      <c r="H395" s="94" t="str">
        <f>IF(G395&lt;&gt;"",IF(C395="float32",FLOAT2HEX(G395),DEC2HEX(G395,8)),"")</f>
        <v>000058F4</v>
      </c>
      <c r="I395" s="94" t="str">
        <f t="shared" si="14"/>
        <v/>
      </c>
    </row>
    <row r="396" spans="1:9" x14ac:dyDescent="0.25">
      <c r="A396" s="96" t="str">
        <f>IF(I396&lt;&gt;"",MAX(A$1:A395)+1,"")</f>
        <v/>
      </c>
      <c r="B396" s="97" t="s">
        <v>2526</v>
      </c>
      <c r="C396" s="103" t="s">
        <v>57</v>
      </c>
      <c r="D396" s="103">
        <f t="shared" si="13"/>
        <v>4</v>
      </c>
      <c r="E396" s="89" t="s">
        <v>3009</v>
      </c>
      <c r="G396" s="103">
        <f>ROUND((32768/BASE_FLUX) * MTPVFlux_129,0)</f>
        <v>15944</v>
      </c>
      <c r="H396" s="94" t="str">
        <f>IF(G396&lt;&gt;"",IF(C396="float32",FLOAT2HEX(G396),DEC2HEX(G396,8)),"")</f>
        <v>00003E48</v>
      </c>
      <c r="I396" s="94" t="str">
        <f t="shared" si="14"/>
        <v/>
      </c>
    </row>
    <row r="397" spans="1:9" x14ac:dyDescent="0.25">
      <c r="A397" s="96" t="str">
        <f>IF(I397&lt;&gt;"",MAX(A$1:A396)+1,"")</f>
        <v/>
      </c>
      <c r="B397" s="74" t="s">
        <v>2527</v>
      </c>
      <c r="C397" s="103" t="s">
        <v>57</v>
      </c>
      <c r="D397" s="103">
        <f t="shared" si="13"/>
        <v>4</v>
      </c>
      <c r="E397" s="89" t="s">
        <v>3010</v>
      </c>
      <c r="G397" s="103">
        <f>ROUND((32768/BASE_TORQ) * MTPVTorque_129,0)</f>
        <v>8565</v>
      </c>
      <c r="H397" s="94" t="str">
        <f>IF(G397&lt;&gt;"",IF(C397="float32",FLOAT2HEX(G397),DEC2HEX(G397,8)),"")</f>
        <v>00002175</v>
      </c>
      <c r="I397" s="94" t="str">
        <f t="shared" si="14"/>
        <v/>
      </c>
    </row>
    <row r="398" spans="1:9" x14ac:dyDescent="0.25">
      <c r="A398" s="96" t="str">
        <f>IF(I398&lt;&gt;"",MAX(A$1:A397)+1,"")</f>
        <v/>
      </c>
      <c r="B398" s="97" t="s">
        <v>2528</v>
      </c>
      <c r="C398" s="103" t="s">
        <v>57</v>
      </c>
      <c r="D398" s="103">
        <f t="shared" si="13"/>
        <v>4</v>
      </c>
      <c r="E398" s="89" t="s">
        <v>3011</v>
      </c>
      <c r="G398" s="103">
        <f>ROUND((32768/BASE_ANGLE) * MTPVAngle_129,0)</f>
        <v>22766</v>
      </c>
      <c r="H398" s="94" t="str">
        <f>IF(G398&lt;&gt;"",IF(C398="float32",FLOAT2HEX(G398),DEC2HEX(G398,8)),"")</f>
        <v>000058EE</v>
      </c>
      <c r="I398" s="94" t="str">
        <f t="shared" si="14"/>
        <v/>
      </c>
    </row>
    <row r="399" spans="1:9" x14ac:dyDescent="0.25">
      <c r="A399" s="96" t="str">
        <f>IF(I399&lt;&gt;"",MAX(A$1:A398)+1,"")</f>
        <v/>
      </c>
      <c r="B399" s="97" t="s">
        <v>2529</v>
      </c>
      <c r="C399" s="103" t="s">
        <v>57</v>
      </c>
      <c r="D399" s="103">
        <f t="shared" si="13"/>
        <v>4</v>
      </c>
      <c r="E399" s="89" t="s">
        <v>3012</v>
      </c>
      <c r="G399" s="103">
        <f>ROUND((32768/BASE_FLUX) * MTPVFlux_130,0)</f>
        <v>16062</v>
      </c>
      <c r="H399" s="94" t="str">
        <f>IF(G399&lt;&gt;"",IF(C399="float32",FLOAT2HEX(G399),DEC2HEX(G399,8)),"")</f>
        <v>00003EBE</v>
      </c>
      <c r="I399" s="94" t="str">
        <f t="shared" si="14"/>
        <v/>
      </c>
    </row>
    <row r="400" spans="1:9" x14ac:dyDescent="0.25">
      <c r="A400" s="96" t="str">
        <f>IF(I400&lt;&gt;"",MAX(A$1:A399)+1,"")</f>
        <v/>
      </c>
      <c r="B400" s="74" t="s">
        <v>2530</v>
      </c>
      <c r="C400" s="103" t="s">
        <v>57</v>
      </c>
      <c r="D400" s="103">
        <f t="shared" si="13"/>
        <v>4</v>
      </c>
      <c r="E400" s="89" t="s">
        <v>3013</v>
      </c>
      <c r="G400" s="103">
        <f>ROUND((32768/BASE_TORQ) * MTPVTorque_130,0)</f>
        <v>8565</v>
      </c>
      <c r="H400" s="94" t="str">
        <f>IF(G400&lt;&gt;"",IF(C400="float32",FLOAT2HEX(G400),DEC2HEX(G400,8)),"")</f>
        <v>00002175</v>
      </c>
      <c r="I400" s="94" t="str">
        <f t="shared" si="14"/>
        <v/>
      </c>
    </row>
    <row r="401" spans="1:9" x14ac:dyDescent="0.25">
      <c r="A401" s="96" t="str">
        <f>IF(I401&lt;&gt;"",MAX(A$1:A400)+1,"")</f>
        <v/>
      </c>
      <c r="B401" s="97" t="s">
        <v>2531</v>
      </c>
      <c r="C401" s="103" t="s">
        <v>57</v>
      </c>
      <c r="D401" s="103">
        <f t="shared" si="13"/>
        <v>4</v>
      </c>
      <c r="E401" s="89" t="s">
        <v>3014</v>
      </c>
      <c r="G401" s="103">
        <f>ROUND((32768/BASE_ANGLE) * MTPVAngle_130,0)</f>
        <v>22761</v>
      </c>
      <c r="H401" s="94" t="str">
        <f>IF(G401&lt;&gt;"",IF(C401="float32",FLOAT2HEX(G401),DEC2HEX(G401,8)),"")</f>
        <v>000058E9</v>
      </c>
      <c r="I401" s="94" t="str">
        <f t="shared" si="14"/>
        <v/>
      </c>
    </row>
    <row r="402" spans="1:9" x14ac:dyDescent="0.25">
      <c r="A402" s="96" t="str">
        <f>IF(I402&lt;&gt;"",MAX(A$1:A401)+1,"")</f>
        <v/>
      </c>
      <c r="B402" s="97" t="s">
        <v>2532</v>
      </c>
      <c r="C402" s="103" t="s">
        <v>57</v>
      </c>
      <c r="D402" s="103">
        <f t="shared" si="13"/>
        <v>4</v>
      </c>
      <c r="E402" s="89" t="s">
        <v>3015</v>
      </c>
      <c r="G402" s="103">
        <f>ROUND((32768/BASE_FLUX) * MTPVFlux_131,0)</f>
        <v>16179</v>
      </c>
      <c r="H402" s="94" t="str">
        <f>IF(G402&lt;&gt;"",IF(C402="float32",FLOAT2HEX(G402),DEC2HEX(G402,8)),"")</f>
        <v>00003F33</v>
      </c>
      <c r="I402" s="94" t="str">
        <f t="shared" si="14"/>
        <v/>
      </c>
    </row>
    <row r="403" spans="1:9" x14ac:dyDescent="0.25">
      <c r="A403" s="96" t="str">
        <f>IF(I403&lt;&gt;"",MAX(A$1:A402)+1,"")</f>
        <v/>
      </c>
      <c r="B403" s="74" t="s">
        <v>2533</v>
      </c>
      <c r="C403" s="103" t="s">
        <v>57</v>
      </c>
      <c r="D403" s="103">
        <f t="shared" si="13"/>
        <v>4</v>
      </c>
      <c r="E403" s="89" t="s">
        <v>3016</v>
      </c>
      <c r="G403" s="103">
        <f>ROUND((32768/BASE_TORQ) * MTPVTorque_131,0)</f>
        <v>8565</v>
      </c>
      <c r="H403" s="94" t="str">
        <f>IF(G403&lt;&gt;"",IF(C403="float32",FLOAT2HEX(G403),DEC2HEX(G403,8)),"")</f>
        <v>00002175</v>
      </c>
      <c r="I403" s="94" t="str">
        <f t="shared" si="14"/>
        <v/>
      </c>
    </row>
    <row r="404" spans="1:9" x14ac:dyDescent="0.25">
      <c r="A404" s="96" t="str">
        <f>IF(I404&lt;&gt;"",MAX(A$1:A403)+1,"")</f>
        <v/>
      </c>
      <c r="B404" s="97" t="s">
        <v>2534</v>
      </c>
      <c r="C404" s="103" t="s">
        <v>57</v>
      </c>
      <c r="D404" s="103">
        <f t="shared" si="13"/>
        <v>4</v>
      </c>
      <c r="E404" s="89" t="s">
        <v>3017</v>
      </c>
      <c r="G404" s="103">
        <f>ROUND((32768/BASE_ANGLE) * MTPVAngle_131,0)</f>
        <v>22757</v>
      </c>
      <c r="H404" s="94" t="str">
        <f>IF(G404&lt;&gt;"",IF(C404="float32",FLOAT2HEX(G404),DEC2HEX(G404,8)),"")</f>
        <v>000058E5</v>
      </c>
      <c r="I404" s="94" t="str">
        <f t="shared" si="14"/>
        <v/>
      </c>
    </row>
    <row r="405" spans="1:9" x14ac:dyDescent="0.25">
      <c r="A405" s="96" t="str">
        <f>IF(I405&lt;&gt;"",MAX(A$1:A404)+1,"")</f>
        <v/>
      </c>
      <c r="B405" s="97" t="s">
        <v>2535</v>
      </c>
      <c r="C405" s="103" t="s">
        <v>57</v>
      </c>
      <c r="D405" s="103">
        <f t="shared" si="13"/>
        <v>4</v>
      </c>
      <c r="E405" s="89" t="s">
        <v>3018</v>
      </c>
      <c r="G405" s="103">
        <f>ROUND((32768/BASE_FLUX) * MTPVFlux_132,0)</f>
        <v>16296</v>
      </c>
      <c r="H405" s="94" t="str">
        <f>IF(G405&lt;&gt;"",IF(C405="float32",FLOAT2HEX(G405),DEC2HEX(G405,8)),"")</f>
        <v>00003FA8</v>
      </c>
      <c r="I405" s="94" t="str">
        <f t="shared" si="14"/>
        <v/>
      </c>
    </row>
    <row r="406" spans="1:9" x14ac:dyDescent="0.25">
      <c r="A406" s="96" t="str">
        <f>IF(I406&lt;&gt;"",MAX(A$1:A405)+1,"")</f>
        <v/>
      </c>
      <c r="B406" s="74" t="s">
        <v>2536</v>
      </c>
      <c r="C406" s="103" t="s">
        <v>57</v>
      </c>
      <c r="D406" s="103">
        <f t="shared" si="13"/>
        <v>4</v>
      </c>
      <c r="E406" s="89" t="s">
        <v>3019</v>
      </c>
      <c r="G406" s="103">
        <f>ROUND((32768/BASE_TORQ) * MTPVTorque_132,0)</f>
        <v>8565</v>
      </c>
      <c r="H406" s="94" t="str">
        <f>IF(G406&lt;&gt;"",IF(C406="float32",FLOAT2HEX(G406),DEC2HEX(G406,8)),"")</f>
        <v>00002175</v>
      </c>
      <c r="I406" s="94" t="str">
        <f t="shared" si="14"/>
        <v/>
      </c>
    </row>
    <row r="407" spans="1:9" x14ac:dyDescent="0.25">
      <c r="A407" s="96" t="str">
        <f>IF(I407&lt;&gt;"",MAX(A$1:A406)+1,"")</f>
        <v/>
      </c>
      <c r="B407" s="97" t="s">
        <v>2537</v>
      </c>
      <c r="C407" s="103" t="s">
        <v>57</v>
      </c>
      <c r="D407" s="103">
        <f t="shared" si="13"/>
        <v>4</v>
      </c>
      <c r="E407" s="89" t="s">
        <v>3020</v>
      </c>
      <c r="G407" s="103">
        <f>ROUND((32768/BASE_ANGLE) * MTPVAngle_132,0)</f>
        <v>22753</v>
      </c>
      <c r="H407" s="94" t="str">
        <f>IF(G407&lt;&gt;"",IF(C407="float32",FLOAT2HEX(G407),DEC2HEX(G407,8)),"")</f>
        <v>000058E1</v>
      </c>
      <c r="I407" s="94" t="str">
        <f t="shared" si="14"/>
        <v/>
      </c>
    </row>
    <row r="408" spans="1:9" x14ac:dyDescent="0.25">
      <c r="A408" s="96" t="str">
        <f>IF(I408&lt;&gt;"",MAX(A$1:A407)+1,"")</f>
        <v/>
      </c>
      <c r="B408" s="97" t="s">
        <v>2538</v>
      </c>
      <c r="C408" s="103" t="s">
        <v>57</v>
      </c>
      <c r="D408" s="103">
        <f t="shared" si="13"/>
        <v>4</v>
      </c>
      <c r="E408" s="89" t="s">
        <v>3021</v>
      </c>
      <c r="G408" s="103">
        <f>ROUND((32768/BASE_FLUX) * MTPVFlux_133,0)</f>
        <v>16413</v>
      </c>
      <c r="H408" s="94" t="str">
        <f>IF(G408&lt;&gt;"",IF(C408="float32",FLOAT2HEX(G408),DEC2HEX(G408,8)),"")</f>
        <v>0000401D</v>
      </c>
      <c r="I408" s="94" t="str">
        <f t="shared" si="14"/>
        <v/>
      </c>
    </row>
    <row r="409" spans="1:9" x14ac:dyDescent="0.25">
      <c r="A409" s="96" t="str">
        <f>IF(I409&lt;&gt;"",MAX(A$1:A408)+1,"")</f>
        <v/>
      </c>
      <c r="B409" s="74" t="s">
        <v>2539</v>
      </c>
      <c r="C409" s="103" t="s">
        <v>57</v>
      </c>
      <c r="D409" s="103">
        <f t="shared" si="13"/>
        <v>4</v>
      </c>
      <c r="E409" s="89" t="s">
        <v>3022</v>
      </c>
      <c r="G409" s="103">
        <f>ROUND((32768/BASE_TORQ) * MTPVTorque_133,0)</f>
        <v>8565</v>
      </c>
      <c r="H409" s="94" t="str">
        <f>IF(G409&lt;&gt;"",IF(C409="float32",FLOAT2HEX(G409),DEC2HEX(G409,8)),"")</f>
        <v>00002175</v>
      </c>
      <c r="I409" s="94" t="str">
        <f t="shared" si="14"/>
        <v/>
      </c>
    </row>
    <row r="410" spans="1:9" x14ac:dyDescent="0.25">
      <c r="A410" s="96" t="str">
        <f>IF(I410&lt;&gt;"",MAX(A$1:A409)+1,"")</f>
        <v/>
      </c>
      <c r="B410" s="97" t="s">
        <v>2540</v>
      </c>
      <c r="C410" s="103" t="s">
        <v>57</v>
      </c>
      <c r="D410" s="103">
        <f t="shared" si="13"/>
        <v>4</v>
      </c>
      <c r="E410" s="89" t="s">
        <v>3023</v>
      </c>
      <c r="G410" s="103">
        <f>ROUND((32768/BASE_ANGLE) * MTPVAngle_133,0)</f>
        <v>22749</v>
      </c>
      <c r="H410" s="94" t="str">
        <f>IF(G410&lt;&gt;"",IF(C410="float32",FLOAT2HEX(G410),DEC2HEX(G410,8)),"")</f>
        <v>000058DD</v>
      </c>
      <c r="I410" s="94" t="str">
        <f t="shared" si="14"/>
        <v/>
      </c>
    </row>
    <row r="411" spans="1:9" x14ac:dyDescent="0.25">
      <c r="A411" s="96" t="str">
        <f>IF(I411&lt;&gt;"",MAX(A$1:A410)+1,"")</f>
        <v/>
      </c>
      <c r="B411" s="97" t="s">
        <v>2541</v>
      </c>
      <c r="C411" s="103" t="s">
        <v>57</v>
      </c>
      <c r="D411" s="103">
        <f t="shared" si="13"/>
        <v>4</v>
      </c>
      <c r="E411" s="89" t="s">
        <v>3024</v>
      </c>
      <c r="G411" s="103">
        <f>ROUND((32768/BASE_FLUX) * MTPVFlux_134,0)</f>
        <v>16531</v>
      </c>
      <c r="H411" s="94" t="str">
        <f>IF(G411&lt;&gt;"",IF(C411="float32",FLOAT2HEX(G411),DEC2HEX(G411,8)),"")</f>
        <v>00004093</v>
      </c>
      <c r="I411" s="94" t="str">
        <f t="shared" si="14"/>
        <v/>
      </c>
    </row>
    <row r="412" spans="1:9" x14ac:dyDescent="0.25">
      <c r="A412" s="96" t="str">
        <f>IF(I412&lt;&gt;"",MAX(A$1:A411)+1,"")</f>
        <v/>
      </c>
      <c r="B412" s="74" t="s">
        <v>2542</v>
      </c>
      <c r="C412" s="103" t="s">
        <v>57</v>
      </c>
      <c r="D412" s="103">
        <f t="shared" si="13"/>
        <v>4</v>
      </c>
      <c r="E412" s="89" t="s">
        <v>3025</v>
      </c>
      <c r="G412" s="103">
        <f>ROUND((32768/BASE_TORQ) * MTPVTorque_134,0)</f>
        <v>8565</v>
      </c>
      <c r="H412" s="94" t="str">
        <f>IF(G412&lt;&gt;"",IF(C412="float32",FLOAT2HEX(G412),DEC2HEX(G412,8)),"")</f>
        <v>00002175</v>
      </c>
      <c r="I412" s="94" t="str">
        <f t="shared" si="14"/>
        <v/>
      </c>
    </row>
    <row r="413" spans="1:9" x14ac:dyDescent="0.25">
      <c r="A413" s="96" t="str">
        <f>IF(I413&lt;&gt;"",MAX(A$1:A412)+1,"")</f>
        <v/>
      </c>
      <c r="B413" s="97" t="s">
        <v>2543</v>
      </c>
      <c r="C413" s="103" t="s">
        <v>57</v>
      </c>
      <c r="D413" s="103">
        <f t="shared" si="13"/>
        <v>4</v>
      </c>
      <c r="E413" s="89" t="s">
        <v>3026</v>
      </c>
      <c r="G413" s="103">
        <f>ROUND((32768/BASE_ANGLE) * MTPVAngle_134,0)</f>
        <v>22746</v>
      </c>
      <c r="H413" s="94" t="str">
        <f>IF(G413&lt;&gt;"",IF(C413="float32",FLOAT2HEX(G413),DEC2HEX(G413,8)),"")</f>
        <v>000058DA</v>
      </c>
      <c r="I413" s="94" t="str">
        <f t="shared" si="14"/>
        <v/>
      </c>
    </row>
    <row r="414" spans="1:9" x14ac:dyDescent="0.25">
      <c r="A414" s="96" t="str">
        <f>IF(I414&lt;&gt;"",MAX(A$1:A413)+1,"")</f>
        <v/>
      </c>
      <c r="B414" s="97" t="s">
        <v>2544</v>
      </c>
      <c r="C414" s="103" t="s">
        <v>57</v>
      </c>
      <c r="D414" s="103">
        <f t="shared" si="13"/>
        <v>4</v>
      </c>
      <c r="E414" s="89" t="s">
        <v>3027</v>
      </c>
      <c r="G414" s="103">
        <f>ROUND((32768/BASE_FLUX) * MTPVFlux_135,0)</f>
        <v>16648</v>
      </c>
      <c r="H414" s="94" t="str">
        <f>IF(G414&lt;&gt;"",IF(C414="float32",FLOAT2HEX(G414),DEC2HEX(G414,8)),"")</f>
        <v>00004108</v>
      </c>
      <c r="I414" s="94" t="str">
        <f t="shared" si="14"/>
        <v/>
      </c>
    </row>
    <row r="415" spans="1:9" x14ac:dyDescent="0.25">
      <c r="A415" s="96" t="str">
        <f>IF(I415&lt;&gt;"",MAX(A$1:A414)+1,"")</f>
        <v/>
      </c>
      <c r="B415" s="74" t="s">
        <v>2545</v>
      </c>
      <c r="C415" s="103" t="s">
        <v>57</v>
      </c>
      <c r="D415" s="103">
        <f t="shared" si="13"/>
        <v>4</v>
      </c>
      <c r="E415" s="89" t="s">
        <v>3028</v>
      </c>
      <c r="G415" s="103">
        <f>ROUND((32768/BASE_TORQ) * MTPVTorque_135,0)</f>
        <v>8565</v>
      </c>
      <c r="H415" s="94" t="str">
        <f>IF(G415&lt;&gt;"",IF(C415="float32",FLOAT2HEX(G415),DEC2HEX(G415,8)),"")</f>
        <v>00002175</v>
      </c>
      <c r="I415" s="94" t="str">
        <f t="shared" si="14"/>
        <v/>
      </c>
    </row>
    <row r="416" spans="1:9" x14ac:dyDescent="0.25">
      <c r="A416" s="96" t="str">
        <f>IF(I416&lt;&gt;"",MAX(A$1:A415)+1,"")</f>
        <v/>
      </c>
      <c r="B416" s="97" t="s">
        <v>2546</v>
      </c>
      <c r="C416" s="103" t="s">
        <v>57</v>
      </c>
      <c r="D416" s="103">
        <f t="shared" si="13"/>
        <v>4</v>
      </c>
      <c r="E416" s="89" t="s">
        <v>3029</v>
      </c>
      <c r="G416" s="103">
        <f>ROUND((32768/BASE_ANGLE) * MTPVAngle_135,0)</f>
        <v>22744</v>
      </c>
      <c r="H416" s="94" t="str">
        <f>IF(G416&lt;&gt;"",IF(C416="float32",FLOAT2HEX(G416),DEC2HEX(G416,8)),"")</f>
        <v>000058D8</v>
      </c>
      <c r="I416" s="94" t="str">
        <f t="shared" si="14"/>
        <v/>
      </c>
    </row>
    <row r="417" spans="1:9" x14ac:dyDescent="0.25">
      <c r="A417" s="96" t="str">
        <f>IF(I417&lt;&gt;"",MAX(A$1:A416)+1,"")</f>
        <v/>
      </c>
      <c r="B417" s="97" t="s">
        <v>2547</v>
      </c>
      <c r="C417" s="103" t="s">
        <v>57</v>
      </c>
      <c r="D417" s="103">
        <f t="shared" si="13"/>
        <v>4</v>
      </c>
      <c r="E417" s="89" t="s">
        <v>3030</v>
      </c>
      <c r="G417" s="103">
        <f>ROUND((32768/BASE_FLUX) * MTPVFlux_136,0)</f>
        <v>16765</v>
      </c>
      <c r="H417" s="94" t="str">
        <f>IF(G417&lt;&gt;"",IF(C417="float32",FLOAT2HEX(G417),DEC2HEX(G417,8)),"")</f>
        <v>0000417D</v>
      </c>
      <c r="I417" s="94" t="str">
        <f t="shared" si="14"/>
        <v/>
      </c>
    </row>
    <row r="418" spans="1:9" x14ac:dyDescent="0.25">
      <c r="A418" s="96" t="str">
        <f>IF(I418&lt;&gt;"",MAX(A$1:A417)+1,"")</f>
        <v/>
      </c>
      <c r="B418" s="74" t="s">
        <v>2548</v>
      </c>
      <c r="C418" s="103" t="s">
        <v>57</v>
      </c>
      <c r="D418" s="103">
        <f t="shared" si="13"/>
        <v>4</v>
      </c>
      <c r="E418" s="89" t="s">
        <v>3031</v>
      </c>
      <c r="G418" s="103">
        <f>ROUND((32768/BASE_TORQ) * MTPVTorque_136,0)</f>
        <v>8565</v>
      </c>
      <c r="H418" s="94" t="str">
        <f>IF(G418&lt;&gt;"",IF(C418="float32",FLOAT2HEX(G418),DEC2HEX(G418,8)),"")</f>
        <v>00002175</v>
      </c>
      <c r="I418" s="94" t="str">
        <f t="shared" si="14"/>
        <v/>
      </c>
    </row>
    <row r="419" spans="1:9" x14ac:dyDescent="0.25">
      <c r="A419" s="96" t="str">
        <f>IF(I419&lt;&gt;"",MAX(A$1:A418)+1,"")</f>
        <v/>
      </c>
      <c r="B419" s="97" t="s">
        <v>2549</v>
      </c>
      <c r="C419" s="103" t="s">
        <v>57</v>
      </c>
      <c r="D419" s="103">
        <f t="shared" si="13"/>
        <v>4</v>
      </c>
      <c r="E419" s="89" t="s">
        <v>3032</v>
      </c>
      <c r="G419" s="103">
        <f>ROUND((32768/BASE_ANGLE) * MTPVAngle_136,0)</f>
        <v>22742</v>
      </c>
      <c r="H419" s="94" t="str">
        <f>IF(G419&lt;&gt;"",IF(C419="float32",FLOAT2HEX(G419),DEC2HEX(G419,8)),"")</f>
        <v>000058D6</v>
      </c>
      <c r="I419" s="94" t="str">
        <f t="shared" si="14"/>
        <v/>
      </c>
    </row>
    <row r="420" spans="1:9" x14ac:dyDescent="0.25">
      <c r="A420" s="96" t="str">
        <f>IF(I420&lt;&gt;"",MAX(A$1:A419)+1,"")</f>
        <v/>
      </c>
      <c r="B420" s="97" t="s">
        <v>2550</v>
      </c>
      <c r="C420" s="103" t="s">
        <v>57</v>
      </c>
      <c r="D420" s="103">
        <f t="shared" si="13"/>
        <v>4</v>
      </c>
      <c r="E420" s="89" t="s">
        <v>3033</v>
      </c>
      <c r="G420" s="103">
        <f>ROUND((32768/BASE_FLUX) * MTPVFlux_137,0)</f>
        <v>16882</v>
      </c>
      <c r="H420" s="94" t="str">
        <f>IF(G420&lt;&gt;"",IF(C420="float32",FLOAT2HEX(G420),DEC2HEX(G420,8)),"")</f>
        <v>000041F2</v>
      </c>
      <c r="I420" s="94" t="str">
        <f t="shared" si="14"/>
        <v/>
      </c>
    </row>
    <row r="421" spans="1:9" x14ac:dyDescent="0.25">
      <c r="A421" s="96" t="str">
        <f>IF(I421&lt;&gt;"",MAX(A$1:A420)+1,"")</f>
        <v/>
      </c>
      <c r="B421" s="74" t="s">
        <v>2551</v>
      </c>
      <c r="C421" s="103" t="s">
        <v>57</v>
      </c>
      <c r="D421" s="103">
        <f t="shared" si="13"/>
        <v>4</v>
      </c>
      <c r="E421" s="89" t="s">
        <v>3034</v>
      </c>
      <c r="G421" s="103">
        <f>ROUND((32768/BASE_TORQ) * MTPVTorque_137,0)</f>
        <v>8565</v>
      </c>
      <c r="H421" s="94" t="str">
        <f>IF(G421&lt;&gt;"",IF(C421="float32",FLOAT2HEX(G421),DEC2HEX(G421,8)),"")</f>
        <v>00002175</v>
      </c>
      <c r="I421" s="94" t="str">
        <f t="shared" si="14"/>
        <v/>
      </c>
    </row>
    <row r="422" spans="1:9" x14ac:dyDescent="0.25">
      <c r="A422" s="96" t="str">
        <f>IF(I422&lt;&gt;"",MAX(A$1:A421)+1,"")</f>
        <v/>
      </c>
      <c r="B422" s="97" t="s">
        <v>2552</v>
      </c>
      <c r="C422" s="103" t="s">
        <v>57</v>
      </c>
      <c r="D422" s="103">
        <f t="shared" si="13"/>
        <v>4</v>
      </c>
      <c r="E422" s="89" t="s">
        <v>3035</v>
      </c>
      <c r="G422" s="103">
        <f>ROUND((32768/BASE_ANGLE) * MTPVAngle_137,0)</f>
        <v>22741</v>
      </c>
      <c r="H422" s="94" t="str">
        <f>IF(G422&lt;&gt;"",IF(C422="float32",FLOAT2HEX(G422),DEC2HEX(G422,8)),"")</f>
        <v>000058D5</v>
      </c>
      <c r="I422" s="94" t="str">
        <f t="shared" si="14"/>
        <v/>
      </c>
    </row>
    <row r="423" spans="1:9" x14ac:dyDescent="0.25">
      <c r="A423" s="96" t="str">
        <f>IF(I423&lt;&gt;"",MAX(A$1:A422)+1,"")</f>
        <v/>
      </c>
      <c r="B423" s="97" t="s">
        <v>2553</v>
      </c>
      <c r="C423" s="103" t="s">
        <v>57</v>
      </c>
      <c r="D423" s="103">
        <f t="shared" si="13"/>
        <v>4</v>
      </c>
      <c r="E423" s="89" t="s">
        <v>3036</v>
      </c>
      <c r="G423" s="103">
        <f>ROUND((32768/BASE_FLUX) * MTPVFlux_138,0)</f>
        <v>16999</v>
      </c>
      <c r="H423" s="94" t="str">
        <f>IF(G423&lt;&gt;"",IF(C423="float32",FLOAT2HEX(G423),DEC2HEX(G423,8)),"")</f>
        <v>00004267</v>
      </c>
      <c r="I423" s="94" t="str">
        <f t="shared" si="14"/>
        <v/>
      </c>
    </row>
    <row r="424" spans="1:9" x14ac:dyDescent="0.25">
      <c r="A424" s="96" t="str">
        <f>IF(I424&lt;&gt;"",MAX(A$1:A423)+1,"")</f>
        <v/>
      </c>
      <c r="B424" s="74" t="s">
        <v>2554</v>
      </c>
      <c r="C424" s="103" t="s">
        <v>57</v>
      </c>
      <c r="D424" s="103">
        <f t="shared" si="13"/>
        <v>4</v>
      </c>
      <c r="E424" s="89" t="s">
        <v>3037</v>
      </c>
      <c r="G424" s="103">
        <f>ROUND((32768/BASE_TORQ) * MTPVTorque_138,0)</f>
        <v>8565</v>
      </c>
      <c r="H424" s="94" t="str">
        <f>IF(G424&lt;&gt;"",IF(C424="float32",FLOAT2HEX(G424),DEC2HEX(G424,8)),"")</f>
        <v>00002175</v>
      </c>
      <c r="I424" s="94" t="str">
        <f t="shared" si="14"/>
        <v/>
      </c>
    </row>
    <row r="425" spans="1:9" x14ac:dyDescent="0.25">
      <c r="A425" s="96" t="str">
        <f>IF(I425&lt;&gt;"",MAX(A$1:A424)+1,"")</f>
        <v/>
      </c>
      <c r="B425" s="97" t="s">
        <v>2555</v>
      </c>
      <c r="C425" s="103" t="s">
        <v>57</v>
      </c>
      <c r="D425" s="103">
        <f t="shared" si="13"/>
        <v>4</v>
      </c>
      <c r="E425" s="89" t="s">
        <v>3038</v>
      </c>
      <c r="G425" s="103">
        <f>ROUND((32768/BASE_ANGLE) * MTPVAngle_138,0)</f>
        <v>22741</v>
      </c>
      <c r="H425" s="94" t="str">
        <f>IF(G425&lt;&gt;"",IF(C425="float32",FLOAT2HEX(G425),DEC2HEX(G425,8)),"")</f>
        <v>000058D5</v>
      </c>
      <c r="I425" s="94" t="str">
        <f t="shared" si="14"/>
        <v/>
      </c>
    </row>
    <row r="426" spans="1:9" x14ac:dyDescent="0.25">
      <c r="A426" s="96" t="str">
        <f>IF(I426&lt;&gt;"",MAX(A$1:A425)+1,"")</f>
        <v/>
      </c>
      <c r="B426" s="97" t="s">
        <v>2556</v>
      </c>
      <c r="C426" s="103" t="s">
        <v>57</v>
      </c>
      <c r="D426" s="103">
        <f t="shared" si="13"/>
        <v>4</v>
      </c>
      <c r="E426" s="89" t="s">
        <v>3039</v>
      </c>
      <c r="G426" s="103">
        <f>ROUND((32768/BASE_FLUX) * MTPVFlux_139,0)</f>
        <v>17117</v>
      </c>
      <c r="H426" s="94" t="str">
        <f>IF(G426&lt;&gt;"",IF(C426="float32",FLOAT2HEX(G426),DEC2HEX(G426,8)),"")</f>
        <v>000042DD</v>
      </c>
      <c r="I426" s="94" t="str">
        <f t="shared" si="14"/>
        <v/>
      </c>
    </row>
    <row r="427" spans="1:9" x14ac:dyDescent="0.25">
      <c r="A427" s="96" t="str">
        <f>IF(I427&lt;&gt;"",MAX(A$1:A426)+1,"")</f>
        <v/>
      </c>
      <c r="B427" s="74" t="s">
        <v>2557</v>
      </c>
      <c r="C427" s="103" t="s">
        <v>57</v>
      </c>
      <c r="D427" s="103">
        <f t="shared" ref="D427:D490" si="15">IF(OR(C427="sint64",C427="uint64",C427="double64"), 8, IF(OR(C427="sint32",C427="uint32",C427="float32"),4,IF(OR(C427="sint16",C427="uint16"),2,  IF(OR(C427="sint8",C427="uint8"),1,""))))</f>
        <v>4</v>
      </c>
      <c r="E427" s="89" t="s">
        <v>3040</v>
      </c>
      <c r="G427" s="103">
        <f>ROUND((32768/BASE_TORQ) * MTPVTorque_139,0)</f>
        <v>8565</v>
      </c>
      <c r="H427" s="94" t="str">
        <f>IF(G427&lt;&gt;"",IF(C427="float32",FLOAT2HEX(G427),DEC2HEX(G427,8)),"")</f>
        <v>00002175</v>
      </c>
      <c r="I427" s="94" t="str">
        <f t="shared" si="14"/>
        <v/>
      </c>
    </row>
    <row r="428" spans="1:9" x14ac:dyDescent="0.25">
      <c r="A428" s="96" t="str">
        <f>IF(I428&lt;&gt;"",MAX(A$1:A427)+1,"")</f>
        <v/>
      </c>
      <c r="B428" s="97" t="s">
        <v>2558</v>
      </c>
      <c r="C428" s="103" t="s">
        <v>57</v>
      </c>
      <c r="D428" s="103">
        <f t="shared" si="15"/>
        <v>4</v>
      </c>
      <c r="E428" s="89" t="s">
        <v>3041</v>
      </c>
      <c r="G428" s="103">
        <f>ROUND((32768/BASE_ANGLE) * MTPVAngle_139,0)</f>
        <v>22741</v>
      </c>
      <c r="H428" s="94" t="str">
        <f>IF(G428&lt;&gt;"",IF(C428="float32",FLOAT2HEX(G428),DEC2HEX(G428,8)),"")</f>
        <v>000058D5</v>
      </c>
      <c r="I428" s="94" t="str">
        <f t="shared" si="14"/>
        <v/>
      </c>
    </row>
    <row r="429" spans="1:9" x14ac:dyDescent="0.25">
      <c r="A429" s="96" t="str">
        <f>IF(I429&lt;&gt;"",MAX(A$1:A428)+1,"")</f>
        <v/>
      </c>
      <c r="B429" s="97" t="s">
        <v>2559</v>
      </c>
      <c r="C429" s="103" t="s">
        <v>57</v>
      </c>
      <c r="D429" s="103">
        <f t="shared" si="15"/>
        <v>4</v>
      </c>
      <c r="E429" s="89" t="s">
        <v>3042</v>
      </c>
      <c r="G429" s="103">
        <f>ROUND((32768/BASE_FLUX) * MTPVFlux_140,0)</f>
        <v>17234</v>
      </c>
      <c r="H429" s="94" t="str">
        <f>IF(G429&lt;&gt;"",IF(C429="float32",FLOAT2HEX(G429),DEC2HEX(G429,8)),"")</f>
        <v>00004352</v>
      </c>
      <c r="I429" s="94" t="str">
        <f t="shared" si="14"/>
        <v/>
      </c>
    </row>
    <row r="430" spans="1:9" x14ac:dyDescent="0.25">
      <c r="A430" s="96" t="str">
        <f>IF(I430&lt;&gt;"",MAX(A$1:A429)+1,"")</f>
        <v/>
      </c>
      <c r="B430" s="74" t="s">
        <v>2560</v>
      </c>
      <c r="C430" s="103" t="s">
        <v>57</v>
      </c>
      <c r="D430" s="103">
        <f t="shared" si="15"/>
        <v>4</v>
      </c>
      <c r="E430" s="89" t="s">
        <v>3043</v>
      </c>
      <c r="G430" s="103">
        <f>ROUND((32768/BASE_TORQ) * MTPVTorque_140,0)</f>
        <v>8565</v>
      </c>
      <c r="H430" s="94" t="str">
        <f>IF(G430&lt;&gt;"",IF(C430="float32",FLOAT2HEX(G430),DEC2HEX(G430,8)),"")</f>
        <v>00002175</v>
      </c>
      <c r="I430" s="94" t="str">
        <f t="shared" si="14"/>
        <v/>
      </c>
    </row>
    <row r="431" spans="1:9" x14ac:dyDescent="0.25">
      <c r="A431" s="96" t="str">
        <f>IF(I431&lt;&gt;"",MAX(A$1:A430)+1,"")</f>
        <v/>
      </c>
      <c r="B431" s="97" t="s">
        <v>2561</v>
      </c>
      <c r="C431" s="103" t="s">
        <v>57</v>
      </c>
      <c r="D431" s="103">
        <f t="shared" si="15"/>
        <v>4</v>
      </c>
      <c r="E431" s="89" t="s">
        <v>3044</v>
      </c>
      <c r="G431" s="103">
        <f>ROUND((32768/BASE_ANGLE) * MTPVAngle_140,0)</f>
        <v>22742</v>
      </c>
      <c r="H431" s="94" t="str">
        <f>IF(G431&lt;&gt;"",IF(C431="float32",FLOAT2HEX(G431),DEC2HEX(G431,8)),"")</f>
        <v>000058D6</v>
      </c>
      <c r="I431" s="94" t="str">
        <f t="shared" si="14"/>
        <v/>
      </c>
    </row>
    <row r="432" spans="1:9" x14ac:dyDescent="0.25">
      <c r="A432" s="96" t="str">
        <f>IF(I432&lt;&gt;"",MAX(A$1:A431)+1,"")</f>
        <v/>
      </c>
      <c r="B432" s="97" t="s">
        <v>2562</v>
      </c>
      <c r="C432" s="103" t="s">
        <v>57</v>
      </c>
      <c r="D432" s="103">
        <f t="shared" si="15"/>
        <v>4</v>
      </c>
      <c r="E432" s="89" t="s">
        <v>3045</v>
      </c>
      <c r="G432" s="103">
        <f>ROUND((32768/BASE_FLUX) * MTPVFlux_141,0)</f>
        <v>17351</v>
      </c>
      <c r="H432" s="94" t="str">
        <f>IF(G432&lt;&gt;"",IF(C432="float32",FLOAT2HEX(G432),DEC2HEX(G432,8)),"")</f>
        <v>000043C7</v>
      </c>
      <c r="I432" s="94" t="str">
        <f t="shared" si="14"/>
        <v/>
      </c>
    </row>
    <row r="433" spans="1:9" x14ac:dyDescent="0.25">
      <c r="A433" s="96" t="str">
        <f>IF(I433&lt;&gt;"",MAX(A$1:A432)+1,"")</f>
        <v/>
      </c>
      <c r="B433" s="74" t="s">
        <v>2563</v>
      </c>
      <c r="C433" s="103" t="s">
        <v>57</v>
      </c>
      <c r="D433" s="103">
        <f t="shared" si="15"/>
        <v>4</v>
      </c>
      <c r="E433" s="89" t="s">
        <v>3046</v>
      </c>
      <c r="G433" s="103">
        <f>ROUND((32768/BASE_TORQ) * MTPVTorque_141,0)</f>
        <v>8565</v>
      </c>
      <c r="H433" s="94" t="str">
        <f>IF(G433&lt;&gt;"",IF(C433="float32",FLOAT2HEX(G433),DEC2HEX(G433,8)),"")</f>
        <v>00002175</v>
      </c>
      <c r="I433" s="94" t="str">
        <f t="shared" si="14"/>
        <v/>
      </c>
    </row>
    <row r="434" spans="1:9" x14ac:dyDescent="0.25">
      <c r="A434" s="96" t="str">
        <f>IF(I434&lt;&gt;"",MAX(A$1:A433)+1,"")</f>
        <v/>
      </c>
      <c r="B434" s="97" t="s">
        <v>2564</v>
      </c>
      <c r="C434" s="103" t="s">
        <v>57</v>
      </c>
      <c r="D434" s="103">
        <f t="shared" si="15"/>
        <v>4</v>
      </c>
      <c r="E434" s="89" t="s">
        <v>3047</v>
      </c>
      <c r="G434" s="103">
        <f>ROUND((32768/BASE_ANGLE) * MTPVAngle_141,0)</f>
        <v>22744</v>
      </c>
      <c r="H434" s="94" t="str">
        <f>IF(G434&lt;&gt;"",IF(C434="float32",FLOAT2HEX(G434),DEC2HEX(G434,8)),"")</f>
        <v>000058D8</v>
      </c>
      <c r="I434" s="94" t="str">
        <f t="shared" si="14"/>
        <v/>
      </c>
    </row>
    <row r="435" spans="1:9" x14ac:dyDescent="0.25">
      <c r="A435" s="96" t="str">
        <f>IF(I435&lt;&gt;"",MAX(A$1:A434)+1,"")</f>
        <v/>
      </c>
      <c r="B435" s="97" t="s">
        <v>2565</v>
      </c>
      <c r="C435" s="103" t="s">
        <v>57</v>
      </c>
      <c r="D435" s="103">
        <f t="shared" si="15"/>
        <v>4</v>
      </c>
      <c r="E435" s="89" t="s">
        <v>3048</v>
      </c>
      <c r="G435" s="103">
        <f>ROUND((32768/BASE_FLUX) * MTPVFlux_142,0)</f>
        <v>17468</v>
      </c>
      <c r="H435" s="94" t="str">
        <f>IF(G435&lt;&gt;"",IF(C435="float32",FLOAT2HEX(G435),DEC2HEX(G435,8)),"")</f>
        <v>0000443C</v>
      </c>
      <c r="I435" s="94" t="str">
        <f t="shared" si="14"/>
        <v/>
      </c>
    </row>
    <row r="436" spans="1:9" x14ac:dyDescent="0.25">
      <c r="A436" s="96" t="str">
        <f>IF(I436&lt;&gt;"",MAX(A$1:A435)+1,"")</f>
        <v/>
      </c>
      <c r="B436" s="74" t="s">
        <v>2566</v>
      </c>
      <c r="C436" s="103" t="s">
        <v>57</v>
      </c>
      <c r="D436" s="103">
        <f t="shared" si="15"/>
        <v>4</v>
      </c>
      <c r="E436" s="89" t="s">
        <v>3049</v>
      </c>
      <c r="G436" s="103">
        <f>ROUND((32768/BASE_TORQ) * MTPVTorque_142,0)</f>
        <v>8565</v>
      </c>
      <c r="H436" s="94" t="str">
        <f>IF(G436&lt;&gt;"",IF(C436="float32",FLOAT2HEX(G436),DEC2HEX(G436,8)),"")</f>
        <v>00002175</v>
      </c>
      <c r="I436" s="94" t="str">
        <f t="shared" si="14"/>
        <v/>
      </c>
    </row>
    <row r="437" spans="1:9" x14ac:dyDescent="0.25">
      <c r="A437" s="96" t="str">
        <f>IF(I437&lt;&gt;"",MAX(A$1:A436)+1,"")</f>
        <v/>
      </c>
      <c r="B437" s="97" t="s">
        <v>2567</v>
      </c>
      <c r="C437" s="103" t="s">
        <v>57</v>
      </c>
      <c r="D437" s="103">
        <f t="shared" si="15"/>
        <v>4</v>
      </c>
      <c r="E437" s="89" t="s">
        <v>3050</v>
      </c>
      <c r="G437" s="103">
        <f>ROUND((32768/BASE_ANGLE) * MTPVAngle_142,0)</f>
        <v>22746</v>
      </c>
      <c r="H437" s="94" t="str">
        <f>IF(G437&lt;&gt;"",IF(C437="float32",FLOAT2HEX(G437),DEC2HEX(G437,8)),"")</f>
        <v>000058DA</v>
      </c>
      <c r="I437" s="94" t="str">
        <f t="shared" si="14"/>
        <v/>
      </c>
    </row>
    <row r="438" spans="1:9" x14ac:dyDescent="0.25">
      <c r="A438" s="96" t="str">
        <f>IF(I438&lt;&gt;"",MAX(A$1:A437)+1,"")</f>
        <v/>
      </c>
      <c r="B438" s="97" t="s">
        <v>2568</v>
      </c>
      <c r="C438" s="103" t="s">
        <v>57</v>
      </c>
      <c r="D438" s="103">
        <f t="shared" si="15"/>
        <v>4</v>
      </c>
      <c r="E438" s="89" t="s">
        <v>3051</v>
      </c>
      <c r="G438" s="103">
        <f>ROUND((32768/BASE_FLUX) * MTPVFlux_143,0)</f>
        <v>17586</v>
      </c>
      <c r="H438" s="94" t="str">
        <f>IF(G438&lt;&gt;"",IF(C438="float32",FLOAT2HEX(G438),DEC2HEX(G438,8)),"")</f>
        <v>000044B2</v>
      </c>
      <c r="I438" s="94" t="str">
        <f t="shared" si="14"/>
        <v/>
      </c>
    </row>
    <row r="439" spans="1:9" x14ac:dyDescent="0.25">
      <c r="A439" s="96" t="str">
        <f>IF(I439&lt;&gt;"",MAX(A$1:A438)+1,"")</f>
        <v/>
      </c>
      <c r="B439" s="74" t="s">
        <v>2569</v>
      </c>
      <c r="C439" s="103" t="s">
        <v>57</v>
      </c>
      <c r="D439" s="103">
        <f t="shared" si="15"/>
        <v>4</v>
      </c>
      <c r="E439" s="89" t="s">
        <v>3052</v>
      </c>
      <c r="G439" s="103">
        <f>ROUND((32768/BASE_TORQ) * MTPVTorque_143,0)</f>
        <v>8565</v>
      </c>
      <c r="H439" s="94" t="str">
        <f>IF(G439&lt;&gt;"",IF(C439="float32",FLOAT2HEX(G439),DEC2HEX(G439,8)),"")</f>
        <v>00002175</v>
      </c>
      <c r="I439" s="94" t="str">
        <f t="shared" si="14"/>
        <v/>
      </c>
    </row>
    <row r="440" spans="1:9" x14ac:dyDescent="0.25">
      <c r="A440" s="96" t="str">
        <f>IF(I440&lt;&gt;"",MAX(A$1:A439)+1,"")</f>
        <v/>
      </c>
      <c r="B440" s="97" t="s">
        <v>2570</v>
      </c>
      <c r="C440" s="103" t="s">
        <v>57</v>
      </c>
      <c r="D440" s="103">
        <f t="shared" si="15"/>
        <v>4</v>
      </c>
      <c r="E440" s="89" t="s">
        <v>3053</v>
      </c>
      <c r="G440" s="103">
        <f>ROUND((32768/BASE_ANGLE) * MTPVAngle_143,0)</f>
        <v>22750</v>
      </c>
      <c r="H440" s="94" t="str">
        <f>IF(G440&lt;&gt;"",IF(C440="float32",FLOAT2HEX(G440),DEC2HEX(G440,8)),"")</f>
        <v>000058DE</v>
      </c>
      <c r="I440" s="94" t="str">
        <f t="shared" si="14"/>
        <v/>
      </c>
    </row>
    <row r="441" spans="1:9" x14ac:dyDescent="0.25">
      <c r="A441" s="96" t="str">
        <f>IF(I441&lt;&gt;"",MAX(A$1:A440)+1,"")</f>
        <v/>
      </c>
      <c r="B441" s="97" t="s">
        <v>2571</v>
      </c>
      <c r="C441" s="103" t="s">
        <v>57</v>
      </c>
      <c r="D441" s="103">
        <f t="shared" si="15"/>
        <v>4</v>
      </c>
      <c r="E441" s="89" t="s">
        <v>3054</v>
      </c>
      <c r="G441" s="103">
        <f>ROUND((32768/BASE_FLUX) * MTPVFlux_144,0)</f>
        <v>17703</v>
      </c>
      <c r="H441" s="94" t="str">
        <f>IF(G441&lt;&gt;"",IF(C441="float32",FLOAT2HEX(G441),DEC2HEX(G441,8)),"")</f>
        <v>00004527</v>
      </c>
      <c r="I441" s="94" t="str">
        <f t="shared" si="14"/>
        <v/>
      </c>
    </row>
    <row r="442" spans="1:9" x14ac:dyDescent="0.25">
      <c r="A442" s="96" t="str">
        <f>IF(I442&lt;&gt;"",MAX(A$1:A441)+1,"")</f>
        <v/>
      </c>
      <c r="B442" s="74" t="s">
        <v>2572</v>
      </c>
      <c r="C442" s="103" t="s">
        <v>57</v>
      </c>
      <c r="D442" s="103">
        <f t="shared" si="15"/>
        <v>4</v>
      </c>
      <c r="E442" s="89" t="s">
        <v>3055</v>
      </c>
      <c r="G442" s="103">
        <f>ROUND((32768/BASE_TORQ) * MTPVTorque_144,0)</f>
        <v>8565</v>
      </c>
      <c r="H442" s="94" t="str">
        <f>IF(G442&lt;&gt;"",IF(C442="float32",FLOAT2HEX(G442),DEC2HEX(G442,8)),"")</f>
        <v>00002175</v>
      </c>
      <c r="I442" s="94" t="str">
        <f t="shared" si="14"/>
        <v/>
      </c>
    </row>
    <row r="443" spans="1:9" x14ac:dyDescent="0.25">
      <c r="A443" s="96" t="str">
        <f>IF(I443&lt;&gt;"",MAX(A$1:A442)+1,"")</f>
        <v/>
      </c>
      <c r="B443" s="97" t="s">
        <v>2573</v>
      </c>
      <c r="C443" s="103" t="s">
        <v>57</v>
      </c>
      <c r="D443" s="103">
        <f t="shared" si="15"/>
        <v>4</v>
      </c>
      <c r="E443" s="89" t="s">
        <v>3056</v>
      </c>
      <c r="G443" s="103">
        <f>ROUND((32768/BASE_ANGLE) * MTPVAngle_144,0)</f>
        <v>22754</v>
      </c>
      <c r="H443" s="94" t="str">
        <f>IF(G443&lt;&gt;"",IF(C443="float32",FLOAT2HEX(G443),DEC2HEX(G443,8)),"")</f>
        <v>000058E2</v>
      </c>
      <c r="I443" s="94" t="str">
        <f t="shared" si="14"/>
        <v/>
      </c>
    </row>
    <row r="444" spans="1:9" x14ac:dyDescent="0.25">
      <c r="A444" s="96" t="str">
        <f>IF(I444&lt;&gt;"",MAX(A$1:A443)+1,"")</f>
        <v/>
      </c>
      <c r="B444" s="97" t="s">
        <v>2574</v>
      </c>
      <c r="C444" s="103" t="s">
        <v>57</v>
      </c>
      <c r="D444" s="103">
        <f t="shared" si="15"/>
        <v>4</v>
      </c>
      <c r="E444" s="89" t="s">
        <v>3057</v>
      </c>
      <c r="G444" s="103">
        <f>ROUND((32768/BASE_FLUX) * MTPVFlux_145,0)</f>
        <v>17820</v>
      </c>
      <c r="H444" s="94" t="str">
        <f>IF(G444&lt;&gt;"",IF(C444="float32",FLOAT2HEX(G444),DEC2HEX(G444,8)),"")</f>
        <v>0000459C</v>
      </c>
      <c r="I444" s="94" t="str">
        <f t="shared" si="14"/>
        <v/>
      </c>
    </row>
    <row r="445" spans="1:9" x14ac:dyDescent="0.25">
      <c r="A445" s="96" t="str">
        <f>IF(I445&lt;&gt;"",MAX(A$1:A444)+1,"")</f>
        <v/>
      </c>
      <c r="B445" s="74" t="s">
        <v>2575</v>
      </c>
      <c r="C445" s="103" t="s">
        <v>57</v>
      </c>
      <c r="D445" s="103">
        <f t="shared" si="15"/>
        <v>4</v>
      </c>
      <c r="E445" s="89" t="s">
        <v>3058</v>
      </c>
      <c r="G445" s="103">
        <f>ROUND((32768/BASE_TORQ) * MTPVTorque_145,0)</f>
        <v>8565</v>
      </c>
      <c r="H445" s="94" t="str">
        <f>IF(G445&lt;&gt;"",IF(C445="float32",FLOAT2HEX(G445),DEC2HEX(G445,8)),"")</f>
        <v>00002175</v>
      </c>
      <c r="I445" s="94" t="str">
        <f t="shared" si="14"/>
        <v/>
      </c>
    </row>
    <row r="446" spans="1:9" x14ac:dyDescent="0.25">
      <c r="A446" s="96" t="str">
        <f>IF(I446&lt;&gt;"",MAX(A$1:A445)+1,"")</f>
        <v/>
      </c>
      <c r="B446" s="97" t="s">
        <v>2576</v>
      </c>
      <c r="C446" s="103" t="s">
        <v>57</v>
      </c>
      <c r="D446" s="103">
        <f t="shared" si="15"/>
        <v>4</v>
      </c>
      <c r="E446" s="89" t="s">
        <v>3059</v>
      </c>
      <c r="G446" s="103">
        <f>ROUND((32768/BASE_ANGLE) * MTPVAngle_145,0)</f>
        <v>22760</v>
      </c>
      <c r="H446" s="94" t="str">
        <f>IF(G446&lt;&gt;"",IF(C446="float32",FLOAT2HEX(G446),DEC2HEX(G446,8)),"")</f>
        <v>000058E8</v>
      </c>
      <c r="I446" s="94" t="str">
        <f t="shared" si="14"/>
        <v/>
      </c>
    </row>
    <row r="447" spans="1:9" x14ac:dyDescent="0.25">
      <c r="A447" s="96" t="str">
        <f>IF(I447&lt;&gt;"",MAX(A$1:A446)+1,"")</f>
        <v/>
      </c>
      <c r="B447" s="97" t="s">
        <v>2577</v>
      </c>
      <c r="C447" s="103" t="s">
        <v>57</v>
      </c>
      <c r="D447" s="103">
        <f t="shared" si="15"/>
        <v>4</v>
      </c>
      <c r="E447" s="89" t="s">
        <v>3060</v>
      </c>
      <c r="G447" s="103">
        <f>ROUND((32768/BASE_FLUX) * MTPVFlux_146,0)</f>
        <v>17937</v>
      </c>
      <c r="H447" s="94" t="str">
        <f>IF(G447&lt;&gt;"",IF(C447="float32",FLOAT2HEX(G447),DEC2HEX(G447,8)),"")</f>
        <v>00004611</v>
      </c>
      <c r="I447" s="94" t="str">
        <f t="shared" si="14"/>
        <v/>
      </c>
    </row>
    <row r="448" spans="1:9" x14ac:dyDescent="0.25">
      <c r="A448" s="96" t="str">
        <f>IF(I448&lt;&gt;"",MAX(A$1:A447)+1,"")</f>
        <v/>
      </c>
      <c r="B448" s="74" t="s">
        <v>2578</v>
      </c>
      <c r="C448" s="103" t="s">
        <v>57</v>
      </c>
      <c r="D448" s="103">
        <f t="shared" si="15"/>
        <v>4</v>
      </c>
      <c r="E448" s="89" t="s">
        <v>3061</v>
      </c>
      <c r="G448" s="103">
        <f>ROUND((32768/BASE_TORQ) * MTPVTorque_146,0)</f>
        <v>8565</v>
      </c>
      <c r="H448" s="94" t="str">
        <f>IF(G448&lt;&gt;"",IF(C448="float32",FLOAT2HEX(G448),DEC2HEX(G448,8)),"")</f>
        <v>00002175</v>
      </c>
      <c r="I448" s="94" t="str">
        <f t="shared" si="14"/>
        <v/>
      </c>
    </row>
    <row r="449" spans="1:9" x14ac:dyDescent="0.25">
      <c r="A449" s="96" t="str">
        <f>IF(I449&lt;&gt;"",MAX(A$1:A448)+1,"")</f>
        <v/>
      </c>
      <c r="B449" s="97" t="s">
        <v>2579</v>
      </c>
      <c r="C449" s="103" t="s">
        <v>57</v>
      </c>
      <c r="D449" s="103">
        <f t="shared" si="15"/>
        <v>4</v>
      </c>
      <c r="E449" s="89" t="s">
        <v>3062</v>
      </c>
      <c r="G449" s="103">
        <f>ROUND((32768/BASE_ANGLE) * MTPVAngle_146,0)</f>
        <v>22766</v>
      </c>
      <c r="H449" s="94" t="str">
        <f>IF(G449&lt;&gt;"",IF(C449="float32",FLOAT2HEX(G449),DEC2HEX(G449,8)),"")</f>
        <v>000058EE</v>
      </c>
      <c r="I449" s="94" t="str">
        <f t="shared" si="14"/>
        <v/>
      </c>
    </row>
    <row r="450" spans="1:9" x14ac:dyDescent="0.25">
      <c r="A450" s="96" t="str">
        <f>IF(I450&lt;&gt;"",MAX(A$1:A449)+1,"")</f>
        <v/>
      </c>
      <c r="B450" s="97" t="s">
        <v>2580</v>
      </c>
      <c r="C450" s="103" t="s">
        <v>57</v>
      </c>
      <c r="D450" s="103">
        <f t="shared" si="15"/>
        <v>4</v>
      </c>
      <c r="E450" s="89" t="s">
        <v>3063</v>
      </c>
      <c r="G450" s="103">
        <f>ROUND((32768/BASE_FLUX) * MTPVFlux_147,0)</f>
        <v>18055</v>
      </c>
      <c r="H450" s="94" t="str">
        <f>IF(G450&lt;&gt;"",IF(C450="float32",FLOAT2HEX(G450),DEC2HEX(G450,8)),"")</f>
        <v>00004687</v>
      </c>
      <c r="I450" s="94" t="str">
        <f t="shared" si="14"/>
        <v/>
      </c>
    </row>
    <row r="451" spans="1:9" x14ac:dyDescent="0.25">
      <c r="A451" s="96" t="str">
        <f>IF(I451&lt;&gt;"",MAX(A$1:A450)+1,"")</f>
        <v/>
      </c>
      <c r="B451" s="74" t="s">
        <v>2581</v>
      </c>
      <c r="C451" s="103" t="s">
        <v>57</v>
      </c>
      <c r="D451" s="103">
        <f t="shared" si="15"/>
        <v>4</v>
      </c>
      <c r="E451" s="89" t="s">
        <v>3064</v>
      </c>
      <c r="G451" s="103">
        <f>ROUND((32768/BASE_TORQ) * MTPVTorque_147,0)</f>
        <v>8565</v>
      </c>
      <c r="H451" s="94" t="str">
        <f>IF(G451&lt;&gt;"",IF(C451="float32",FLOAT2HEX(G451),DEC2HEX(G451,8)),"")</f>
        <v>00002175</v>
      </c>
      <c r="I451" s="94" t="str">
        <f t="shared" si="14"/>
        <v/>
      </c>
    </row>
    <row r="452" spans="1:9" x14ac:dyDescent="0.25">
      <c r="A452" s="96" t="str">
        <f>IF(I452&lt;&gt;"",MAX(A$1:A451)+1,"")</f>
        <v/>
      </c>
      <c r="B452" s="97" t="s">
        <v>2582</v>
      </c>
      <c r="C452" s="103" t="s">
        <v>57</v>
      </c>
      <c r="D452" s="103">
        <f t="shared" si="15"/>
        <v>4</v>
      </c>
      <c r="E452" s="89" t="s">
        <v>3065</v>
      </c>
      <c r="G452" s="103">
        <f>ROUND((32768/BASE_ANGLE) * MTPVAngle_147,0)</f>
        <v>22773</v>
      </c>
      <c r="H452" s="94" t="str">
        <f>IF(G452&lt;&gt;"",IF(C452="float32",FLOAT2HEX(G452),DEC2HEX(G452,8)),"")</f>
        <v>000058F5</v>
      </c>
      <c r="I452" s="94" t="str">
        <f t="shared" si="14"/>
        <v/>
      </c>
    </row>
    <row r="453" spans="1:9" x14ac:dyDescent="0.25">
      <c r="A453" s="96" t="str">
        <f>IF(I453&lt;&gt;"",MAX(A$1:A452)+1,"")</f>
        <v/>
      </c>
      <c r="B453" s="97" t="s">
        <v>2583</v>
      </c>
      <c r="C453" s="103" t="s">
        <v>57</v>
      </c>
      <c r="D453" s="103">
        <f t="shared" si="15"/>
        <v>4</v>
      </c>
      <c r="E453" s="89" t="s">
        <v>3066</v>
      </c>
      <c r="G453" s="103">
        <f>ROUND((32768/BASE_FLUX) * MTPVFlux_148,0)</f>
        <v>18172</v>
      </c>
      <c r="H453" s="94" t="str">
        <f>IF(G453&lt;&gt;"",IF(C453="float32",FLOAT2HEX(G453),DEC2HEX(G453,8)),"")</f>
        <v>000046FC</v>
      </c>
      <c r="I453" s="94" t="str">
        <f t="shared" si="14"/>
        <v/>
      </c>
    </row>
    <row r="454" spans="1:9" x14ac:dyDescent="0.25">
      <c r="A454" s="96" t="str">
        <f>IF(I454&lt;&gt;"",MAX(A$1:A453)+1,"")</f>
        <v/>
      </c>
      <c r="B454" s="74" t="s">
        <v>2584</v>
      </c>
      <c r="C454" s="103" t="s">
        <v>57</v>
      </c>
      <c r="D454" s="103">
        <f t="shared" si="15"/>
        <v>4</v>
      </c>
      <c r="E454" s="89" t="s">
        <v>3067</v>
      </c>
      <c r="G454" s="103">
        <f>ROUND((32768/BASE_TORQ) * MTPVTorque_148,0)</f>
        <v>8565</v>
      </c>
      <c r="H454" s="94" t="str">
        <f>IF(G454&lt;&gt;"",IF(C454="float32",FLOAT2HEX(G454),DEC2HEX(G454,8)),"")</f>
        <v>00002175</v>
      </c>
      <c r="I454" s="94" t="str">
        <f t="shared" si="14"/>
        <v/>
      </c>
    </row>
    <row r="455" spans="1:9" x14ac:dyDescent="0.25">
      <c r="A455" s="96" t="str">
        <f>IF(I455&lt;&gt;"",MAX(A$1:A454)+1,"")</f>
        <v/>
      </c>
      <c r="B455" s="97" t="s">
        <v>2585</v>
      </c>
      <c r="C455" s="103" t="s">
        <v>57</v>
      </c>
      <c r="D455" s="103">
        <f t="shared" si="15"/>
        <v>4</v>
      </c>
      <c r="E455" s="89" t="s">
        <v>3068</v>
      </c>
      <c r="G455" s="103">
        <f>ROUND((32768/BASE_ANGLE) * MTPVAngle_148,0)</f>
        <v>22781</v>
      </c>
      <c r="H455" s="94" t="str">
        <f>IF(G455&lt;&gt;"",IF(C455="float32",FLOAT2HEX(G455),DEC2HEX(G455,8)),"")</f>
        <v>000058FD</v>
      </c>
      <c r="I455" s="94" t="str">
        <f t="shared" si="14"/>
        <v/>
      </c>
    </row>
    <row r="456" spans="1:9" x14ac:dyDescent="0.25">
      <c r="A456" s="96" t="str">
        <f>IF(I456&lt;&gt;"",MAX(A$1:A455)+1,"")</f>
        <v/>
      </c>
      <c r="B456" s="97" t="s">
        <v>2586</v>
      </c>
      <c r="C456" s="103" t="s">
        <v>57</v>
      </c>
      <c r="D456" s="103">
        <f t="shared" si="15"/>
        <v>4</v>
      </c>
      <c r="E456" s="89" t="s">
        <v>3069</v>
      </c>
      <c r="G456" s="103">
        <f>ROUND((32768/BASE_FLUX) * MTPVFlux_149,0)</f>
        <v>18289</v>
      </c>
      <c r="H456" s="94" t="str">
        <f>IF(G456&lt;&gt;"",IF(C456="float32",FLOAT2HEX(G456),DEC2HEX(G456,8)),"")</f>
        <v>00004771</v>
      </c>
      <c r="I456" s="94" t="str">
        <f t="shared" si="14"/>
        <v/>
      </c>
    </row>
    <row r="457" spans="1:9" x14ac:dyDescent="0.25">
      <c r="A457" s="96" t="str">
        <f>IF(I457&lt;&gt;"",MAX(A$1:A456)+1,"")</f>
        <v/>
      </c>
      <c r="B457" s="74" t="s">
        <v>2587</v>
      </c>
      <c r="C457" s="103" t="s">
        <v>57</v>
      </c>
      <c r="D457" s="103">
        <f t="shared" si="15"/>
        <v>4</v>
      </c>
      <c r="E457" s="89" t="s">
        <v>3070</v>
      </c>
      <c r="G457" s="103">
        <f>ROUND((32768/BASE_TORQ) * MTPVTorque_149,0)</f>
        <v>8565</v>
      </c>
      <c r="H457" s="94" t="str">
        <f>IF(G457&lt;&gt;"",IF(C457="float32",FLOAT2HEX(G457),DEC2HEX(G457,8)),"")</f>
        <v>00002175</v>
      </c>
      <c r="I457" s="94" t="str">
        <f t="shared" si="14"/>
        <v/>
      </c>
    </row>
    <row r="458" spans="1:9" x14ac:dyDescent="0.25">
      <c r="A458" s="96" t="str">
        <f>IF(I458&lt;&gt;"",MAX(A$1:A457)+1,"")</f>
        <v/>
      </c>
      <c r="B458" s="97" t="s">
        <v>2588</v>
      </c>
      <c r="C458" s="103" t="s">
        <v>57</v>
      </c>
      <c r="D458" s="103">
        <f t="shared" si="15"/>
        <v>4</v>
      </c>
      <c r="E458" s="89" t="s">
        <v>3071</v>
      </c>
      <c r="G458" s="103">
        <f>ROUND((32768/BASE_ANGLE) * MTPVAngle_149,0)</f>
        <v>22791</v>
      </c>
      <c r="H458" s="94" t="str">
        <f>IF(G458&lt;&gt;"",IF(C458="float32",FLOAT2HEX(G458),DEC2HEX(G458,8)),"")</f>
        <v>00005907</v>
      </c>
      <c r="I458" s="94" t="str">
        <f t="shared" ref="I458:I491" si="16">IF(AND(G458&lt;&gt;"",(ROW()-8)&lt;(($G$7+1)*3+1)),HEX2DEC(H458),"")</f>
        <v/>
      </c>
    </row>
    <row r="459" spans="1:9" x14ac:dyDescent="0.25">
      <c r="A459" s="96" t="str">
        <f>IF(I459&lt;&gt;"",MAX(A$1:A458)+1,"")</f>
        <v/>
      </c>
      <c r="B459" s="97" t="s">
        <v>2589</v>
      </c>
      <c r="C459" s="103" t="s">
        <v>57</v>
      </c>
      <c r="D459" s="103">
        <f t="shared" si="15"/>
        <v>4</v>
      </c>
      <c r="E459" s="89" t="s">
        <v>3072</v>
      </c>
      <c r="G459" s="103">
        <f>ROUND((32768/BASE_FLUX) * MTPVFlux_150,0)</f>
        <v>18406</v>
      </c>
      <c r="H459" s="94" t="str">
        <f>IF(G459&lt;&gt;"",IF(C459="float32",FLOAT2HEX(G459),DEC2HEX(G459,8)),"")</f>
        <v>000047E6</v>
      </c>
      <c r="I459" s="94" t="str">
        <f t="shared" si="16"/>
        <v/>
      </c>
    </row>
    <row r="460" spans="1:9" x14ac:dyDescent="0.25">
      <c r="A460" s="96" t="str">
        <f>IF(I460&lt;&gt;"",MAX(A$1:A459)+1,"")</f>
        <v/>
      </c>
      <c r="B460" s="74" t="s">
        <v>2590</v>
      </c>
      <c r="C460" s="103" t="s">
        <v>57</v>
      </c>
      <c r="D460" s="103">
        <f t="shared" si="15"/>
        <v>4</v>
      </c>
      <c r="E460" s="89" t="s">
        <v>3073</v>
      </c>
      <c r="G460" s="103">
        <f>ROUND((32768/BASE_TORQ) * MTPVTorque_150,0)</f>
        <v>8565</v>
      </c>
      <c r="H460" s="94" t="str">
        <f>IF(G460&lt;&gt;"",IF(C460="float32",FLOAT2HEX(G460),DEC2HEX(G460,8)),"")</f>
        <v>00002175</v>
      </c>
      <c r="I460" s="94" t="str">
        <f t="shared" si="16"/>
        <v/>
      </c>
    </row>
    <row r="461" spans="1:9" x14ac:dyDescent="0.25">
      <c r="A461" s="96" t="str">
        <f>IF(I461&lt;&gt;"",MAX(A$1:A460)+1,"")</f>
        <v/>
      </c>
      <c r="B461" s="97" t="s">
        <v>2591</v>
      </c>
      <c r="C461" s="103" t="s">
        <v>57</v>
      </c>
      <c r="D461" s="103">
        <f t="shared" si="15"/>
        <v>4</v>
      </c>
      <c r="E461" s="89" t="s">
        <v>3074</v>
      </c>
      <c r="G461" s="103">
        <f>ROUND((32768/BASE_ANGLE) * MTPVAngle_150,0)</f>
        <v>22801</v>
      </c>
      <c r="H461" s="94" t="str">
        <f>IF(G461&lt;&gt;"",IF(C461="float32",FLOAT2HEX(G461),DEC2HEX(G461,8)),"")</f>
        <v>00005911</v>
      </c>
      <c r="I461" s="94" t="str">
        <f t="shared" si="16"/>
        <v/>
      </c>
    </row>
    <row r="462" spans="1:9" x14ac:dyDescent="0.25">
      <c r="A462" s="96" t="str">
        <f>IF(I462&lt;&gt;"",MAX(A$1:A461)+1,"")</f>
        <v/>
      </c>
      <c r="B462" s="97" t="s">
        <v>2592</v>
      </c>
      <c r="C462" s="103" t="s">
        <v>57</v>
      </c>
      <c r="D462" s="103">
        <f t="shared" si="15"/>
        <v>4</v>
      </c>
      <c r="E462" s="89" t="s">
        <v>3075</v>
      </c>
      <c r="G462" s="103">
        <f>ROUND((32768/BASE_FLUX) * MTPVFlux_151,0)</f>
        <v>18524</v>
      </c>
      <c r="H462" s="94" t="str">
        <f>IF(G462&lt;&gt;"",IF(C462="float32",FLOAT2HEX(G462),DEC2HEX(G462,8)),"")</f>
        <v>0000485C</v>
      </c>
      <c r="I462" s="94" t="str">
        <f t="shared" si="16"/>
        <v/>
      </c>
    </row>
    <row r="463" spans="1:9" x14ac:dyDescent="0.25">
      <c r="A463" s="96" t="str">
        <f>IF(I463&lt;&gt;"",MAX(A$1:A462)+1,"")</f>
        <v/>
      </c>
      <c r="B463" s="74" t="s">
        <v>2593</v>
      </c>
      <c r="C463" s="103" t="s">
        <v>57</v>
      </c>
      <c r="D463" s="103">
        <f t="shared" si="15"/>
        <v>4</v>
      </c>
      <c r="E463" s="89" t="s">
        <v>3076</v>
      </c>
      <c r="G463" s="103">
        <f>ROUND((32768/BASE_TORQ) * MTPVTorque_151,0)</f>
        <v>8565</v>
      </c>
      <c r="H463" s="94" t="str">
        <f>IF(G463&lt;&gt;"",IF(C463="float32",FLOAT2HEX(G463),DEC2HEX(G463,8)),"")</f>
        <v>00002175</v>
      </c>
      <c r="I463" s="94" t="str">
        <f t="shared" si="16"/>
        <v/>
      </c>
    </row>
    <row r="464" spans="1:9" x14ac:dyDescent="0.25">
      <c r="A464" s="96" t="str">
        <f>IF(I464&lt;&gt;"",MAX(A$1:A463)+1,"")</f>
        <v/>
      </c>
      <c r="B464" s="97" t="s">
        <v>2594</v>
      </c>
      <c r="C464" s="103" t="s">
        <v>57</v>
      </c>
      <c r="D464" s="103">
        <f t="shared" si="15"/>
        <v>4</v>
      </c>
      <c r="E464" s="89" t="s">
        <v>3077</v>
      </c>
      <c r="G464" s="103">
        <f>ROUND((32768/BASE_ANGLE) * MTPVAngle_151,0)</f>
        <v>22813</v>
      </c>
      <c r="H464" s="94" t="str">
        <f>IF(G464&lt;&gt;"",IF(C464="float32",FLOAT2HEX(G464),DEC2HEX(G464,8)),"")</f>
        <v>0000591D</v>
      </c>
      <c r="I464" s="94" t="str">
        <f t="shared" si="16"/>
        <v/>
      </c>
    </row>
    <row r="465" spans="1:9" x14ac:dyDescent="0.25">
      <c r="A465" s="96" t="str">
        <f>IF(I465&lt;&gt;"",MAX(A$1:A464)+1,"")</f>
        <v/>
      </c>
      <c r="B465" s="97" t="s">
        <v>2595</v>
      </c>
      <c r="C465" s="103" t="s">
        <v>57</v>
      </c>
      <c r="D465" s="103">
        <f t="shared" si="15"/>
        <v>4</v>
      </c>
      <c r="E465" s="89" t="s">
        <v>3078</v>
      </c>
      <c r="G465" s="103">
        <f>ROUND((32768/BASE_FLUX) * MTPVFlux_152,0)</f>
        <v>18641</v>
      </c>
      <c r="H465" s="94" t="str">
        <f>IF(G465&lt;&gt;"",IF(C465="float32",FLOAT2HEX(G465),DEC2HEX(G465,8)),"")</f>
        <v>000048D1</v>
      </c>
      <c r="I465" s="94" t="str">
        <f t="shared" si="16"/>
        <v/>
      </c>
    </row>
    <row r="466" spans="1:9" x14ac:dyDescent="0.25">
      <c r="A466" s="96" t="str">
        <f>IF(I466&lt;&gt;"",MAX(A$1:A465)+1,"")</f>
        <v/>
      </c>
      <c r="B466" s="74" t="s">
        <v>2596</v>
      </c>
      <c r="C466" s="103" t="s">
        <v>57</v>
      </c>
      <c r="D466" s="103">
        <f t="shared" si="15"/>
        <v>4</v>
      </c>
      <c r="E466" s="89" t="s">
        <v>3079</v>
      </c>
      <c r="G466" s="103">
        <f>ROUND((32768/BASE_TORQ) * MTPVTorque_152,0)</f>
        <v>8565</v>
      </c>
      <c r="H466" s="94" t="str">
        <f>IF(G466&lt;&gt;"",IF(C466="float32",FLOAT2HEX(G466),DEC2HEX(G466,8)),"")</f>
        <v>00002175</v>
      </c>
      <c r="I466" s="94" t="str">
        <f t="shared" si="16"/>
        <v/>
      </c>
    </row>
    <row r="467" spans="1:9" x14ac:dyDescent="0.25">
      <c r="A467" s="96" t="str">
        <f>IF(I467&lt;&gt;"",MAX(A$1:A466)+1,"")</f>
        <v/>
      </c>
      <c r="B467" s="97" t="s">
        <v>2597</v>
      </c>
      <c r="C467" s="103" t="s">
        <v>57</v>
      </c>
      <c r="D467" s="103">
        <f t="shared" si="15"/>
        <v>4</v>
      </c>
      <c r="E467" s="89" t="s">
        <v>3080</v>
      </c>
      <c r="G467" s="103">
        <f>ROUND((32768/BASE_ANGLE) * MTPVAngle_152,0)</f>
        <v>22825</v>
      </c>
      <c r="H467" s="94" t="str">
        <f>IF(G467&lt;&gt;"",IF(C467="float32",FLOAT2HEX(G467),DEC2HEX(G467,8)),"")</f>
        <v>00005929</v>
      </c>
      <c r="I467" s="94" t="str">
        <f t="shared" si="16"/>
        <v/>
      </c>
    </row>
    <row r="468" spans="1:9" x14ac:dyDescent="0.25">
      <c r="A468" s="96" t="str">
        <f>IF(I468&lt;&gt;"",MAX(A$1:A467)+1,"")</f>
        <v/>
      </c>
      <c r="B468" s="97" t="s">
        <v>2598</v>
      </c>
      <c r="C468" s="103" t="s">
        <v>57</v>
      </c>
      <c r="D468" s="103">
        <f t="shared" si="15"/>
        <v>4</v>
      </c>
      <c r="E468" s="89" t="s">
        <v>3081</v>
      </c>
      <c r="G468" s="103">
        <f>ROUND((32768/BASE_FLUX) * MTPVFlux_153,0)</f>
        <v>18758</v>
      </c>
      <c r="H468" s="94" t="str">
        <f>IF(G468&lt;&gt;"",IF(C468="float32",FLOAT2HEX(G468),DEC2HEX(G468,8)),"")</f>
        <v>00004946</v>
      </c>
      <c r="I468" s="94" t="str">
        <f t="shared" si="16"/>
        <v/>
      </c>
    </row>
    <row r="469" spans="1:9" x14ac:dyDescent="0.25">
      <c r="A469" s="96" t="str">
        <f>IF(I469&lt;&gt;"",MAX(A$1:A468)+1,"")</f>
        <v/>
      </c>
      <c r="B469" s="74" t="s">
        <v>2599</v>
      </c>
      <c r="C469" s="103" t="s">
        <v>57</v>
      </c>
      <c r="D469" s="103">
        <f t="shared" si="15"/>
        <v>4</v>
      </c>
      <c r="E469" s="89" t="s">
        <v>3082</v>
      </c>
      <c r="G469" s="103">
        <f>ROUND((32768/BASE_TORQ) * MTPVTorque_153,0)</f>
        <v>8565</v>
      </c>
      <c r="H469" s="94" t="str">
        <f>IF(G469&lt;&gt;"",IF(C469="float32",FLOAT2HEX(G469),DEC2HEX(G469,8)),"")</f>
        <v>00002175</v>
      </c>
      <c r="I469" s="94" t="str">
        <f t="shared" si="16"/>
        <v/>
      </c>
    </row>
    <row r="470" spans="1:9" x14ac:dyDescent="0.25">
      <c r="A470" s="96" t="str">
        <f>IF(I470&lt;&gt;"",MAX(A$1:A469)+1,"")</f>
        <v/>
      </c>
      <c r="B470" s="97" t="s">
        <v>2600</v>
      </c>
      <c r="C470" s="103" t="s">
        <v>57</v>
      </c>
      <c r="D470" s="103">
        <f t="shared" si="15"/>
        <v>4</v>
      </c>
      <c r="E470" s="89" t="s">
        <v>3083</v>
      </c>
      <c r="G470" s="103">
        <f>ROUND((32768/BASE_ANGLE) * MTPVAngle_153,0)</f>
        <v>22839</v>
      </c>
      <c r="H470" s="94" t="str">
        <f>IF(G470&lt;&gt;"",IF(C470="float32",FLOAT2HEX(G470),DEC2HEX(G470,8)),"")</f>
        <v>00005937</v>
      </c>
      <c r="I470" s="94" t="str">
        <f t="shared" si="16"/>
        <v/>
      </c>
    </row>
    <row r="471" spans="1:9" x14ac:dyDescent="0.25">
      <c r="A471" s="96" t="str">
        <f>IF(I471&lt;&gt;"",MAX(A$1:A470)+1,"")</f>
        <v/>
      </c>
      <c r="B471" s="97" t="s">
        <v>2601</v>
      </c>
      <c r="C471" s="103" t="s">
        <v>57</v>
      </c>
      <c r="D471" s="103">
        <f t="shared" si="15"/>
        <v>4</v>
      </c>
      <c r="E471" s="89" t="s">
        <v>3084</v>
      </c>
      <c r="G471" s="103">
        <f>ROUND((32768/BASE_FLUX) * MTPVFlux_154,0)</f>
        <v>18875</v>
      </c>
      <c r="H471" s="94" t="str">
        <f>IF(G471&lt;&gt;"",IF(C471="float32",FLOAT2HEX(G471),DEC2HEX(G471,8)),"")</f>
        <v>000049BB</v>
      </c>
      <c r="I471" s="94" t="str">
        <f t="shared" si="16"/>
        <v/>
      </c>
    </row>
    <row r="472" spans="1:9" x14ac:dyDescent="0.25">
      <c r="A472" s="96" t="str">
        <f>IF(I472&lt;&gt;"",MAX(A$1:A471)+1,"")</f>
        <v/>
      </c>
      <c r="B472" s="74" t="s">
        <v>2602</v>
      </c>
      <c r="C472" s="103" t="s">
        <v>57</v>
      </c>
      <c r="D472" s="103">
        <f t="shared" si="15"/>
        <v>4</v>
      </c>
      <c r="E472" s="89" t="s">
        <v>3085</v>
      </c>
      <c r="G472" s="103">
        <f>ROUND((32768/BASE_TORQ) * MTPVTorque_154,0)</f>
        <v>8565</v>
      </c>
      <c r="H472" s="94" t="str">
        <f>IF(G472&lt;&gt;"",IF(C472="float32",FLOAT2HEX(G472),DEC2HEX(G472,8)),"")</f>
        <v>00002175</v>
      </c>
      <c r="I472" s="94" t="str">
        <f t="shared" si="16"/>
        <v/>
      </c>
    </row>
    <row r="473" spans="1:9" x14ac:dyDescent="0.25">
      <c r="A473" s="96" t="str">
        <f>IF(I473&lt;&gt;"",MAX(A$1:A472)+1,"")</f>
        <v/>
      </c>
      <c r="B473" s="97" t="s">
        <v>2603</v>
      </c>
      <c r="C473" s="103" t="s">
        <v>57</v>
      </c>
      <c r="D473" s="103">
        <f t="shared" si="15"/>
        <v>4</v>
      </c>
      <c r="E473" s="89" t="s">
        <v>3086</v>
      </c>
      <c r="G473" s="103">
        <f>ROUND((32768/BASE_ANGLE) * MTPVAngle_154,0)</f>
        <v>22854</v>
      </c>
      <c r="H473" s="94" t="str">
        <f>IF(G473&lt;&gt;"",IF(C473="float32",FLOAT2HEX(G473),DEC2HEX(G473,8)),"")</f>
        <v>00005946</v>
      </c>
      <c r="I473" s="94" t="str">
        <f t="shared" si="16"/>
        <v/>
      </c>
    </row>
    <row r="474" spans="1:9" x14ac:dyDescent="0.25">
      <c r="A474" s="96" t="str">
        <f>IF(I474&lt;&gt;"",MAX(A$1:A473)+1,"")</f>
        <v/>
      </c>
      <c r="B474" s="97" t="s">
        <v>2604</v>
      </c>
      <c r="C474" s="103" t="s">
        <v>57</v>
      </c>
      <c r="D474" s="103">
        <f t="shared" si="15"/>
        <v>4</v>
      </c>
      <c r="E474" s="89" t="s">
        <v>3087</v>
      </c>
      <c r="G474" s="103">
        <f>ROUND((32768/BASE_FLUX) * MTPVFlux_155,0)</f>
        <v>18993</v>
      </c>
      <c r="H474" s="94" t="str">
        <f>IF(G474&lt;&gt;"",IF(C474="float32",FLOAT2HEX(G474),DEC2HEX(G474,8)),"")</f>
        <v>00004A31</v>
      </c>
      <c r="I474" s="94" t="str">
        <f t="shared" si="16"/>
        <v/>
      </c>
    </row>
    <row r="475" spans="1:9" x14ac:dyDescent="0.25">
      <c r="A475" s="96" t="str">
        <f>IF(I475&lt;&gt;"",MAX(A$1:A474)+1,"")</f>
        <v/>
      </c>
      <c r="B475" s="74" t="s">
        <v>2605</v>
      </c>
      <c r="C475" s="103" t="s">
        <v>57</v>
      </c>
      <c r="D475" s="103">
        <f t="shared" si="15"/>
        <v>4</v>
      </c>
      <c r="E475" s="89" t="s">
        <v>3088</v>
      </c>
      <c r="G475" s="103">
        <f>ROUND((32768/BASE_TORQ) * MTPVTorque_155,0)</f>
        <v>8565</v>
      </c>
      <c r="H475" s="94" t="str">
        <f>IF(G475&lt;&gt;"",IF(C475="float32",FLOAT2HEX(G475),DEC2HEX(G475,8)),"")</f>
        <v>00002175</v>
      </c>
      <c r="I475" s="94" t="str">
        <f t="shared" si="16"/>
        <v/>
      </c>
    </row>
    <row r="476" spans="1:9" x14ac:dyDescent="0.25">
      <c r="A476" s="96" t="str">
        <f>IF(I476&lt;&gt;"",MAX(A$1:A475)+1,"")</f>
        <v/>
      </c>
      <c r="B476" s="97" t="s">
        <v>2606</v>
      </c>
      <c r="C476" s="103" t="s">
        <v>57</v>
      </c>
      <c r="D476" s="103">
        <f t="shared" si="15"/>
        <v>4</v>
      </c>
      <c r="E476" s="89" t="s">
        <v>3089</v>
      </c>
      <c r="G476" s="103">
        <f>ROUND((32768/BASE_ANGLE) * MTPVAngle_155,0)</f>
        <v>22870</v>
      </c>
      <c r="H476" s="94" t="str">
        <f>IF(G476&lt;&gt;"",IF(C476="float32",FLOAT2HEX(G476),DEC2HEX(G476,8)),"")</f>
        <v>00005956</v>
      </c>
      <c r="I476" s="94" t="str">
        <f t="shared" si="16"/>
        <v/>
      </c>
    </row>
    <row r="477" spans="1:9" x14ac:dyDescent="0.25">
      <c r="A477" s="96" t="str">
        <f>IF(I477&lt;&gt;"",MAX(A$1:A476)+1,"")</f>
        <v/>
      </c>
      <c r="B477" s="97" t="s">
        <v>2607</v>
      </c>
      <c r="C477" s="103" t="s">
        <v>57</v>
      </c>
      <c r="D477" s="103">
        <f t="shared" si="15"/>
        <v>4</v>
      </c>
      <c r="E477" s="89" t="s">
        <v>3090</v>
      </c>
      <c r="G477" s="103">
        <f>ROUND((32768/BASE_FLUX) * MTPVFlux_156,0)</f>
        <v>19110</v>
      </c>
      <c r="H477" s="94" t="str">
        <f>IF(G477&lt;&gt;"",IF(C477="float32",FLOAT2HEX(G477),DEC2HEX(G477,8)),"")</f>
        <v>00004AA6</v>
      </c>
      <c r="I477" s="94" t="str">
        <f t="shared" si="16"/>
        <v/>
      </c>
    </row>
    <row r="478" spans="1:9" x14ac:dyDescent="0.25">
      <c r="A478" s="96" t="str">
        <f>IF(I478&lt;&gt;"",MAX(A$1:A477)+1,"")</f>
        <v/>
      </c>
      <c r="B478" s="74" t="s">
        <v>2608</v>
      </c>
      <c r="C478" s="103" t="s">
        <v>57</v>
      </c>
      <c r="D478" s="103">
        <f t="shared" si="15"/>
        <v>4</v>
      </c>
      <c r="E478" s="89" t="s">
        <v>3091</v>
      </c>
      <c r="G478" s="103">
        <f>ROUND((32768/BASE_TORQ) * MTPVTorque_156,0)</f>
        <v>8565</v>
      </c>
      <c r="H478" s="94" t="str">
        <f>IF(G478&lt;&gt;"",IF(C478="float32",FLOAT2HEX(G478),DEC2HEX(G478,8)),"")</f>
        <v>00002175</v>
      </c>
      <c r="I478" s="94" t="str">
        <f t="shared" si="16"/>
        <v/>
      </c>
    </row>
    <row r="479" spans="1:9" x14ac:dyDescent="0.25">
      <c r="A479" s="96" t="str">
        <f>IF(I479&lt;&gt;"",MAX(A$1:A478)+1,"")</f>
        <v/>
      </c>
      <c r="B479" s="97" t="s">
        <v>2609</v>
      </c>
      <c r="C479" s="103" t="s">
        <v>57</v>
      </c>
      <c r="D479" s="103">
        <f t="shared" si="15"/>
        <v>4</v>
      </c>
      <c r="E479" s="89" t="s">
        <v>3092</v>
      </c>
      <c r="G479" s="103">
        <f>ROUND((32768/BASE_ANGLE) * MTPVAngle_156,0)</f>
        <v>22888</v>
      </c>
      <c r="H479" s="94" t="str">
        <f>IF(G479&lt;&gt;"",IF(C479="float32",FLOAT2HEX(G479),DEC2HEX(G479,8)),"")</f>
        <v>00005968</v>
      </c>
      <c r="I479" s="94" t="str">
        <f t="shared" si="16"/>
        <v/>
      </c>
    </row>
    <row r="480" spans="1:9" x14ac:dyDescent="0.25">
      <c r="A480" s="96" t="str">
        <f>IF(I480&lt;&gt;"",MAX(A$1:A479)+1,"")</f>
        <v/>
      </c>
      <c r="B480" s="97" t="s">
        <v>2610</v>
      </c>
      <c r="C480" s="103" t="s">
        <v>57</v>
      </c>
      <c r="D480" s="103">
        <f t="shared" si="15"/>
        <v>4</v>
      </c>
      <c r="E480" s="89" t="s">
        <v>3093</v>
      </c>
      <c r="G480" s="103">
        <f>ROUND((32768/BASE_FLUX) * MTPVFlux_157,0)</f>
        <v>19227</v>
      </c>
      <c r="H480" s="94" t="str">
        <f>IF(G480&lt;&gt;"",IF(C480="float32",FLOAT2HEX(G480),DEC2HEX(G480,8)),"")</f>
        <v>00004B1B</v>
      </c>
      <c r="I480" s="94" t="str">
        <f t="shared" si="16"/>
        <v/>
      </c>
    </row>
    <row r="481" spans="1:9" x14ac:dyDescent="0.25">
      <c r="A481" s="96" t="str">
        <f>IF(I481&lt;&gt;"",MAX(A$1:A480)+1,"")</f>
        <v/>
      </c>
      <c r="B481" s="74" t="s">
        <v>2611</v>
      </c>
      <c r="C481" s="103" t="s">
        <v>57</v>
      </c>
      <c r="D481" s="103">
        <f t="shared" si="15"/>
        <v>4</v>
      </c>
      <c r="E481" s="89" t="s">
        <v>3094</v>
      </c>
      <c r="G481" s="103">
        <f>ROUND((32768/BASE_TORQ) * MTPVTorque_157,0)</f>
        <v>8565</v>
      </c>
      <c r="H481" s="94" t="str">
        <f>IF(G481&lt;&gt;"",IF(C481="float32",FLOAT2HEX(G481),DEC2HEX(G481,8)),"")</f>
        <v>00002175</v>
      </c>
      <c r="I481" s="94" t="str">
        <f t="shared" si="16"/>
        <v/>
      </c>
    </row>
    <row r="482" spans="1:9" x14ac:dyDescent="0.25">
      <c r="A482" s="96" t="str">
        <f>IF(I482&lt;&gt;"",MAX(A$1:A481)+1,"")</f>
        <v/>
      </c>
      <c r="B482" s="97" t="s">
        <v>2612</v>
      </c>
      <c r="C482" s="103" t="s">
        <v>57</v>
      </c>
      <c r="D482" s="103">
        <f t="shared" si="15"/>
        <v>4</v>
      </c>
      <c r="E482" s="89" t="s">
        <v>3095</v>
      </c>
      <c r="G482" s="103">
        <f>ROUND((32768/BASE_ANGLE) * MTPVAngle_157,0)</f>
        <v>22907</v>
      </c>
      <c r="H482" s="94" t="str">
        <f>IF(G482&lt;&gt;"",IF(C482="float32",FLOAT2HEX(G482),DEC2HEX(G482,8)),"")</f>
        <v>0000597B</v>
      </c>
      <c r="I482" s="94" t="str">
        <f t="shared" si="16"/>
        <v/>
      </c>
    </row>
    <row r="483" spans="1:9" x14ac:dyDescent="0.25">
      <c r="A483" s="96" t="str">
        <f>IF(I483&lt;&gt;"",MAX(A$1:A482)+1,"")</f>
        <v/>
      </c>
      <c r="B483" s="97" t="s">
        <v>2613</v>
      </c>
      <c r="C483" s="103" t="s">
        <v>57</v>
      </c>
      <c r="D483" s="103">
        <f t="shared" si="15"/>
        <v>4</v>
      </c>
      <c r="E483" s="89" t="s">
        <v>3096</v>
      </c>
      <c r="G483" s="103">
        <f>ROUND((32768/BASE_FLUX) * MTPVFlux_158,0)</f>
        <v>19344</v>
      </c>
      <c r="H483" s="94" t="str">
        <f>IF(G483&lt;&gt;"",IF(C483="float32",FLOAT2HEX(G483),DEC2HEX(G483,8)),"")</f>
        <v>00004B90</v>
      </c>
      <c r="I483" s="94" t="str">
        <f t="shared" si="16"/>
        <v/>
      </c>
    </row>
    <row r="484" spans="1:9" x14ac:dyDescent="0.25">
      <c r="A484" s="96" t="str">
        <f>IF(I484&lt;&gt;"",MAX(A$1:A483)+1,"")</f>
        <v/>
      </c>
      <c r="B484" s="74" t="s">
        <v>2614</v>
      </c>
      <c r="C484" s="103" t="s">
        <v>57</v>
      </c>
      <c r="D484" s="103">
        <f t="shared" si="15"/>
        <v>4</v>
      </c>
      <c r="E484" s="89" t="s">
        <v>3097</v>
      </c>
      <c r="G484" s="103">
        <f>ROUND((32768/BASE_TORQ) * MTPVTorque_158,0)</f>
        <v>8565</v>
      </c>
      <c r="H484" s="94" t="str">
        <f>IF(G484&lt;&gt;"",IF(C484="float32",FLOAT2HEX(G484),DEC2HEX(G484,8)),"")</f>
        <v>00002175</v>
      </c>
      <c r="I484" s="94" t="str">
        <f t="shared" si="16"/>
        <v/>
      </c>
    </row>
    <row r="485" spans="1:9" x14ac:dyDescent="0.25">
      <c r="A485" s="96" t="str">
        <f>IF(I485&lt;&gt;"",MAX(A$1:A484)+1,"")</f>
        <v/>
      </c>
      <c r="B485" s="97" t="s">
        <v>2615</v>
      </c>
      <c r="C485" s="103" t="s">
        <v>57</v>
      </c>
      <c r="D485" s="103">
        <f t="shared" si="15"/>
        <v>4</v>
      </c>
      <c r="E485" s="89" t="s">
        <v>3098</v>
      </c>
      <c r="G485" s="103">
        <f>ROUND((32768/BASE_ANGLE) * MTPVAngle_158,0)</f>
        <v>22927</v>
      </c>
      <c r="H485" s="94" t="str">
        <f>IF(G485&lt;&gt;"",IF(C485="float32",FLOAT2HEX(G485),DEC2HEX(G485,8)),"")</f>
        <v>0000598F</v>
      </c>
      <c r="I485" s="94" t="str">
        <f t="shared" si="16"/>
        <v/>
      </c>
    </row>
    <row r="486" spans="1:9" x14ac:dyDescent="0.25">
      <c r="A486" s="96" t="str">
        <f>IF(I486&lt;&gt;"",MAX(A$1:A485)+1,"")</f>
        <v/>
      </c>
      <c r="B486" s="97" t="s">
        <v>2616</v>
      </c>
      <c r="C486" s="103" t="s">
        <v>57</v>
      </c>
      <c r="D486" s="103">
        <f t="shared" si="15"/>
        <v>4</v>
      </c>
      <c r="E486" s="89" t="s">
        <v>3099</v>
      </c>
      <c r="G486" s="103">
        <f>ROUND((32768/BASE_FLUX) * MTPVFlux_159,0)</f>
        <v>19461</v>
      </c>
      <c r="H486" s="94" t="str">
        <f>IF(G486&lt;&gt;"",IF(C486="float32",FLOAT2HEX(G486),DEC2HEX(G486,8)),"")</f>
        <v>00004C05</v>
      </c>
      <c r="I486" s="94" t="str">
        <f t="shared" si="16"/>
        <v/>
      </c>
    </row>
    <row r="487" spans="1:9" x14ac:dyDescent="0.25">
      <c r="A487" s="96" t="str">
        <f>IF(I487&lt;&gt;"",MAX(A$1:A486)+1,"")</f>
        <v/>
      </c>
      <c r="B487" s="74" t="s">
        <v>2617</v>
      </c>
      <c r="C487" s="103" t="s">
        <v>57</v>
      </c>
      <c r="D487" s="103">
        <f t="shared" si="15"/>
        <v>4</v>
      </c>
      <c r="E487" s="89" t="s">
        <v>3100</v>
      </c>
      <c r="G487" s="103">
        <f>ROUND((32768/BASE_TORQ) * MTPVTorque_159,0)</f>
        <v>8565</v>
      </c>
      <c r="H487" s="94" t="str">
        <f>IF(G487&lt;&gt;"",IF(C487="float32",FLOAT2HEX(G487),DEC2HEX(G487,8)),"")</f>
        <v>00002175</v>
      </c>
      <c r="I487" s="94" t="str">
        <f t="shared" si="16"/>
        <v/>
      </c>
    </row>
    <row r="488" spans="1:9" x14ac:dyDescent="0.25">
      <c r="A488" s="96" t="str">
        <f>IF(I488&lt;&gt;"",MAX(A$1:A487)+1,"")</f>
        <v/>
      </c>
      <c r="B488" s="97" t="s">
        <v>2618</v>
      </c>
      <c r="C488" s="103" t="s">
        <v>57</v>
      </c>
      <c r="D488" s="103">
        <f t="shared" si="15"/>
        <v>4</v>
      </c>
      <c r="E488" s="89" t="s">
        <v>3101</v>
      </c>
      <c r="G488" s="103">
        <f>ROUND((32768/BASE_ANGLE) * MTPVAngle_159,0)</f>
        <v>22949</v>
      </c>
      <c r="H488" s="94" t="str">
        <f>IF(G488&lt;&gt;"",IF(C488="float32",FLOAT2HEX(G488),DEC2HEX(G488,8)),"")</f>
        <v>000059A5</v>
      </c>
      <c r="I488" s="94" t="str">
        <f t="shared" si="16"/>
        <v/>
      </c>
    </row>
    <row r="489" spans="1:9" x14ac:dyDescent="0.25">
      <c r="A489" s="96" t="str">
        <f>IF(I489&lt;&gt;"",MAX(A$1:A488)+1,"")</f>
        <v/>
      </c>
      <c r="B489" s="97" t="s">
        <v>2619</v>
      </c>
      <c r="C489" s="103" t="s">
        <v>57</v>
      </c>
      <c r="D489" s="103">
        <f t="shared" si="15"/>
        <v>4</v>
      </c>
      <c r="E489" s="89" t="s">
        <v>3102</v>
      </c>
      <c r="G489" s="103">
        <f>ROUND((32768/BASE_FLUX) * MTPVFlux_160,0)</f>
        <v>19461</v>
      </c>
      <c r="H489" s="94" t="str">
        <f>IF(G489&lt;&gt;"",IF(C489="float32",FLOAT2HEX(G489),DEC2HEX(G489,8)),"")</f>
        <v>00004C05</v>
      </c>
      <c r="I489" s="94" t="str">
        <f t="shared" si="16"/>
        <v/>
      </c>
    </row>
    <row r="490" spans="1:9" x14ac:dyDescent="0.25">
      <c r="A490" s="96" t="str">
        <f>IF(I490&lt;&gt;"",MAX(A$1:A489)+1,"")</f>
        <v/>
      </c>
      <c r="B490" s="74" t="s">
        <v>2620</v>
      </c>
      <c r="C490" s="103" t="s">
        <v>57</v>
      </c>
      <c r="D490" s="103">
        <f t="shared" si="15"/>
        <v>4</v>
      </c>
      <c r="E490" s="89" t="s">
        <v>3103</v>
      </c>
      <c r="G490" s="103">
        <f>ROUND((32768/BASE_TORQ) * MTPVTorque_160,0)</f>
        <v>8565</v>
      </c>
      <c r="H490" s="94" t="str">
        <f>IF(G490&lt;&gt;"",IF(C490="float32",FLOAT2HEX(G490),DEC2HEX(G490,8)),"")</f>
        <v>00002175</v>
      </c>
      <c r="I490" s="94" t="str">
        <f t="shared" si="16"/>
        <v/>
      </c>
    </row>
    <row r="491" spans="1:9" x14ac:dyDescent="0.25">
      <c r="A491" s="96" t="str">
        <f>IF(I491&lt;&gt;"",MAX(A$1:A490)+1,"")</f>
        <v/>
      </c>
      <c r="B491" s="97" t="s">
        <v>2621</v>
      </c>
      <c r="C491" s="103" t="s">
        <v>57</v>
      </c>
      <c r="D491" s="103">
        <f t="shared" ref="D491" si="17">IF(OR(C491="sint64",C491="uint64",C491="double64"), 8, IF(OR(C491="sint32",C491="uint32",C491="float32"),4,IF(OR(C491="sint16",C491="uint16"),2,  IF(OR(C491="sint8",C491="uint8"),1,""))))</f>
        <v>4</v>
      </c>
      <c r="E491" s="89" t="s">
        <v>3104</v>
      </c>
      <c r="G491" s="103">
        <f>ROUND((32768/BASE_ANGLE) * MTPVAngle_160,0)</f>
        <v>22949</v>
      </c>
      <c r="H491" s="94" t="str">
        <f>IF(G491&lt;&gt;"",IF(C491="float32",FLOAT2HEX(G491),DEC2HEX(G491,8)),"")</f>
        <v>000059A5</v>
      </c>
      <c r="I491" s="94" t="str">
        <f t="shared" si="16"/>
        <v/>
      </c>
    </row>
  </sheetData>
  <mergeCells count="2">
    <mergeCell ref="B1:H1"/>
    <mergeCell ref="B3:C3"/>
  </mergeCells>
  <dataValidations count="1">
    <dataValidation type="list" allowBlank="1" showInputMessage="1" showErrorMessage="1" sqref="C9:C49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883</vt:i4>
      </vt:variant>
    </vt:vector>
  </HeadingPairs>
  <TitlesOfParts>
    <vt:vector size="895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Displ5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DIRECT_CURR_POS_10</vt:lpstr>
      <vt:lpstr>DIRECT_CURR_POS_11</vt:lpstr>
      <vt:lpstr>DIRECT_CURR_POS_12</vt:lpstr>
      <vt:lpstr>DIRECT_CURR_POS_13</vt:lpstr>
      <vt:lpstr>DIRECT_CURR_POS_14</vt:lpstr>
      <vt:lpstr>DIRECT_CURR_POS_15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DIRECT_CURR_POS_8</vt:lpstr>
      <vt:lpstr>DIRECT_CURR_POS_9</vt:lpstr>
      <vt:lpstr>DIRECT_IND_POS_0</vt:lpstr>
      <vt:lpstr>DIRECT_IND_POS_1</vt:lpstr>
      <vt:lpstr>DIRECT_IND_POS_10</vt:lpstr>
      <vt:lpstr>DIRECT_IND_POS_11</vt:lpstr>
      <vt:lpstr>DIRECT_IND_POS_12</vt:lpstr>
      <vt:lpstr>DIRECT_IND_POS_13</vt:lpstr>
      <vt:lpstr>DIRECT_IND_POS_14</vt:lpstr>
      <vt:lpstr>DIRECT_IND_POS_15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DIRECT_IND_POS_8</vt:lpstr>
      <vt:lpstr>DIRECT_IND_POS_9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MTPAFlux_25</vt:lpstr>
      <vt:lpstr>MTPAFlux_26</vt:lpstr>
      <vt:lpstr>MTPAFlux_27</vt:lpstr>
      <vt:lpstr>MTPAFlux_28</vt:lpstr>
      <vt:lpstr>MTPAFlux_29</vt:lpstr>
      <vt:lpstr>MTPAFlux_3</vt:lpstr>
      <vt:lpstr>MTPAFlux_30</vt:lpstr>
      <vt:lpstr>MTPAFlux_31</vt:lpstr>
      <vt:lpstr>MTPAFlux_32</vt:lpstr>
      <vt:lpstr>MTPAFlux_33</vt:lpstr>
      <vt:lpstr>MTPAFlux_34</vt:lpstr>
      <vt:lpstr>MTPAFlux_35</vt:lpstr>
      <vt:lpstr>MTPAFlux_36</vt:lpstr>
      <vt:lpstr>MTPAFlux_37</vt:lpstr>
      <vt:lpstr>MTPAFlux_38</vt:lpstr>
      <vt:lpstr>MTPAFlux_39</vt:lpstr>
      <vt:lpstr>MTPAFlux_4</vt:lpstr>
      <vt:lpstr>MTPAFlux_40</vt:lpstr>
      <vt:lpstr>MTPAFlux_41</vt:lpstr>
      <vt:lpstr>MTPAFlux_42</vt:lpstr>
      <vt:lpstr>MTPAFlux_43</vt:lpstr>
      <vt:lpstr>MTPAFlux_44</vt:lpstr>
      <vt:lpstr>MTPAFlux_45</vt:lpstr>
      <vt:lpstr>MTPAFlux_46</vt:lpstr>
      <vt:lpstr>MTPAFlux_47</vt:lpstr>
      <vt:lpstr>MTPAFlux_48</vt:lpstr>
      <vt:lpstr>MTPAFlux_49</vt:lpstr>
      <vt:lpstr>MTPAFlux_5</vt:lpstr>
      <vt:lpstr>MTPAFlux_50</vt:lpstr>
      <vt:lpstr>MTPAFlux_51</vt:lpstr>
      <vt:lpstr>MTPAFlux_52</vt:lpstr>
      <vt:lpstr>MTPAFlux_53</vt:lpstr>
      <vt:lpstr>MTPAFlux_54</vt:lpstr>
      <vt:lpstr>MTPAFlux_55</vt:lpstr>
      <vt:lpstr>MTPAFlux_56</vt:lpstr>
      <vt:lpstr>MTPAFlux_57</vt:lpstr>
      <vt:lpstr>MTPAFlux_58</vt:lpstr>
      <vt:lpstr>MTPAFlux_59</vt:lpstr>
      <vt:lpstr>MTPAFlux_6</vt:lpstr>
      <vt:lpstr>MTPAFlux_60</vt:lpstr>
      <vt:lpstr>MTPAFlux_61</vt:lpstr>
      <vt:lpstr>MTPAFlux_62</vt:lpstr>
      <vt:lpstr>MTPAFlux_63</vt:lpstr>
      <vt:lpstr>MTPAFlux_64</vt:lpstr>
      <vt:lpstr>MTPAFlux_65</vt:lpstr>
      <vt:lpstr>MTPAFlux_66</vt:lpstr>
      <vt:lpstr>MTPAFlux_67</vt:lpstr>
      <vt:lpstr>MTPAFlux_68</vt:lpstr>
      <vt:lpstr>MTPAFlux_69</vt:lpstr>
      <vt:lpstr>MTPAFlux_7</vt:lpstr>
      <vt:lpstr>MTPAFlux_70</vt:lpstr>
      <vt:lpstr>MTPAFlux_71</vt:lpstr>
      <vt:lpstr>MTPAFlux_72</vt:lpstr>
      <vt:lpstr>MTPAFlux_73</vt:lpstr>
      <vt:lpstr>MTPAFlux_74</vt:lpstr>
      <vt:lpstr>MTPAFlux_75</vt:lpstr>
      <vt:lpstr>MTPAFlux_76</vt:lpstr>
      <vt:lpstr>MTPAFlux_77</vt:lpstr>
      <vt:lpstr>MTPAFlux_78</vt:lpstr>
      <vt:lpstr>MTPAFlux_79</vt:lpstr>
      <vt:lpstr>MTPAFlux_8</vt:lpstr>
      <vt:lpstr>MTPAFlux_80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MTPATorque_25</vt:lpstr>
      <vt:lpstr>MTPATorque_26</vt:lpstr>
      <vt:lpstr>MTPATorque_27</vt:lpstr>
      <vt:lpstr>MTPATorque_28</vt:lpstr>
      <vt:lpstr>MTPATorque_29</vt:lpstr>
      <vt:lpstr>MTPATorque_3</vt:lpstr>
      <vt:lpstr>MTPATorque_30</vt:lpstr>
      <vt:lpstr>MTPATorque_31</vt:lpstr>
      <vt:lpstr>MTPATorque_32</vt:lpstr>
      <vt:lpstr>MTPATorque_33</vt:lpstr>
      <vt:lpstr>MTPATorque_34</vt:lpstr>
      <vt:lpstr>MTPATorque_35</vt:lpstr>
      <vt:lpstr>MTPATorque_36</vt:lpstr>
      <vt:lpstr>MTPATorque_37</vt:lpstr>
      <vt:lpstr>MTPATorque_38</vt:lpstr>
      <vt:lpstr>MTPATorque_39</vt:lpstr>
      <vt:lpstr>MTPATorque_4</vt:lpstr>
      <vt:lpstr>MTPATorque_40</vt:lpstr>
      <vt:lpstr>MTPATorque_41</vt:lpstr>
      <vt:lpstr>MTPATorque_42</vt:lpstr>
      <vt:lpstr>MTPATorque_43</vt:lpstr>
      <vt:lpstr>MTPATorque_44</vt:lpstr>
      <vt:lpstr>MTPATorque_45</vt:lpstr>
      <vt:lpstr>MTPATorque_46</vt:lpstr>
      <vt:lpstr>MTPATorque_47</vt:lpstr>
      <vt:lpstr>MTPATorque_48</vt:lpstr>
      <vt:lpstr>MTPATorque_49</vt:lpstr>
      <vt:lpstr>MTPATorque_5</vt:lpstr>
      <vt:lpstr>MTPATorque_50</vt:lpstr>
      <vt:lpstr>MTPATorque_51</vt:lpstr>
      <vt:lpstr>MTPATorque_52</vt:lpstr>
      <vt:lpstr>MTPATorque_53</vt:lpstr>
      <vt:lpstr>MTPATorque_54</vt:lpstr>
      <vt:lpstr>MTPATorque_55</vt:lpstr>
      <vt:lpstr>MTPATorque_56</vt:lpstr>
      <vt:lpstr>MTPATorque_57</vt:lpstr>
      <vt:lpstr>MTPATorque_58</vt:lpstr>
      <vt:lpstr>MTPATorque_59</vt:lpstr>
      <vt:lpstr>MTPATorque_6</vt:lpstr>
      <vt:lpstr>MTPATorque_60</vt:lpstr>
      <vt:lpstr>MTPATorque_61</vt:lpstr>
      <vt:lpstr>MTPATorque_62</vt:lpstr>
      <vt:lpstr>MTPATorque_63</vt:lpstr>
      <vt:lpstr>MTPATorque_64</vt:lpstr>
      <vt:lpstr>MTPATorque_65</vt:lpstr>
      <vt:lpstr>MTPATorque_66</vt:lpstr>
      <vt:lpstr>MTPATorque_67</vt:lpstr>
      <vt:lpstr>MTPATorque_68</vt:lpstr>
      <vt:lpstr>MTPATorque_69</vt:lpstr>
      <vt:lpstr>MTPATorque_7</vt:lpstr>
      <vt:lpstr>MTPATorque_70</vt:lpstr>
      <vt:lpstr>MTPATorque_71</vt:lpstr>
      <vt:lpstr>MTPATorque_72</vt:lpstr>
      <vt:lpstr>MTPATorque_73</vt:lpstr>
      <vt:lpstr>MTPATorque_74</vt:lpstr>
      <vt:lpstr>MTPATorque_75</vt:lpstr>
      <vt:lpstr>MTPATorque_76</vt:lpstr>
      <vt:lpstr>MTPATorque_77</vt:lpstr>
      <vt:lpstr>MTPATorque_78</vt:lpstr>
      <vt:lpstr>MTPATorque_79</vt:lpstr>
      <vt:lpstr>MTPATorque_8</vt:lpstr>
      <vt:lpstr>MTPATorque_80</vt:lpstr>
      <vt:lpstr>MTPATorque_9</vt:lpstr>
      <vt:lpstr>MTPVAngle_0</vt:lpstr>
      <vt:lpstr>MTPVAngle_1</vt:lpstr>
      <vt:lpstr>MTPVAngle_10</vt:lpstr>
      <vt:lpstr>MTPVAngle_100</vt:lpstr>
      <vt:lpstr>MTPVAngle_101</vt:lpstr>
      <vt:lpstr>MTPVAngle_102</vt:lpstr>
      <vt:lpstr>MTPVAngle_103</vt:lpstr>
      <vt:lpstr>MTPVAngle_104</vt:lpstr>
      <vt:lpstr>MTPVAngle_105</vt:lpstr>
      <vt:lpstr>MTPVAngle_106</vt:lpstr>
      <vt:lpstr>MTPVAngle_107</vt:lpstr>
      <vt:lpstr>MTPVAngle_108</vt:lpstr>
      <vt:lpstr>MTPVAngle_109</vt:lpstr>
      <vt:lpstr>MTPVAngle_11</vt:lpstr>
      <vt:lpstr>MTPVAngle_110</vt:lpstr>
      <vt:lpstr>MTPVAngle_111</vt:lpstr>
      <vt:lpstr>MTPVAngle_112</vt:lpstr>
      <vt:lpstr>MTPVAngle_113</vt:lpstr>
      <vt:lpstr>MTPVAngle_114</vt:lpstr>
      <vt:lpstr>MTPVAngle_115</vt:lpstr>
      <vt:lpstr>MTPVAngle_116</vt:lpstr>
      <vt:lpstr>MTPVAngle_117</vt:lpstr>
      <vt:lpstr>MTPVAngle_118</vt:lpstr>
      <vt:lpstr>MTPVAngle_119</vt:lpstr>
      <vt:lpstr>MTPVAngle_12</vt:lpstr>
      <vt:lpstr>MTPVAngle_120</vt:lpstr>
      <vt:lpstr>MTPVAngle_121</vt:lpstr>
      <vt:lpstr>MTPVAngle_122</vt:lpstr>
      <vt:lpstr>MTPVAngle_123</vt:lpstr>
      <vt:lpstr>MTPVAngle_124</vt:lpstr>
      <vt:lpstr>MTPVAngle_125</vt:lpstr>
      <vt:lpstr>MTPVAngle_126</vt:lpstr>
      <vt:lpstr>MTPVAngle_127</vt:lpstr>
      <vt:lpstr>MTPVAngle_128</vt:lpstr>
      <vt:lpstr>MTPVAngle_129</vt:lpstr>
      <vt:lpstr>MTPVAngle_13</vt:lpstr>
      <vt:lpstr>MTPVAngle_130</vt:lpstr>
      <vt:lpstr>MTPVAngle_131</vt:lpstr>
      <vt:lpstr>MTPVAngle_132</vt:lpstr>
      <vt:lpstr>MTPVAngle_133</vt:lpstr>
      <vt:lpstr>MTPVAngle_134</vt:lpstr>
      <vt:lpstr>MTPVAngle_135</vt:lpstr>
      <vt:lpstr>MTPVAngle_136</vt:lpstr>
      <vt:lpstr>MTPVAngle_137</vt:lpstr>
      <vt:lpstr>MTPVAngle_138</vt:lpstr>
      <vt:lpstr>MTPVAngle_139</vt:lpstr>
      <vt:lpstr>MTPVAngle_14</vt:lpstr>
      <vt:lpstr>MTPVAngle_140</vt:lpstr>
      <vt:lpstr>MTPVAngle_141</vt:lpstr>
      <vt:lpstr>MTPVAngle_142</vt:lpstr>
      <vt:lpstr>MTPVAngle_143</vt:lpstr>
      <vt:lpstr>MTPVAngle_144</vt:lpstr>
      <vt:lpstr>MTPVAngle_145</vt:lpstr>
      <vt:lpstr>MTPVAngle_146</vt:lpstr>
      <vt:lpstr>MTPVAngle_147</vt:lpstr>
      <vt:lpstr>MTPVAngle_148</vt:lpstr>
      <vt:lpstr>MTPVAngle_149</vt:lpstr>
      <vt:lpstr>MTPVAngle_15</vt:lpstr>
      <vt:lpstr>MTPVAngle_150</vt:lpstr>
      <vt:lpstr>MTPVAngle_151</vt:lpstr>
      <vt:lpstr>MTPVAngle_152</vt:lpstr>
      <vt:lpstr>MTPVAngle_153</vt:lpstr>
      <vt:lpstr>MTPVAngle_154</vt:lpstr>
      <vt:lpstr>MTPVAngle_155</vt:lpstr>
      <vt:lpstr>MTPVAngle_156</vt:lpstr>
      <vt:lpstr>MTPVAngle_157</vt:lpstr>
      <vt:lpstr>MTPVAngle_158</vt:lpstr>
      <vt:lpstr>MTPVAngle_159</vt:lpstr>
      <vt:lpstr>MTPVAngle_16</vt:lpstr>
      <vt:lpstr>MTPVAngle_160</vt:lpstr>
      <vt:lpstr>MTPVAngle_17</vt:lpstr>
      <vt:lpstr>MTPVAngle_18</vt:lpstr>
      <vt:lpstr>MTPVAngle_19</vt:lpstr>
      <vt:lpstr>MTPVAngle_2</vt:lpstr>
      <vt:lpstr>MTPVAngle_20</vt:lpstr>
      <vt:lpstr>MTPVAngle_21</vt:lpstr>
      <vt:lpstr>MTPVAngle_22</vt:lpstr>
      <vt:lpstr>MTPVAngle_23</vt:lpstr>
      <vt:lpstr>MTPVAngle_24</vt:lpstr>
      <vt:lpstr>MTPVAngle_25</vt:lpstr>
      <vt:lpstr>MTPVAngle_26</vt:lpstr>
      <vt:lpstr>MTPVAngle_27</vt:lpstr>
      <vt:lpstr>MTPVAngle_28</vt:lpstr>
      <vt:lpstr>MTPVAngle_29</vt:lpstr>
      <vt:lpstr>MTPVAngle_3</vt:lpstr>
      <vt:lpstr>MTPVAngle_30</vt:lpstr>
      <vt:lpstr>MTPVAngle_31</vt:lpstr>
      <vt:lpstr>MTPVAngle_32</vt:lpstr>
      <vt:lpstr>MTPVAngle_33</vt:lpstr>
      <vt:lpstr>MTPVAngle_34</vt:lpstr>
      <vt:lpstr>MTPVAngle_35</vt:lpstr>
      <vt:lpstr>MTPVAngle_36</vt:lpstr>
      <vt:lpstr>MTPVAngle_37</vt:lpstr>
      <vt:lpstr>MTPVAngle_38</vt:lpstr>
      <vt:lpstr>MTPVAngle_39</vt:lpstr>
      <vt:lpstr>MTPVAngle_4</vt:lpstr>
      <vt:lpstr>MTPVAngle_40</vt:lpstr>
      <vt:lpstr>MTPVAngle_41</vt:lpstr>
      <vt:lpstr>MTPVAngle_42</vt:lpstr>
      <vt:lpstr>MTPVAngle_43</vt:lpstr>
      <vt:lpstr>MTPVAngle_44</vt:lpstr>
      <vt:lpstr>MTPVAngle_45</vt:lpstr>
      <vt:lpstr>MTPVAngle_46</vt:lpstr>
      <vt:lpstr>MTPVAngle_47</vt:lpstr>
      <vt:lpstr>MTPVAngle_48</vt:lpstr>
      <vt:lpstr>MTPVAngle_49</vt:lpstr>
      <vt:lpstr>MTPVAngle_5</vt:lpstr>
      <vt:lpstr>MTPVAngle_50</vt:lpstr>
      <vt:lpstr>MTPVAngle_51</vt:lpstr>
      <vt:lpstr>MTPVAngle_52</vt:lpstr>
      <vt:lpstr>MTPVAngle_53</vt:lpstr>
      <vt:lpstr>MTPVAngle_54</vt:lpstr>
      <vt:lpstr>MTPVAngle_55</vt:lpstr>
      <vt:lpstr>MTPVAngle_56</vt:lpstr>
      <vt:lpstr>MTPVAngle_57</vt:lpstr>
      <vt:lpstr>MTPVAngle_58</vt:lpstr>
      <vt:lpstr>MTPVAngle_59</vt:lpstr>
      <vt:lpstr>MTPVAngle_6</vt:lpstr>
      <vt:lpstr>MTPVAngle_60</vt:lpstr>
      <vt:lpstr>MTPVAngle_61</vt:lpstr>
      <vt:lpstr>MTPVAngle_62</vt:lpstr>
      <vt:lpstr>MTPVAngle_63</vt:lpstr>
      <vt:lpstr>MTPVAngle_64</vt:lpstr>
      <vt:lpstr>MTPVAngle_65</vt:lpstr>
      <vt:lpstr>MTPVAngle_66</vt:lpstr>
      <vt:lpstr>MTPVAngle_67</vt:lpstr>
      <vt:lpstr>MTPVAngle_68</vt:lpstr>
      <vt:lpstr>MTPVAngle_69</vt:lpstr>
      <vt:lpstr>MTPVAngle_7</vt:lpstr>
      <vt:lpstr>MTPVAngle_70</vt:lpstr>
      <vt:lpstr>MTPVAngle_71</vt:lpstr>
      <vt:lpstr>MTPVAngle_72</vt:lpstr>
      <vt:lpstr>MTPVAngle_73</vt:lpstr>
      <vt:lpstr>MTPVAngle_74</vt:lpstr>
      <vt:lpstr>MTPVAngle_75</vt:lpstr>
      <vt:lpstr>MTPVAngle_76</vt:lpstr>
      <vt:lpstr>MTPVAngle_77</vt:lpstr>
      <vt:lpstr>MTPVAngle_78</vt:lpstr>
      <vt:lpstr>MTPVAngle_79</vt:lpstr>
      <vt:lpstr>MTPVAngle_8</vt:lpstr>
      <vt:lpstr>MTPVAngle_80</vt:lpstr>
      <vt:lpstr>MTPVAngle_81</vt:lpstr>
      <vt:lpstr>MTPVAngle_82</vt:lpstr>
      <vt:lpstr>MTPVAngle_83</vt:lpstr>
      <vt:lpstr>MTPVAngle_84</vt:lpstr>
      <vt:lpstr>MTPVAngle_85</vt:lpstr>
      <vt:lpstr>MTPVAngle_86</vt:lpstr>
      <vt:lpstr>MTPVAngle_87</vt:lpstr>
      <vt:lpstr>MTPVAngle_88</vt:lpstr>
      <vt:lpstr>MTPVAngle_89</vt:lpstr>
      <vt:lpstr>MTPVAngle_9</vt:lpstr>
      <vt:lpstr>MTPVAngle_90</vt:lpstr>
      <vt:lpstr>MTPVAngle_91</vt:lpstr>
      <vt:lpstr>MTPVAngle_92</vt:lpstr>
      <vt:lpstr>MTPVAngle_93</vt:lpstr>
      <vt:lpstr>MTPVAngle_94</vt:lpstr>
      <vt:lpstr>MTPVAngle_95</vt:lpstr>
      <vt:lpstr>MTPVAngle_96</vt:lpstr>
      <vt:lpstr>MTPVAngle_97</vt:lpstr>
      <vt:lpstr>MTPVAngle_98</vt:lpstr>
      <vt:lpstr>MTPVAngle_99</vt:lpstr>
      <vt:lpstr>MTPVFlux_0</vt:lpstr>
      <vt:lpstr>MTPVFlux_1</vt:lpstr>
      <vt:lpstr>MTPVFlux_10</vt:lpstr>
      <vt:lpstr>MTPVFlux_100</vt:lpstr>
      <vt:lpstr>MTPVFlux_101</vt:lpstr>
      <vt:lpstr>MTPVFlux_102</vt:lpstr>
      <vt:lpstr>MTPVFlux_103</vt:lpstr>
      <vt:lpstr>MTPVFlux_104</vt:lpstr>
      <vt:lpstr>MTPVFlux_105</vt:lpstr>
      <vt:lpstr>MTPVFlux_106</vt:lpstr>
      <vt:lpstr>MTPVFlux_107</vt:lpstr>
      <vt:lpstr>MTPVFlux_108</vt:lpstr>
      <vt:lpstr>MTPVFlux_109</vt:lpstr>
      <vt:lpstr>MTPVFlux_11</vt:lpstr>
      <vt:lpstr>MTPVFlux_110</vt:lpstr>
      <vt:lpstr>MTPVFlux_111</vt:lpstr>
      <vt:lpstr>MTPVFlux_112</vt:lpstr>
      <vt:lpstr>MTPVFlux_113</vt:lpstr>
      <vt:lpstr>MTPVFlux_114</vt:lpstr>
      <vt:lpstr>MTPVFlux_115</vt:lpstr>
      <vt:lpstr>MTPVFlux_116</vt:lpstr>
      <vt:lpstr>MTPVFlux_117</vt:lpstr>
      <vt:lpstr>MTPVFlux_118</vt:lpstr>
      <vt:lpstr>MTPVFlux_119</vt:lpstr>
      <vt:lpstr>MTPVFlux_12</vt:lpstr>
      <vt:lpstr>MTPVFlux_120</vt:lpstr>
      <vt:lpstr>MTPVFlux_121</vt:lpstr>
      <vt:lpstr>MTPVFlux_122</vt:lpstr>
      <vt:lpstr>MTPVFlux_123</vt:lpstr>
      <vt:lpstr>MTPVFlux_124</vt:lpstr>
      <vt:lpstr>MTPVFlux_125</vt:lpstr>
      <vt:lpstr>MTPVFlux_126</vt:lpstr>
      <vt:lpstr>MTPVFlux_127</vt:lpstr>
      <vt:lpstr>MTPVFlux_128</vt:lpstr>
      <vt:lpstr>MTPVFlux_129</vt:lpstr>
      <vt:lpstr>MTPVFlux_13</vt:lpstr>
      <vt:lpstr>MTPVFlux_130</vt:lpstr>
      <vt:lpstr>MTPVFlux_131</vt:lpstr>
      <vt:lpstr>MTPVFlux_132</vt:lpstr>
      <vt:lpstr>MTPVFlux_133</vt:lpstr>
      <vt:lpstr>MTPVFlux_134</vt:lpstr>
      <vt:lpstr>MTPVFlux_135</vt:lpstr>
      <vt:lpstr>MTPVFlux_136</vt:lpstr>
      <vt:lpstr>MTPVFlux_137</vt:lpstr>
      <vt:lpstr>MTPVFlux_138</vt:lpstr>
      <vt:lpstr>MTPVFlux_139</vt:lpstr>
      <vt:lpstr>MTPVFlux_14</vt:lpstr>
      <vt:lpstr>MTPVFlux_140</vt:lpstr>
      <vt:lpstr>MTPVFlux_141</vt:lpstr>
      <vt:lpstr>MTPVFlux_142</vt:lpstr>
      <vt:lpstr>MTPVFlux_143</vt:lpstr>
      <vt:lpstr>MTPVFlux_144</vt:lpstr>
      <vt:lpstr>MTPVFlux_145</vt:lpstr>
      <vt:lpstr>MTPVFlux_146</vt:lpstr>
      <vt:lpstr>MTPVFlux_147</vt:lpstr>
      <vt:lpstr>MTPVFlux_148</vt:lpstr>
      <vt:lpstr>MTPVFlux_149</vt:lpstr>
      <vt:lpstr>MTPVFlux_15</vt:lpstr>
      <vt:lpstr>MTPVFlux_150</vt:lpstr>
      <vt:lpstr>MTPVFlux_151</vt:lpstr>
      <vt:lpstr>MTPVFlux_152</vt:lpstr>
      <vt:lpstr>MTPVFlux_153</vt:lpstr>
      <vt:lpstr>MTPVFlux_154</vt:lpstr>
      <vt:lpstr>MTPVFlux_155</vt:lpstr>
      <vt:lpstr>MTPVFlux_156</vt:lpstr>
      <vt:lpstr>MTPVFlux_157</vt:lpstr>
      <vt:lpstr>MTPVFlux_158</vt:lpstr>
      <vt:lpstr>MTPVFlux_159</vt:lpstr>
      <vt:lpstr>MTPVFlux_16</vt:lpstr>
      <vt:lpstr>MTPVFlux_160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MTPVFlux_25</vt:lpstr>
      <vt:lpstr>MTPVFlux_26</vt:lpstr>
      <vt:lpstr>MTPVFlux_27</vt:lpstr>
      <vt:lpstr>MTPVFlux_28</vt:lpstr>
      <vt:lpstr>MTPVFlux_29</vt:lpstr>
      <vt:lpstr>MTPVFlux_3</vt:lpstr>
      <vt:lpstr>MTPVFlux_30</vt:lpstr>
      <vt:lpstr>MTPVFlux_31</vt:lpstr>
      <vt:lpstr>MTPVFlux_32</vt:lpstr>
      <vt:lpstr>MTPVFlux_33</vt:lpstr>
      <vt:lpstr>MTPVFlux_34</vt:lpstr>
      <vt:lpstr>MTPVFlux_35</vt:lpstr>
      <vt:lpstr>MTPVFlux_36</vt:lpstr>
      <vt:lpstr>MTPVFlux_37</vt:lpstr>
      <vt:lpstr>MTPVFlux_38</vt:lpstr>
      <vt:lpstr>MTPVFlux_39</vt:lpstr>
      <vt:lpstr>MTPVFlux_4</vt:lpstr>
      <vt:lpstr>MTPVFlux_40</vt:lpstr>
      <vt:lpstr>MTPVFlux_41</vt:lpstr>
      <vt:lpstr>MTPVFlux_42</vt:lpstr>
      <vt:lpstr>MTPVFlux_43</vt:lpstr>
      <vt:lpstr>MTPVFlux_44</vt:lpstr>
      <vt:lpstr>MTPVFlux_45</vt:lpstr>
      <vt:lpstr>MTPVFlux_46</vt:lpstr>
      <vt:lpstr>MTPVFlux_47</vt:lpstr>
      <vt:lpstr>MTPVFlux_48</vt:lpstr>
      <vt:lpstr>MTPVFlux_49</vt:lpstr>
      <vt:lpstr>MTPVFlux_5</vt:lpstr>
      <vt:lpstr>MTPVFlux_50</vt:lpstr>
      <vt:lpstr>MTPVFlux_51</vt:lpstr>
      <vt:lpstr>MTPVFlux_52</vt:lpstr>
      <vt:lpstr>MTPVFlux_53</vt:lpstr>
      <vt:lpstr>MTPVFlux_54</vt:lpstr>
      <vt:lpstr>MTPVFlux_55</vt:lpstr>
      <vt:lpstr>MTPVFlux_56</vt:lpstr>
      <vt:lpstr>MTPVFlux_57</vt:lpstr>
      <vt:lpstr>MTPVFlux_58</vt:lpstr>
      <vt:lpstr>MTPVFlux_59</vt:lpstr>
      <vt:lpstr>MTPVFlux_6</vt:lpstr>
      <vt:lpstr>MTPVFlux_60</vt:lpstr>
      <vt:lpstr>MTPVFlux_61</vt:lpstr>
      <vt:lpstr>MTPVFlux_62</vt:lpstr>
      <vt:lpstr>MTPVFlux_63</vt:lpstr>
      <vt:lpstr>MTPVFlux_64</vt:lpstr>
      <vt:lpstr>MTPVFlux_65</vt:lpstr>
      <vt:lpstr>MTPVFlux_66</vt:lpstr>
      <vt:lpstr>MTPVFlux_67</vt:lpstr>
      <vt:lpstr>MTPVFlux_68</vt:lpstr>
      <vt:lpstr>MTPVFlux_69</vt:lpstr>
      <vt:lpstr>MTPVFlux_7</vt:lpstr>
      <vt:lpstr>MTPVFlux_70</vt:lpstr>
      <vt:lpstr>MTPVFlux_71</vt:lpstr>
      <vt:lpstr>MTPVFlux_72</vt:lpstr>
      <vt:lpstr>MTPVFlux_73</vt:lpstr>
      <vt:lpstr>MTPVFlux_74</vt:lpstr>
      <vt:lpstr>MTPVFlux_75</vt:lpstr>
      <vt:lpstr>MTPVFlux_76</vt:lpstr>
      <vt:lpstr>MTPVFlux_77</vt:lpstr>
      <vt:lpstr>MTPVFlux_78</vt:lpstr>
      <vt:lpstr>MTPVFlux_79</vt:lpstr>
      <vt:lpstr>MTPVFlux_8</vt:lpstr>
      <vt:lpstr>MTPVFlux_80</vt:lpstr>
      <vt:lpstr>MTPVFlux_81</vt:lpstr>
      <vt:lpstr>MTPVFlux_82</vt:lpstr>
      <vt:lpstr>MTPVFlux_83</vt:lpstr>
      <vt:lpstr>MTPVFlux_84</vt:lpstr>
      <vt:lpstr>MTPVFlux_85</vt:lpstr>
      <vt:lpstr>MTPVFlux_86</vt:lpstr>
      <vt:lpstr>MTPVFlux_87</vt:lpstr>
      <vt:lpstr>MTPVFlux_88</vt:lpstr>
      <vt:lpstr>MTPVFlux_89</vt:lpstr>
      <vt:lpstr>MTPVFlux_9</vt:lpstr>
      <vt:lpstr>MTPVFlux_90</vt:lpstr>
      <vt:lpstr>MTPVFlux_91</vt:lpstr>
      <vt:lpstr>MTPVFlux_92</vt:lpstr>
      <vt:lpstr>MTPVFlux_93</vt:lpstr>
      <vt:lpstr>MTPVFlux_94</vt:lpstr>
      <vt:lpstr>MTPVFlux_95</vt:lpstr>
      <vt:lpstr>MTPVFlux_96</vt:lpstr>
      <vt:lpstr>MTPVFlux_97</vt:lpstr>
      <vt:lpstr>MTPVFlux_98</vt:lpstr>
      <vt:lpstr>MTPVFlux_99</vt:lpstr>
      <vt:lpstr>MTPVTorque_0</vt:lpstr>
      <vt:lpstr>MTPVTorque_1</vt:lpstr>
      <vt:lpstr>MTPVTorque_10</vt:lpstr>
      <vt:lpstr>MTPVTorque_100</vt:lpstr>
      <vt:lpstr>MTPVTorque_101</vt:lpstr>
      <vt:lpstr>MTPVTorque_102</vt:lpstr>
      <vt:lpstr>MTPVTorque_103</vt:lpstr>
      <vt:lpstr>MTPVTorque_104</vt:lpstr>
      <vt:lpstr>MTPVTorque_105</vt:lpstr>
      <vt:lpstr>MTPVTorque_106</vt:lpstr>
      <vt:lpstr>MTPVTorque_107</vt:lpstr>
      <vt:lpstr>MTPVTorque_108</vt:lpstr>
      <vt:lpstr>MTPVTorque_109</vt:lpstr>
      <vt:lpstr>MTPVTorque_11</vt:lpstr>
      <vt:lpstr>MTPVTorque_110</vt:lpstr>
      <vt:lpstr>MTPVTorque_111</vt:lpstr>
      <vt:lpstr>MTPVTorque_112</vt:lpstr>
      <vt:lpstr>MTPVTorque_113</vt:lpstr>
      <vt:lpstr>MTPVTorque_114</vt:lpstr>
      <vt:lpstr>MTPVTorque_115</vt:lpstr>
      <vt:lpstr>MTPVTorque_116</vt:lpstr>
      <vt:lpstr>MTPVTorque_117</vt:lpstr>
      <vt:lpstr>MTPVTorque_118</vt:lpstr>
      <vt:lpstr>MTPVTorque_119</vt:lpstr>
      <vt:lpstr>MTPVTorque_12</vt:lpstr>
      <vt:lpstr>MTPVTorque_120</vt:lpstr>
      <vt:lpstr>MTPVTorque_121</vt:lpstr>
      <vt:lpstr>MTPVTorque_122</vt:lpstr>
      <vt:lpstr>MTPVTorque_123</vt:lpstr>
      <vt:lpstr>MTPVTorque_124</vt:lpstr>
      <vt:lpstr>MTPVTorque_125</vt:lpstr>
      <vt:lpstr>MTPVTorque_126</vt:lpstr>
      <vt:lpstr>MTPVTorque_127</vt:lpstr>
      <vt:lpstr>MTPVTorque_128</vt:lpstr>
      <vt:lpstr>MTPVTorque_129</vt:lpstr>
      <vt:lpstr>MTPVTorque_13</vt:lpstr>
      <vt:lpstr>MTPVTorque_130</vt:lpstr>
      <vt:lpstr>MTPVTorque_131</vt:lpstr>
      <vt:lpstr>MTPVTorque_132</vt:lpstr>
      <vt:lpstr>MTPVTorque_133</vt:lpstr>
      <vt:lpstr>MTPVTorque_134</vt:lpstr>
      <vt:lpstr>MTPVTorque_135</vt:lpstr>
      <vt:lpstr>MTPVTorque_136</vt:lpstr>
      <vt:lpstr>MTPVTorque_137</vt:lpstr>
      <vt:lpstr>MTPVTorque_138</vt:lpstr>
      <vt:lpstr>MTPVTorque_139</vt:lpstr>
      <vt:lpstr>MTPVTorque_14</vt:lpstr>
      <vt:lpstr>MTPVTorque_140</vt:lpstr>
      <vt:lpstr>MTPVTorque_141</vt:lpstr>
      <vt:lpstr>MTPVTorque_142</vt:lpstr>
      <vt:lpstr>MTPVTorque_143</vt:lpstr>
      <vt:lpstr>MTPVTorque_144</vt:lpstr>
      <vt:lpstr>MTPVTorque_145</vt:lpstr>
      <vt:lpstr>MTPVTorque_146</vt:lpstr>
      <vt:lpstr>MTPVTorque_147</vt:lpstr>
      <vt:lpstr>MTPVTorque_148</vt:lpstr>
      <vt:lpstr>MTPVTorque_149</vt:lpstr>
      <vt:lpstr>MTPVTorque_15</vt:lpstr>
      <vt:lpstr>MTPVTorque_150</vt:lpstr>
      <vt:lpstr>MTPVTorque_151</vt:lpstr>
      <vt:lpstr>MTPVTorque_152</vt:lpstr>
      <vt:lpstr>MTPVTorque_153</vt:lpstr>
      <vt:lpstr>MTPVTorque_154</vt:lpstr>
      <vt:lpstr>MTPVTorque_155</vt:lpstr>
      <vt:lpstr>MTPVTorque_156</vt:lpstr>
      <vt:lpstr>MTPVTorque_157</vt:lpstr>
      <vt:lpstr>MTPVTorque_158</vt:lpstr>
      <vt:lpstr>MTPVTorque_159</vt:lpstr>
      <vt:lpstr>MTPVTorque_16</vt:lpstr>
      <vt:lpstr>MTPVTorque_160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MTPVTorque_25</vt:lpstr>
      <vt:lpstr>MTPVTorque_26</vt:lpstr>
      <vt:lpstr>MTPVTorque_27</vt:lpstr>
      <vt:lpstr>MTPVTorque_28</vt:lpstr>
      <vt:lpstr>MTPVTorque_29</vt:lpstr>
      <vt:lpstr>MTPVTorque_3</vt:lpstr>
      <vt:lpstr>MTPVTorque_30</vt:lpstr>
      <vt:lpstr>MTPVTorque_31</vt:lpstr>
      <vt:lpstr>MTPVTorque_32</vt:lpstr>
      <vt:lpstr>MTPVTorque_33</vt:lpstr>
      <vt:lpstr>MTPVTorque_34</vt:lpstr>
      <vt:lpstr>MTPVTorque_35</vt:lpstr>
      <vt:lpstr>MTPVTorque_36</vt:lpstr>
      <vt:lpstr>MTPVTorque_37</vt:lpstr>
      <vt:lpstr>MTPVTorque_38</vt:lpstr>
      <vt:lpstr>MTPVTorque_39</vt:lpstr>
      <vt:lpstr>MTPVTorque_4</vt:lpstr>
      <vt:lpstr>MTPVTorque_40</vt:lpstr>
      <vt:lpstr>MTPVTorque_41</vt:lpstr>
      <vt:lpstr>MTPVTorque_42</vt:lpstr>
      <vt:lpstr>MTPVTorque_43</vt:lpstr>
      <vt:lpstr>MTPVTorque_44</vt:lpstr>
      <vt:lpstr>MTPVTorque_45</vt:lpstr>
      <vt:lpstr>MTPVTorque_46</vt:lpstr>
      <vt:lpstr>MTPVTorque_47</vt:lpstr>
      <vt:lpstr>MTPVTorque_48</vt:lpstr>
      <vt:lpstr>MTPVTorque_49</vt:lpstr>
      <vt:lpstr>MTPVTorque_5</vt:lpstr>
      <vt:lpstr>MTPVTorque_50</vt:lpstr>
      <vt:lpstr>MTPVTorque_51</vt:lpstr>
      <vt:lpstr>MTPVTorque_52</vt:lpstr>
      <vt:lpstr>MTPVTorque_53</vt:lpstr>
      <vt:lpstr>MTPVTorque_54</vt:lpstr>
      <vt:lpstr>MTPVTorque_55</vt:lpstr>
      <vt:lpstr>MTPVTorque_56</vt:lpstr>
      <vt:lpstr>MTPVTorque_57</vt:lpstr>
      <vt:lpstr>MTPVTorque_58</vt:lpstr>
      <vt:lpstr>MTPVTorque_59</vt:lpstr>
      <vt:lpstr>MTPVTorque_6</vt:lpstr>
      <vt:lpstr>MTPVTorque_60</vt:lpstr>
      <vt:lpstr>MTPVTorque_61</vt:lpstr>
      <vt:lpstr>MTPVTorque_62</vt:lpstr>
      <vt:lpstr>MTPVTorque_63</vt:lpstr>
      <vt:lpstr>MTPVTorque_64</vt:lpstr>
      <vt:lpstr>MTPVTorque_65</vt:lpstr>
      <vt:lpstr>MTPVTorque_66</vt:lpstr>
      <vt:lpstr>MTPVTorque_67</vt:lpstr>
      <vt:lpstr>MTPVTorque_68</vt:lpstr>
      <vt:lpstr>MTPVTorque_69</vt:lpstr>
      <vt:lpstr>MTPVTorque_7</vt:lpstr>
      <vt:lpstr>MTPVTorque_70</vt:lpstr>
      <vt:lpstr>MTPVTorque_71</vt:lpstr>
      <vt:lpstr>MTPVTorque_72</vt:lpstr>
      <vt:lpstr>MTPVTorque_73</vt:lpstr>
      <vt:lpstr>MTPVTorque_74</vt:lpstr>
      <vt:lpstr>MTPVTorque_75</vt:lpstr>
      <vt:lpstr>MTPVTorque_76</vt:lpstr>
      <vt:lpstr>MTPVTorque_77</vt:lpstr>
      <vt:lpstr>MTPVTorque_78</vt:lpstr>
      <vt:lpstr>MTPVTorque_79</vt:lpstr>
      <vt:lpstr>MTPVTorque_8</vt:lpstr>
      <vt:lpstr>MTPVTorque_80</vt:lpstr>
      <vt:lpstr>MTPVTorque_81</vt:lpstr>
      <vt:lpstr>MTPVTorque_82</vt:lpstr>
      <vt:lpstr>MTPVTorque_83</vt:lpstr>
      <vt:lpstr>MTPVTorque_84</vt:lpstr>
      <vt:lpstr>MTPVTorque_85</vt:lpstr>
      <vt:lpstr>MTPVTorque_86</vt:lpstr>
      <vt:lpstr>MTPVTorque_87</vt:lpstr>
      <vt:lpstr>MTPVTorque_88</vt:lpstr>
      <vt:lpstr>MTPVTorque_89</vt:lpstr>
      <vt:lpstr>MTPVTorque_9</vt:lpstr>
      <vt:lpstr>MTPVTorque_90</vt:lpstr>
      <vt:lpstr>MTPVTorque_91</vt:lpstr>
      <vt:lpstr>MTPVTorque_92</vt:lpstr>
      <vt:lpstr>MTPVTorque_93</vt:lpstr>
      <vt:lpstr>MTPVTorque_94</vt:lpstr>
      <vt:lpstr>MTPVTorque_95</vt:lpstr>
      <vt:lpstr>MTPVTorque_96</vt:lpstr>
      <vt:lpstr>MTPVTorque_97</vt:lpstr>
      <vt:lpstr>MTPVTorque_98</vt:lpstr>
      <vt:lpstr>MTPVTorque_99</vt:lpstr>
      <vt:lpstr>OBS_RESIS_ADAPT_CURRENT_THRES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PHASE_ADVANCE_COEFF</vt:lpstr>
      <vt:lpstr>PI_VOLT_MARGIN</vt:lpstr>
      <vt:lpstr>POLE_PAIRS</vt:lpstr>
      <vt:lpstr>PWM_MODULATION_TS</vt:lpstr>
      <vt:lpstr>PWM_SPEED_THRESHOLD_PWM_COMP</vt:lpstr>
      <vt:lpstr>PWM_STARTING_TIME</vt:lpstr>
      <vt:lpstr>Q_CURR_CONTROL_KI</vt:lpstr>
      <vt:lpstr>Q_CURR_CONTROL_KP</vt:lpstr>
      <vt:lpstr>QUAD_CURR_POS_0</vt:lpstr>
      <vt:lpstr>QUAD_CURR_POS_1</vt:lpstr>
      <vt:lpstr>QUAD_CURR_POS_10</vt:lpstr>
      <vt:lpstr>QUAD_CURR_POS_11</vt:lpstr>
      <vt:lpstr>QUAD_CURR_POS_12</vt:lpstr>
      <vt:lpstr>QUAD_CURR_POS_13</vt:lpstr>
      <vt:lpstr>QUAD_CURR_POS_14</vt:lpstr>
      <vt:lpstr>QUAD_CURR_POS_15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QUAD_CURR_POS_8</vt:lpstr>
      <vt:lpstr>QUAD_CURR_POS_9</vt:lpstr>
      <vt:lpstr>QUAD_IND_POS_0</vt:lpstr>
      <vt:lpstr>QUAD_IND_POS_1</vt:lpstr>
      <vt:lpstr>QUAD_IND_POS_10</vt:lpstr>
      <vt:lpstr>QUAD_IND_POS_11</vt:lpstr>
      <vt:lpstr>QUAD_IND_POS_12</vt:lpstr>
      <vt:lpstr>QUAD_IND_POS_13</vt:lpstr>
      <vt:lpstr>QUAD_IND_POS_14</vt:lpstr>
      <vt:lpstr>QUAD_IND_POS_15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QUAD_IND_POS_8</vt:lpstr>
      <vt:lpstr>QUAD_IND_POS_9</vt:lpstr>
      <vt:lpstr>ROTOR_LAMBDAM</vt:lpstr>
      <vt:lpstr>SAMPLES_NUMBER</vt:lpstr>
      <vt:lpstr>SBPM_MIN_OVERFLUX_FACTOR</vt:lpstr>
      <vt:lpstr>SBPM_OVERFLUX_FACTOR</vt:lpstr>
      <vt:lpstr>SBPM_SPEED_OVERFULX_THRESHOLD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2018-03-22T10:31:11Z</dcterms:modified>
</cp:coreProperties>
</file>