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firstSheet="2" activeTab="5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definition'!$C$229</definedName>
    <definedName name="ALGO_BUILD_FLUX_MIN_CURRENT">'Parameters definition'!$C$227</definedName>
    <definedName name="ALGO_BUILD_FLUX_RATIO_2_FORCE_FLUX">'Parameters definition'!$C$228</definedName>
    <definedName name="ALGO_BUILD_FLUX_STARTING_TIME">'Parameters definition'!$C$226</definedName>
    <definedName name="ALGO_BUILD_FLUX_TS">'Parameters definition'!$C$225</definedName>
    <definedName name="ALGO_RES_EST_1ST_PLATEAU_TIME">'Parameters definition'!$C$256</definedName>
    <definedName name="ALGO_RES_EST_2ND_PLATEAU_TIME">'Parameters definition'!$C$257</definedName>
    <definedName name="ALGO_RES_EST_3RD_PLATEAU_TIME">'Parameters definition'!$C$258</definedName>
    <definedName name="ALGO_RES_EST_BASE_TEMP">'Parameters definition'!$C$280</definedName>
    <definedName name="ALGO_RES_EST_BASE_TEMP_COEFF">'Parameters definition'!$C$281</definedName>
    <definedName name="ALGO_RES_EST_CURR_1ST_PLATEAU">'Parameters definition'!$C$253</definedName>
    <definedName name="ALGO_RES_EST_CURR_2ND_PLATEAU">'Parameters definition'!$C$254</definedName>
    <definedName name="ALGO_RES_EST_CURR_3RD_PLATEAU">'Parameters definition'!$C$255</definedName>
    <definedName name="ALGO_RES_EST_HANDLER_TS">'Parameters definition'!$C$270</definedName>
    <definedName name="ALGO_RES_EST_NR_OF_ESTIMATION_AFTER_RESET">'Parameters definition'!$C$274</definedName>
    <definedName name="ALGO_RES_EST_NR_OF_ESTIMATION_IN_ROW_AFTER_SPIN">'Parameters definition'!$C$276</definedName>
    <definedName name="ALGO_RES_EST_NUMBER_OF_SAMPLES">'Parameters definition'!$C$263</definedName>
    <definedName name="ALGO_RES_EST_OSCILLATION_CHECK_TIME">'Parameters definition'!$C$262</definedName>
    <definedName name="ALGO_RES_EST_OSCILLATION_SPEED_THRESHOLD">'Parameters definition'!$C$267</definedName>
    <definedName name="ALGO_RES_EST_RS_FROM_BASE_TEMP">'Parameters definition'!$C$278</definedName>
    <definedName name="ALGO_RES_EST_SPEED_TO_MEAS_AGAIN">'Parameters definition'!$C$272</definedName>
    <definedName name="ALGO_RES_EST_STATOR_RESISTANCE">'Parameters definition'!$C$264</definedName>
    <definedName name="ALGO_RES_EST_TEMP_COEFF">'Parameters definition'!$C$279</definedName>
    <definedName name="ALGO_RES_EST_TIME_2_OUTDATE_RESISTANCE">'Parameters definition'!$C$268</definedName>
    <definedName name="ALGO_RES_EST_TIME_BETWEEN_MEAS_AFTER_RESET">'Parameters definition'!$C$273</definedName>
    <definedName name="ALGO_RES_EST_TIME_BETWEEN_MEAS_NORMAL_OPERATION">'Parameters definition'!$C$275</definedName>
    <definedName name="ALGO_RES_EST_TIMEOUT_1ST_PLATEAU">'Parameters definition'!$C$265</definedName>
    <definedName name="ALGO_RES_EST_TIMEOUT_2ND_PLATEAU">'Parameters definition'!$C$266</definedName>
    <definedName name="ALGO_RES_EST_TIMEOUT_THRESHOLD">'Parameters definition'!$C$252</definedName>
    <definedName name="ALGO_RES_EST_TS">'Parameters definition'!$C$269</definedName>
    <definedName name="ALGO_RES_EST_VOLTAGE_STEP_1ST_PLATEAU">'Parameters definition'!$C$259</definedName>
    <definedName name="ALGO_RES_EST_VOLTAGE_STEP_2ND_PLATEAU">'Parameters definition'!$C$260</definedName>
    <definedName name="ALGO_RES_EST_VOLTAGE_STEP_3RD_PLATEAU">'Parameters definition'!$C$261</definedName>
    <definedName name="ALGO_RUNNING_DEBOUNCER_2_IGBTS_OFF">'Parameters definition'!$C$235</definedName>
    <definedName name="ALGO_RUNNING_LOCKED_ROTOR_CURRENT_THRESHOLD">'Parameters definition'!$C$240</definedName>
    <definedName name="ALGO_RUNNING_LOCKED_ROTOR_RUNNING_THRESHOLD">'Parameters definition'!$C$239</definedName>
    <definedName name="ALGO_RUNNING_LOCKED_ROTOR_START_OR_RUNNING">'Parameters definition'!$C$237</definedName>
    <definedName name="ALGO_RUNNING_LOCKED_ROTOR_STARTING_THRESHOLD">'Parameters definition'!$C$238</definedName>
    <definedName name="ALGO_RUNNING_MIN_SPEED_2_IGBTS_OFF">'Parameters definition'!$C$234</definedName>
    <definedName name="ALGO_RUNNING_MIN_SPEED_BEFORE_STOPPING">'Parameters definition'!$C$233</definedName>
    <definedName name="ALGO_RUNNING_TIME_IGBTS_OFF_BELOW_MIN_SPEED">'Parameters definition'!$C$236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definition'!$C$172</definedName>
    <definedName name="CROSSED_CURR_POS_0">'Parameters definition'!$C$134</definedName>
    <definedName name="CROSSED_CURR_POS_1">'Parameters definition'!$C$135</definedName>
    <definedName name="CROSSED_CURR_POS_2">'Parameters definition'!$C$136</definedName>
    <definedName name="CROSSED_CURR_POS_3">'Parameters definition'!$C$137</definedName>
    <definedName name="CROSSED_CURR_POS_4">'Parameters definition'!$C$138</definedName>
    <definedName name="CROSSED_CURR_POS_5">'Parameters definition'!$C$139</definedName>
    <definedName name="CROSSED_CURR_POS_6">'Parameters definition'!$C$140</definedName>
    <definedName name="CROSSED_CURR_POS_7">'Parameters definition'!$C$141</definedName>
    <definedName name="CROSSED_IND_POS_0">'Parameters definition'!$C$126</definedName>
    <definedName name="CROSSED_IND_POS_1">'Parameters definition'!$C$127</definedName>
    <definedName name="CROSSED_IND_POS_2">'Parameters definition'!$C$128</definedName>
    <definedName name="CROSSED_IND_POS_3">'Parameters definition'!$C$129</definedName>
    <definedName name="CROSSED_IND_POS_4">'Parameters definition'!$C$130</definedName>
    <definedName name="CROSSED_IND_POS_5">'Parameters definition'!$C$131</definedName>
    <definedName name="CROSSED_IND_POS_6">'Parameters definition'!$C$132</definedName>
    <definedName name="CROSSED_IND_POS_7">'Parameters definition'!$C$133</definedName>
    <definedName name="D_CURR_CONTROL_KI">'Parameters definition'!$C$245</definedName>
    <definedName name="D_CURR_CONTROL_KP">'Parameters definition'!$C$244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definition'!$C$78</definedName>
    <definedName name="DIRECT_CURR_POS_1">'Parameters definition'!$C$79</definedName>
    <definedName name="DIRECT_CURR_POS_10">'Parameters definition'!$C$88</definedName>
    <definedName name="DIRECT_CURR_POS_11">'Parameters definition'!$C$89</definedName>
    <definedName name="DIRECT_CURR_POS_12">'Parameters definition'!$C$90</definedName>
    <definedName name="DIRECT_CURR_POS_13">'Parameters definition'!$C$91</definedName>
    <definedName name="DIRECT_CURR_POS_14">'Parameters definition'!$C$92</definedName>
    <definedName name="DIRECT_CURR_POS_15">'Parameters definition'!$C$93</definedName>
    <definedName name="DIRECT_CURR_POS_2">'Parameters definition'!$C$80</definedName>
    <definedName name="DIRECT_CURR_POS_3">'Parameters definition'!$C$81</definedName>
    <definedName name="DIRECT_CURR_POS_4">'Parameters definition'!$C$82</definedName>
    <definedName name="DIRECT_CURR_POS_5">'Parameters definition'!$C$83</definedName>
    <definedName name="DIRECT_CURR_POS_6">'Parameters definition'!$C$84</definedName>
    <definedName name="DIRECT_CURR_POS_7">'Parameters definition'!$C$85</definedName>
    <definedName name="DIRECT_CURR_POS_8">'Parameters definition'!$C$86</definedName>
    <definedName name="DIRECT_CURR_POS_9">'Parameters definition'!$C$87</definedName>
    <definedName name="DIRECT_IND_POS_0">'Parameters definition'!$C$62</definedName>
    <definedName name="DIRECT_IND_POS_1">'Parameters definition'!$C$63</definedName>
    <definedName name="DIRECT_IND_POS_10">'Parameters definition'!$C$72</definedName>
    <definedName name="DIRECT_IND_POS_11">'Parameters definition'!$C$73</definedName>
    <definedName name="DIRECT_IND_POS_12">'Parameters definition'!$C$74</definedName>
    <definedName name="DIRECT_IND_POS_13">'Parameters definition'!$C$75</definedName>
    <definedName name="DIRECT_IND_POS_14">'Parameters definition'!$C$76</definedName>
    <definedName name="DIRECT_IND_POS_15">'Parameters definition'!$C$77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definition'!$C$70</definedName>
    <definedName name="DIRECT_IND_POS_9">'Parameters definition'!$C$71</definedName>
    <definedName name="DQ_CONTROLLER_MAX_FLUX">'Parameters definition'!$C$180</definedName>
    <definedName name="DQ_CONTROLLER_MAX_INPUT_VOLT_FACTOR">'Parameters definition'!$C$177</definedName>
    <definedName name="DQ_CONTROLLER_OVER_FLUX_DECREMENT">'Parameters definition'!$C$179</definedName>
    <definedName name="DQ_CONTROLLER_TS">'Parameters definition'!$C$181</definedName>
    <definedName name="DQ_CURRENT_CONTROL_TS">'Parameters definition'!$C$248</definedName>
    <definedName name="DQ_FLUX_KI_REGION_0">'Parameters definition'!$C$202</definedName>
    <definedName name="DQ_FLUX_KI_REGION_1">'Parameters definition'!$C$208</definedName>
    <definedName name="DQ_FLUX_KI_REGION_2">'Parameters definition'!$C$214</definedName>
    <definedName name="DQ_FLUX_KP_REGION_0">'Parameters definition'!$C$201</definedName>
    <definedName name="DQ_FLUX_KP_REGION_1">'Parameters definition'!$C$207</definedName>
    <definedName name="DQ_FLUX_KP_REGION_2">'Parameters definition'!$C$213</definedName>
    <definedName name="DQ_GAINS_SWTICHING_TIME_REGION_0">'Parameters definition'!$C$204</definedName>
    <definedName name="DQ_GAINS_SWTICHING_TIME_REGION_1">'Parameters definition'!$C$210</definedName>
    <definedName name="DQ_GAINS_SWTICHING_TIME_REGION_2">'Parameters definition'!$C$216</definedName>
    <definedName name="DQ_SPEED_THRESHOLD_REGION_0">'Parameters definition'!$C$203</definedName>
    <definedName name="DQ_SPEED_THRESHOLD_REGION_1">'Parameters definition'!$C$209</definedName>
    <definedName name="DQ_SPEED_THRESHOLD_REGION_2">'Parameters definition'!$C$215</definedName>
    <definedName name="DQ_STARTING_TIME">'Parameters definition'!$C$176</definedName>
    <definedName name="DQ_TORQUE_KI_REGION_0">'Parameters definition'!$C$200</definedName>
    <definedName name="DQ_TORQUE_KI_REGION_1">'Parameters definition'!$C$206</definedName>
    <definedName name="DQ_TORQUE_KI_REGION_2">'Parameters definition'!$C$212</definedName>
    <definedName name="DQ_TORQUE_KP_REGION_0">'Parameters definition'!$C$199</definedName>
    <definedName name="DQ_TORQUE_KP_REGION_1">'Parameters definition'!$C$205</definedName>
    <definedName name="DQ_TORQUE_KP_REGION_2">'Parameters definition'!$C$211</definedName>
    <definedName name="DQREF_MAX_SPEED_DROP_FACTOR">'Parameters definition'!$C$185</definedName>
    <definedName name="DQREF_MIN_AVAILABLE_VOLT_FACTOR">'Parameters definition'!$C$178</definedName>
    <definedName name="DQREF_SPEED_DROP_FACTOR">'Parameters definition'!$C$186</definedName>
    <definedName name="FLUX_REF_SCALE_TIME">'Parameters definition'!$C$182</definedName>
    <definedName name="FORCE_MAX_STARTING_TIME">'Parameters definition'!$C$151</definedName>
    <definedName name="FORCE_MAX_STARTING_TORQUE">'Parameters definition'!$C$150</definedName>
    <definedName name="K_TORQUE_ERROR">'Parameters definition'!$C$190</definedName>
    <definedName name="List_Variable_Format">'Data validation entries'!$J$8:$J$12</definedName>
    <definedName name="List_Variable_Sizes">'Data validation entries'!$F$8:$F$17</definedName>
    <definedName name="LOAD_ANGLE_COS_MAX">'Parameters definition'!$C$146</definedName>
    <definedName name="LOAD_ANGLE_KI">'Parameters definition'!$C$148</definedName>
    <definedName name="LOAD_ANGLE_KP">'Parameters definition'!$C$147</definedName>
    <definedName name="LS_INDUCTANCE">'Parameters definition'!$C$13</definedName>
    <definedName name="M_INDEX_CTRL">'Parameters definition'!$C$217</definedName>
    <definedName name="M_INDEX_REF">'Parameters definition'!$C$192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LUTS'!$C$29</definedName>
    <definedName name="MTPAFlux_1">'Parameters definition LUTS'!$C$30</definedName>
    <definedName name="MTPAFlux_10">'Parameters definition LUTS'!$C$39</definedName>
    <definedName name="MTPAFlux_11">'Parameters definition LUTS'!$C$40</definedName>
    <definedName name="MTPAFlux_12">'Parameters definition LUTS'!$C$41</definedName>
    <definedName name="MTPAFlux_13">'Parameters definition LUTS'!$C$42</definedName>
    <definedName name="MTPAFlux_14">'Parameters definition LUTS'!$C$43</definedName>
    <definedName name="MTPAFlux_15">'Parameters definition LUTS'!$C$44</definedName>
    <definedName name="MTPAFlux_16">'Parameters definition LUTS'!$C$45</definedName>
    <definedName name="MTPAFlux_17">'Parameters definition LUTS'!$C$46</definedName>
    <definedName name="MTPAFlux_18">'Parameters definition LUTS'!$C$47</definedName>
    <definedName name="MTPAFlux_19">'Parameters definition LUTS'!$C$48</definedName>
    <definedName name="MTPAFlux_2">'Parameters definition LUTS'!$C$31</definedName>
    <definedName name="MTPAFlux_20">'Parameters definition LUTS'!$C$49</definedName>
    <definedName name="MTPAFlux_21">'Parameters definition LUTS'!$C$50</definedName>
    <definedName name="MTPAFlux_22">'Parameters definition LUTS'!$C$51</definedName>
    <definedName name="MTPAFlux_23">'Parameters definition LUTS'!$C$52</definedName>
    <definedName name="MTPAFlux_24">'Parameters definition LUTS'!$C$53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LUTS'!$C$32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LUTS'!$C$33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LUTS'!$C$34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LUTS'!$C$35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LUTS'!$C$36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LUTS'!$C$37</definedName>
    <definedName name="MTPAFlux_80">'Parameters definition LUTS'!#REF!</definedName>
    <definedName name="MTPAFlux_9">'Parameters definition LUTS'!$C$38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LUTS'!$C$58</definedName>
    <definedName name="MTPVFlux_1">'Parameters definition LUTS'!$C$59</definedName>
    <definedName name="MTPVFlux_10">'Parameters definition LUTS'!$C$68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LUTS'!$C$69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LUTS'!$C$70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LUTS'!$C$71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LUTS'!$C$72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LUTS'!$C$73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LUTS'!$C$74</definedName>
    <definedName name="MTPVFlux_160">'Parameters definition LUTS'!#REF!</definedName>
    <definedName name="MTPVFlux_17">'Parameters definition LUTS'!$C$75</definedName>
    <definedName name="MTPVFlux_18">'Parameters definition LUTS'!$C$76</definedName>
    <definedName name="MTPVFlux_19">'Parameters definition LUTS'!$C$77</definedName>
    <definedName name="MTPVFlux_2">'Parameters definition LUTS'!$C$60</definedName>
    <definedName name="MTPVFlux_20">'Parameters definition LUTS'!$C$78</definedName>
    <definedName name="MTPVFlux_21">'Parameters definition LUTS'!$C$79</definedName>
    <definedName name="MTPVFlux_22">'Parameters definition LUTS'!$C$80</definedName>
    <definedName name="MTPVFlux_23">'Parameters definition LUTS'!$C$81</definedName>
    <definedName name="MTPVFlux_24">'Parameters definition LUTS'!$C$82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LUTS'!$C$61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LUTS'!$C$62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LUTS'!$C$63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LUTS'!$C$64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LUTS'!$C$65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LUTS'!$C$66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LUTS'!$C$67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LUTS'!$C$83</definedName>
    <definedName name="MTPVTorque_1">'Parameters definition LUTS'!$C$84</definedName>
    <definedName name="MTPVTorque_10">'Parameters definition LUTS'!$C$93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LUTS'!$C$94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LUTS'!$C$95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LUTS'!$C$96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LUTS'!$C$97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LUTS'!$C$98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LUTS'!$C$99</definedName>
    <definedName name="MTPVTorque_160">'Parameters definition LUTS'!#REF!</definedName>
    <definedName name="MTPVTorque_17">'Parameters definition LUTS'!$C$100</definedName>
    <definedName name="MTPVTorque_18">'Parameters definition LUTS'!$C$101</definedName>
    <definedName name="MTPVTorque_19">'Parameters definition LUTS'!$C$102</definedName>
    <definedName name="MTPVTorque_2">'Parameters definition LUTS'!$C$85</definedName>
    <definedName name="MTPVTorque_20">'Parameters definition LUTS'!$C$103</definedName>
    <definedName name="MTPVTorque_21">'Parameters definition LUTS'!$C$104</definedName>
    <definedName name="MTPVTorque_22">'Parameters definition LUTS'!$C$105</definedName>
    <definedName name="MTPVTorque_23">'Parameters definition LUTS'!$C$106</definedName>
    <definedName name="MTPVTorque_24">'Parameters definition LUTS'!$C$107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LUTS'!$C$86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LUTS'!$C$87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LUTS'!$C$88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LUTS'!$C$89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LUTS'!$C$90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LUTS'!$C$91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LUTS'!$C$92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definition'!$C$184</definedName>
    <definedName name="PHASE_ADVANCE_COEF_FDBK">'Parameters definition'!$C$55</definedName>
    <definedName name="PHASE_ADVANCE_COEFF">'Parameters definition'!$C$198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definition'!$C$221</definedName>
    <definedName name="PWM_STARTING_TIME">'Parameters definition'!#REF!</definedName>
    <definedName name="Q_CURR_CONTROL_KI">'Parameters definition'!$C$247</definedName>
    <definedName name="Q_CURR_CONTROL_KP">'Parameters definition'!$C$246</definedName>
    <definedName name="QUAD_CURR_POS_0">'Parameters definition'!$C$110</definedName>
    <definedName name="QUAD_CURR_POS_1">'Parameters definition'!$C$111</definedName>
    <definedName name="QUAD_CURR_POS_10">'Parameters definition'!$C$120</definedName>
    <definedName name="QUAD_CURR_POS_11">'Parameters definition'!$C$121</definedName>
    <definedName name="QUAD_CURR_POS_12">'Parameters definition'!$C$122</definedName>
    <definedName name="QUAD_CURR_POS_13">'Parameters definition'!$C$123</definedName>
    <definedName name="QUAD_CURR_POS_14">'Parameters definition'!$C$124</definedName>
    <definedName name="QUAD_CURR_POS_15">'Parameters definition'!$C$125</definedName>
    <definedName name="QUAD_CURR_POS_2">'Parameters definition'!$C$112</definedName>
    <definedName name="QUAD_CURR_POS_3">'Parameters definition'!$C$113</definedName>
    <definedName name="QUAD_CURR_POS_4">'Parameters definition'!$C$114</definedName>
    <definedName name="QUAD_CURR_POS_5">'Parameters definition'!$C$115</definedName>
    <definedName name="QUAD_CURR_POS_6">'Parameters definition'!$C$116</definedName>
    <definedName name="QUAD_CURR_POS_7">'Parameters definition'!$C$117</definedName>
    <definedName name="QUAD_CURR_POS_8">'Parameters definition'!$C$118</definedName>
    <definedName name="QUAD_CURR_POS_9">'Parameters definition'!$C$119</definedName>
    <definedName name="QUAD_IND_POS_0">'Parameters definition'!$C$94</definedName>
    <definedName name="QUAD_IND_POS_1">'Parameters definition'!$C$95</definedName>
    <definedName name="QUAD_IND_POS_10">'Parameters definition'!$C$104</definedName>
    <definedName name="QUAD_IND_POS_11">'Parameters definition'!$C$105</definedName>
    <definedName name="QUAD_IND_POS_12">'Parameters definition'!$C$106</definedName>
    <definedName name="QUAD_IND_POS_13">'Parameters definition'!$C$107</definedName>
    <definedName name="QUAD_IND_POS_14">'Parameters definition'!$C$108</definedName>
    <definedName name="QUAD_IND_POS_15">'Parameters definition'!$C$109</definedName>
    <definedName name="QUAD_IND_POS_2">'Parameters definition'!$C$96</definedName>
    <definedName name="QUAD_IND_POS_3">'Parameters definition'!$C$97</definedName>
    <definedName name="QUAD_IND_POS_4">'Parameters definition'!$C$98</definedName>
    <definedName name="QUAD_IND_POS_5">'Parameters definition'!$C$99</definedName>
    <definedName name="QUAD_IND_POS_6">'Parameters definition'!$C$100</definedName>
    <definedName name="QUAD_IND_POS_7">'Parameters definition'!$C$101</definedName>
    <definedName name="QUAD_IND_POS_8">'Parameters definition'!$C$102</definedName>
    <definedName name="QUAD_IND_POS_9">'Parameters definition'!$C$103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definition'!$C$282</definedName>
    <definedName name="SBPM_MIN_OVERFLUX_FACTOR">'Parameters definition'!$C$189</definedName>
    <definedName name="SBPM_OVERFLUX_FACTOR">'Parameters definition'!$C$188</definedName>
    <definedName name="SBPM_SPEED_OVERFULX_THRESHOLD">'Parameters definition'!$C$187</definedName>
    <definedName name="SIZE_MTPA">'Parameters definition LUTS'!$C$3</definedName>
    <definedName name="SIZE_MTPV">'Parameters definition LUTS'!$C$57</definedName>
    <definedName name="SPEED_CONTROLLER_POSTSCALER">'Parameters definition'!$C$145</definedName>
    <definedName name="SPEED_KI_REGION_0">'Parameters definition'!$C$153</definedName>
    <definedName name="SPEED_KI_REGION_1">'Parameters definition'!$C$157</definedName>
    <definedName name="SPEED_KI_REGION_2">'Parameters definition'!$C$161</definedName>
    <definedName name="SPEED_KI_REGION_3">'Parameters definition'!$C$165</definedName>
    <definedName name="SPEED_KI_REGION_4">'Parameters definition'!$C$169</definedName>
    <definedName name="SPEED_KP_REGION_0">'Parameters definition'!$C$152</definedName>
    <definedName name="SPEED_KP_REGION_1">'Parameters definition'!$C$156</definedName>
    <definedName name="SPEED_KP_REGION_2">'Parameters definition'!$C$160</definedName>
    <definedName name="SPEED_KP_REGION_3">'Parameters definition'!$C$164</definedName>
    <definedName name="SPEED_KP_REGION_4">'Parameters definition'!$C$168</definedName>
    <definedName name="SPEED_OVERFLUX_THRESHOLD">'Parameters definition'!$C$183</definedName>
    <definedName name="SPEED_REF_DEFAULT_ACCEL">'Parameters definition'!$C$286</definedName>
    <definedName name="SPEED_REF_MIN_SPEED_DEFAULT_ACCEL">'Parameters definition'!$C$287</definedName>
    <definedName name="SPEED_THRESHOLD_MAX_PHASE_CURRENT">'Parameters definition'!$C$21</definedName>
    <definedName name="SPEED_THRESHOLD_REGION_0">'Parameters definition'!$C$154</definedName>
    <definedName name="SPEED_THRESHOLD_REGION_1">'Parameters definition'!$C$158</definedName>
    <definedName name="SPEED_THRESHOLD_REGION_2">'Parameters definition'!$C$162</definedName>
    <definedName name="SPEED_THRESHOLD_REGION_3">'Parameters definition'!$C$166</definedName>
    <definedName name="SPEED_THRESHOLD_REGION_4">'Parameters definition'!$C$170</definedName>
    <definedName name="SPEED_TIME_TO_SWITCH_REGION_0">'Parameters definition'!$C$155</definedName>
    <definedName name="SPEED_TIME_TO_SWITCH_REGION_1">'Parameters definition'!$C$159</definedName>
    <definedName name="SPEED_TIME_TO_SWITCH_REGION_2">'Parameters definition'!$C$163</definedName>
    <definedName name="SPEED_TIME_TO_SWITCH_REGION_3">'Parameters definition'!$C$167</definedName>
    <definedName name="SPEED_TIME_TO_SWITCH_REGION_4">'Parameters definition'!$C$171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definition'!$C$197</definedName>
    <definedName name="TIME_FORCE_USE_DEFAULT_SPEED_GAINS">'Parameters definition'!$C$149</definedName>
    <definedName name="TORQUE_ERROR_SAT">'Parameters definition'!$C$191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H161" i="7" l="1"/>
  <c r="I161" i="7" s="1"/>
  <c r="A161" i="7" s="1"/>
  <c r="G161" i="7"/>
  <c r="G160" i="7"/>
  <c r="A160" i="7"/>
  <c r="G77" i="7" l="1"/>
  <c r="G16" i="13"/>
  <c r="G10" i="13"/>
  <c r="G22" i="7"/>
  <c r="G55" i="7"/>
  <c r="G30" i="7"/>
  <c r="A27" i="7" l="1"/>
  <c r="A28" i="7"/>
  <c r="A52" i="7"/>
  <c r="A72" i="7"/>
  <c r="A82" i="7"/>
  <c r="A88" i="7"/>
  <c r="D15" i="7"/>
  <c r="G11" i="7" l="1"/>
  <c r="G7" i="19" l="1"/>
  <c r="G7" i="18"/>
  <c r="D9" i="19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72" i="12"/>
  <c r="D7" i="18"/>
  <c r="G61" i="7" l="1"/>
  <c r="G80" i="7" l="1"/>
  <c r="D8" i="19"/>
  <c r="D8" i="18" l="1"/>
  <c r="C278" i="1" l="1"/>
  <c r="G45" i="13" l="1"/>
  <c r="D46" i="13"/>
  <c r="D45" i="13"/>
  <c r="H45" i="13" l="1"/>
  <c r="I45" i="13" s="1"/>
  <c r="A136" i="7"/>
  <c r="D134" i="7"/>
  <c r="G133" i="7"/>
  <c r="D133" i="7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H133" i="7"/>
  <c r="I133" i="7" l="1"/>
  <c r="D3" i="19"/>
  <c r="D3" i="18"/>
  <c r="D130" i="7"/>
  <c r="C272" i="1"/>
  <c r="C233" i="1"/>
  <c r="C234" i="1"/>
  <c r="C33" i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D67" i="7"/>
  <c r="D66" i="7"/>
  <c r="D65" i="7"/>
  <c r="D62" i="7"/>
  <c r="D58" i="7"/>
  <c r="D57" i="7"/>
  <c r="A9" i="7"/>
  <c r="A120" i="7"/>
  <c r="A126" i="7"/>
  <c r="I159" i="7"/>
  <c r="A159" i="7" s="1"/>
  <c r="H157" i="7"/>
  <c r="H158" i="7"/>
  <c r="H159" i="7"/>
  <c r="G8" i="19" l="1"/>
  <c r="H8" i="19" s="1"/>
  <c r="I8" i="19" s="1"/>
  <c r="A8" i="19" s="1"/>
  <c r="G9" i="19"/>
  <c r="G51" i="19"/>
  <c r="G47" i="19"/>
  <c r="G39" i="19"/>
  <c r="G27" i="19"/>
  <c r="G57" i="19"/>
  <c r="G53" i="19"/>
  <c r="G49" i="19"/>
  <c r="G43" i="19"/>
  <c r="G35" i="19"/>
  <c r="G41" i="19"/>
  <c r="G25" i="19"/>
  <c r="G23" i="19"/>
  <c r="G15" i="19"/>
  <c r="G37" i="19"/>
  <c r="G31" i="19"/>
  <c r="G21" i="19"/>
  <c r="G55" i="19"/>
  <c r="G45" i="19"/>
  <c r="G33" i="19"/>
  <c r="G29" i="19"/>
  <c r="G17" i="19"/>
  <c r="G13" i="19"/>
  <c r="G19" i="19"/>
  <c r="G11" i="19"/>
  <c r="C229" i="1"/>
  <c r="G38" i="18"/>
  <c r="G34" i="18"/>
  <c r="G30" i="18"/>
  <c r="G26" i="18"/>
  <c r="G12" i="18"/>
  <c r="G18" i="18"/>
  <c r="G58" i="18"/>
  <c r="G44" i="18"/>
  <c r="G32" i="18"/>
  <c r="G16" i="18"/>
  <c r="G20" i="18"/>
  <c r="G52" i="18"/>
  <c r="G50" i="18"/>
  <c r="G28" i="18"/>
  <c r="G24" i="18"/>
  <c r="G22" i="18"/>
  <c r="G54" i="18"/>
  <c r="G46" i="18"/>
  <c r="G40" i="18"/>
  <c r="G48" i="18"/>
  <c r="G10" i="18"/>
  <c r="G36" i="18"/>
  <c r="G14" i="18"/>
  <c r="G56" i="18"/>
  <c r="G42" i="18"/>
  <c r="G130" i="7"/>
  <c r="C179" i="1"/>
  <c r="I67" i="7"/>
  <c r="H66" i="7"/>
  <c r="I66" i="7" s="1"/>
  <c r="H62" i="7"/>
  <c r="I62" i="7" s="1"/>
  <c r="I61" i="7"/>
  <c r="H58" i="7"/>
  <c r="I58" i="7" s="1"/>
  <c r="H9" i="19" l="1"/>
  <c r="I9" i="19" s="1"/>
  <c r="A9" i="19" s="1"/>
  <c r="H56" i="18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35" i="19"/>
  <c r="I35" i="19" s="1"/>
  <c r="H23" i="19"/>
  <c r="I23" i="19" s="1"/>
  <c r="H55" i="19"/>
  <c r="I55" i="19" s="1"/>
  <c r="H11" i="19"/>
  <c r="I11" i="19" s="1"/>
  <c r="H43" i="19"/>
  <c r="I43" i="19" s="1"/>
  <c r="H31" i="19"/>
  <c r="I31" i="19" s="1"/>
  <c r="H19" i="19"/>
  <c r="I19" i="19" s="1"/>
  <c r="H51" i="19"/>
  <c r="I51" i="19" s="1"/>
  <c r="H39" i="19"/>
  <c r="I39" i="19" s="1"/>
  <c r="H27" i="19"/>
  <c r="I27" i="19" s="1"/>
  <c r="H15" i="19"/>
  <c r="I15" i="19" s="1"/>
  <c r="H47" i="19"/>
  <c r="I47" i="19" s="1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244" i="1"/>
  <c r="G137" i="7"/>
  <c r="I130" i="7"/>
  <c r="H59" i="7"/>
  <c r="I59" i="7" s="1"/>
  <c r="H54" i="7"/>
  <c r="I54" i="7" s="1"/>
  <c r="D118" i="7"/>
  <c r="G79" i="7"/>
  <c r="H79" i="7" s="1"/>
  <c r="I79" i="7" s="1"/>
  <c r="G78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07" i="7" l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3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1" i="7" l="1"/>
  <c r="I11" i="7" s="1"/>
  <c r="D11" i="7"/>
  <c r="D123" i="7"/>
  <c r="D124" i="7"/>
  <c r="I81" i="7"/>
  <c r="A81" i="7" s="1"/>
  <c r="H81" i="7"/>
  <c r="H6" i="12"/>
  <c r="I8" i="7"/>
  <c r="A8" i="7" s="1"/>
  <c r="I51" i="7"/>
  <c r="A51" i="7" s="1"/>
  <c r="I87" i="7"/>
  <c r="A87" i="7" s="1"/>
  <c r="I119" i="7"/>
  <c r="A119" i="7" s="1"/>
  <c r="I125" i="7"/>
  <c r="A125" i="7" s="1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H120" i="7"/>
  <c r="H88" i="7"/>
  <c r="H9" i="7"/>
  <c r="H8" i="7"/>
  <c r="H51" i="7"/>
  <c r="H87" i="7"/>
  <c r="H119" i="7"/>
  <c r="H125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E8" i="15" l="1"/>
  <c r="B8" i="15"/>
  <c r="E7" i="15"/>
  <c r="H6" i="15"/>
  <c r="A6" i="15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246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3" i="7"/>
  <c r="I13" i="7" s="1"/>
  <c r="H44" i="7"/>
  <c r="I44" i="7" s="1"/>
  <c r="H92" i="7"/>
  <c r="I92" i="7" s="1"/>
  <c r="H110" i="7"/>
  <c r="I110" i="7" s="1"/>
  <c r="E3" i="15"/>
  <c r="D3" i="12"/>
  <c r="D132" i="7"/>
  <c r="D131" i="7"/>
  <c r="D129" i="7"/>
  <c r="G115" i="7"/>
  <c r="C264" i="1"/>
  <c r="C269" i="1"/>
  <c r="D87" i="7"/>
  <c r="D86" i="7"/>
  <c r="D85" i="7"/>
  <c r="D84" i="7"/>
  <c r="D83" i="7"/>
  <c r="D63" i="7"/>
  <c r="C53" i="1"/>
  <c r="C61" i="1"/>
  <c r="C49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25" i="7"/>
  <c r="H16" i="13"/>
  <c r="I16" i="13" s="1"/>
  <c r="H10" i="13"/>
  <c r="I10" i="13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248" i="1"/>
  <c r="C245" i="1" s="1"/>
  <c r="C247" i="1" s="1"/>
  <c r="C225" i="1"/>
  <c r="G83" i="7" s="1"/>
  <c r="C270" i="1"/>
  <c r="C181" i="1"/>
  <c r="G56" i="7"/>
  <c r="C59" i="1"/>
  <c r="C36" i="1"/>
  <c r="G134" i="7" s="1"/>
  <c r="H24" i="7"/>
  <c r="H25" i="7"/>
  <c r="H131" i="7"/>
  <c r="G8" i="18" l="1"/>
  <c r="H8" i="18" s="1"/>
  <c r="I8" i="18" s="1"/>
  <c r="A8" i="18" s="1"/>
  <c r="G68" i="7"/>
  <c r="H68" i="7" s="1"/>
  <c r="I68" i="7" s="1"/>
  <c r="G58" i="19"/>
  <c r="G54" i="19"/>
  <c r="G50" i="19"/>
  <c r="G44" i="19"/>
  <c r="G38" i="19"/>
  <c r="G36" i="19"/>
  <c r="G24" i="19"/>
  <c r="G10" i="19"/>
  <c r="G32" i="19"/>
  <c r="G20" i="19"/>
  <c r="G16" i="19"/>
  <c r="G12" i="19"/>
  <c r="G52" i="19"/>
  <c r="G30" i="19"/>
  <c r="G14" i="19"/>
  <c r="G56" i="19"/>
  <c r="G48" i="19"/>
  <c r="G42" i="19"/>
  <c r="G40" i="19"/>
  <c r="G28" i="19"/>
  <c r="G22" i="19"/>
  <c r="G18" i="19"/>
  <c r="G46" i="19"/>
  <c r="G34" i="19"/>
  <c r="G26" i="19"/>
  <c r="G9" i="13"/>
  <c r="H9" i="13" s="1"/>
  <c r="I9" i="13" s="1"/>
  <c r="G55" i="18"/>
  <c r="G51" i="18"/>
  <c r="G47" i="18"/>
  <c r="G43" i="18"/>
  <c r="G23" i="18"/>
  <c r="G13" i="18"/>
  <c r="G49" i="18"/>
  <c r="G37" i="18"/>
  <c r="G27" i="18"/>
  <c r="G21" i="18"/>
  <c r="G45" i="18"/>
  <c r="G39" i="18"/>
  <c r="G33" i="18"/>
  <c r="G17" i="18"/>
  <c r="G53" i="18"/>
  <c r="G35" i="18"/>
  <c r="G29" i="18"/>
  <c r="G41" i="18"/>
  <c r="G15" i="18"/>
  <c r="G11" i="18"/>
  <c r="G9" i="18"/>
  <c r="G25" i="18"/>
  <c r="G57" i="18"/>
  <c r="G31" i="18"/>
  <c r="G19" i="18"/>
  <c r="H55" i="7"/>
  <c r="I55" i="7" s="1"/>
  <c r="H56" i="7"/>
  <c r="I56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1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50" i="19" l="1"/>
  <c r="I50" i="19" s="1"/>
  <c r="H18" i="19"/>
  <c r="I18" i="19" s="1"/>
  <c r="H54" i="19"/>
  <c r="I54" i="19" s="1"/>
  <c r="H22" i="19"/>
  <c r="I22" i="19" s="1"/>
  <c r="H58" i="19"/>
  <c r="I58" i="19" s="1"/>
  <c r="H10" i="19"/>
  <c r="I10" i="19" s="1"/>
  <c r="A10" i="19" s="1"/>
  <c r="H26" i="19"/>
  <c r="I26" i="19" s="1"/>
  <c r="H34" i="19"/>
  <c r="I34" i="19" s="1"/>
  <c r="H14" i="19"/>
  <c r="I14" i="19" s="1"/>
  <c r="H38" i="19"/>
  <c r="I38" i="19" s="1"/>
  <c r="H42" i="19"/>
  <c r="I42" i="19" s="1"/>
  <c r="H46" i="19"/>
  <c r="I46" i="19" s="1"/>
  <c r="H30" i="19"/>
  <c r="I30" i="19" s="1"/>
  <c r="H55" i="18"/>
  <c r="I55" i="18" s="1"/>
  <c r="H45" i="18"/>
  <c r="I45" i="18" s="1"/>
  <c r="H47" i="18"/>
  <c r="I47" i="18" s="1"/>
  <c r="H13" i="18"/>
  <c r="I13" i="18" s="1"/>
  <c r="H41" i="18"/>
  <c r="I41" i="18" s="1"/>
  <c r="H43" i="18"/>
  <c r="I43" i="18" s="1"/>
  <c r="H57" i="18"/>
  <c r="I57" i="18" s="1"/>
  <c r="H51" i="18"/>
  <c r="I51" i="18" s="1"/>
  <c r="H53" i="18"/>
  <c r="I53" i="18" s="1"/>
  <c r="H49" i="18"/>
  <c r="I49" i="18" s="1"/>
  <c r="I134" i="7"/>
  <c r="H11" i="18"/>
  <c r="I11" i="18" s="1"/>
  <c r="H35" i="18"/>
  <c r="I35" i="18" s="1"/>
  <c r="H33" i="18"/>
  <c r="I33" i="18" s="1"/>
  <c r="H37" i="18"/>
  <c r="I37" i="18" s="1"/>
  <c r="H20" i="19"/>
  <c r="I20" i="19" s="1"/>
  <c r="H25" i="19"/>
  <c r="I25" i="19" s="1"/>
  <c r="H36" i="19"/>
  <c r="I36" i="19" s="1"/>
  <c r="H41" i="19"/>
  <c r="I41" i="19" s="1"/>
  <c r="H52" i="19"/>
  <c r="I52" i="19" s="1"/>
  <c r="H57" i="19"/>
  <c r="I57" i="19" s="1"/>
  <c r="H31" i="18"/>
  <c r="I31" i="18" s="1"/>
  <c r="H9" i="18"/>
  <c r="I9" i="18" s="1"/>
  <c r="A9" i="18" s="1"/>
  <c r="H29" i="18"/>
  <c r="I29" i="18" s="1"/>
  <c r="H17" i="18"/>
  <c r="I17" i="18" s="1"/>
  <c r="H27" i="18"/>
  <c r="I27" i="18" s="1"/>
  <c r="H13" i="19"/>
  <c r="I13" i="19" s="1"/>
  <c r="H24" i="19"/>
  <c r="I24" i="19" s="1"/>
  <c r="H29" i="19"/>
  <c r="I29" i="19" s="1"/>
  <c r="H40" i="19"/>
  <c r="I40" i="19" s="1"/>
  <c r="H45" i="19"/>
  <c r="I45" i="19" s="1"/>
  <c r="H56" i="19"/>
  <c r="I56" i="19" s="1"/>
  <c r="H25" i="18"/>
  <c r="I25" i="18" s="1"/>
  <c r="H21" i="18"/>
  <c r="I21" i="18" s="1"/>
  <c r="H12" i="19"/>
  <c r="I12" i="19" s="1"/>
  <c r="H17" i="19"/>
  <c r="I17" i="19" s="1"/>
  <c r="H28" i="19"/>
  <c r="I28" i="19" s="1"/>
  <c r="H33" i="19"/>
  <c r="I33" i="19" s="1"/>
  <c r="H44" i="19"/>
  <c r="I44" i="19" s="1"/>
  <c r="H49" i="19"/>
  <c r="I49" i="19" s="1"/>
  <c r="H19" i="18"/>
  <c r="I19" i="18" s="1"/>
  <c r="H15" i="18"/>
  <c r="I15" i="18" s="1"/>
  <c r="H39" i="18"/>
  <c r="I39" i="18" s="1"/>
  <c r="H16" i="19"/>
  <c r="I16" i="19" s="1"/>
  <c r="H21" i="19"/>
  <c r="I21" i="19" s="1"/>
  <c r="H32" i="19"/>
  <c r="I32" i="19" s="1"/>
  <c r="H37" i="19"/>
  <c r="I37" i="19" s="1"/>
  <c r="H48" i="19"/>
  <c r="I48" i="19" s="1"/>
  <c r="H53" i="19"/>
  <c r="I53" i="19" s="1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2" i="7"/>
  <c r="H12" i="7" s="1"/>
  <c r="I12" i="7" s="1"/>
  <c r="G10" i="7"/>
  <c r="C40" i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C54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31" i="7" l="1"/>
  <c r="G15" i="7"/>
  <c r="H15" i="7" s="1"/>
  <c r="I15" i="7" s="1"/>
  <c r="G46" i="13"/>
  <c r="H46" i="13" s="1"/>
  <c r="I46" i="13" s="1"/>
  <c r="A10" i="18"/>
  <c r="A11" i="18" s="1"/>
  <c r="A12" i="18" s="1"/>
  <c r="A13" i="18" s="1"/>
  <c r="A11" i="19"/>
  <c r="A12" i="19" s="1"/>
  <c r="G57" i="7"/>
  <c r="H57" i="7" s="1"/>
  <c r="I57" i="7" s="1"/>
  <c r="G65" i="7"/>
  <c r="H65" i="7" s="1"/>
  <c r="I65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4" i="7"/>
  <c r="H14" i="7" s="1"/>
  <c r="I14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60" i="1"/>
  <c r="H101" i="7"/>
  <c r="I101" i="7" s="1"/>
  <c r="H10" i="7"/>
  <c r="I10" i="7" s="1"/>
  <c r="A10" i="7" s="1"/>
  <c r="H6" i="7"/>
  <c r="H44" i="13"/>
  <c r="H26" i="7"/>
  <c r="H127" i="7"/>
  <c r="H122" i="7"/>
  <c r="H121" i="7"/>
  <c r="A13" i="19" l="1"/>
  <c r="A14" i="19" s="1"/>
  <c r="A14" i="18"/>
  <c r="A15" i="18" s="1"/>
  <c r="A16" i="18" s="1"/>
  <c r="A11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5" i="19" l="1"/>
  <c r="A17" i="18"/>
  <c r="A18" i="18" s="1"/>
  <c r="A19" i="18" s="1"/>
  <c r="A12" i="7"/>
  <c r="A14" i="12"/>
  <c r="A15" i="12" s="1"/>
  <c r="A12" i="13"/>
  <c r="A13" i="7" l="1"/>
  <c r="A14" i="7" s="1"/>
  <c r="A16" i="19"/>
  <c r="A17" i="19" s="1"/>
  <c r="A18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13" i="13"/>
  <c r="A14" i="13" s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15" i="7" l="1"/>
  <c r="A16" i="7" s="1"/>
  <c r="A17" i="7" s="1"/>
  <c r="A18" i="7" s="1"/>
  <c r="A19" i="7" s="1"/>
  <c r="A20" i="7" s="1"/>
  <c r="A21" i="7" s="1"/>
  <c r="A19" i="19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15" i="13"/>
  <c r="A22" i="7" l="1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3" i="7" s="1"/>
  <c r="A74" i="7" s="1"/>
  <c r="A75" i="7" s="1"/>
  <c r="A76" i="7" s="1"/>
  <c r="A77" i="7" s="1"/>
  <c r="A78" i="7" s="1"/>
  <c r="A79" i="7" s="1"/>
  <c r="A80" i="7" s="1"/>
  <c r="A83" i="7" s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6" i="13"/>
  <c r="A17" i="13" s="1"/>
  <c r="A18" i="13" s="1"/>
  <c r="A19" i="13" l="1"/>
  <c r="A20" i="13" s="1"/>
  <c r="A21" i="13" l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H7" i="18" l="1"/>
  <c r="I7" i="18" s="1"/>
  <c r="H7" i="19"/>
  <c r="I7" i="19" s="1"/>
  <c r="A114" i="7"/>
  <c r="A115" i="7" s="1"/>
  <c r="A116" i="7" l="1"/>
  <c r="A117" i="7" s="1"/>
  <c r="A118" i="7" l="1"/>
  <c r="A121" i="7" s="1"/>
  <c r="A122" i="7" l="1"/>
  <c r="A123" i="7" s="1"/>
  <c r="A124" i="7" l="1"/>
  <c r="A127" i="7" l="1"/>
  <c r="A128" i="7" l="1"/>
  <c r="A129" i="7" l="1"/>
  <c r="A130" i="7" l="1"/>
  <c r="A131" i="7" s="1"/>
  <c r="A132" i="7" s="1"/>
  <c r="A133" i="7" s="1"/>
  <c r="A134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22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2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2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2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23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23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23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23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3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5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7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<sst xmlns="http://schemas.openxmlformats.org/spreadsheetml/2006/main" count="2179" uniqueCount="1107">
  <si>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</si>
  <si>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</si>
  <si>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</si>
  <si>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</si>
  <si>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</si>
  <si>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</si>
  <si>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</si>
  <si>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</si>
  <si>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</si>
  <si>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</si>
  <si>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</si>
  <si>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</si>
  <si>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</si>
  <si>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</si>
  <si>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</si>
  <si>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</si>
  <si>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</si>
  <si>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</si>
  <si>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</si>
  <si>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</si>
  <si>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</si>
  <si>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</si>
  <si>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</si>
  <si>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</si>
  <si>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</si>
  <si>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</si>
  <si>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</si>
  <si>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</si>
  <si>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</si>
  <si>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</si>
  <si>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</si>
  <si>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</si>
  <si>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</si>
  <si>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</si>
  <si>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</si>
  <si>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</si>
  <si>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</si>
  <si>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</si>
  <si>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</si>
  <si>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</si>
  <si>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</si>
  <si>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</si>
  <si>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</si>
  <si>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</si>
  <si>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</si>
  <si>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</si>
  <si>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</si>
  <si>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</si>
  <si>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</si>
  <si>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</si>
  <si>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</si>
  <si>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</si>
  <si>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</si>
  <si>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</si>
  <si>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</si>
  <si>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</si>
  <si>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</si>
  <si>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</si>
  <si>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</si>
  <si>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</si>
  <si>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</si>
  <si>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</si>
  <si>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</si>
  <si>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</si>
  <si>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</si>
  <si>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</si>
  <si>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</si>
  <si>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</si>
  <si>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</si>
  <si>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</si>
  <si>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</si>
  <si>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</si>
  <si>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</si>
  <si>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</si>
  <si>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</si>
  <si>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</si>
  <si>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</si>
  <si>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</si>
  <si>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</si>
  <si>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</si>
  <si>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</si>
  <si>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</si>
  <si>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</si>
  <si>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</si>
  <si>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</si>
  <si>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</si>
  <si>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</si>
  <si>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</si>
  <si>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</si>
  <si>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</si>
  <si>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</si>
  <si>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</si>
  <si>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</si>
  <si>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</si>
  <si>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</si>
  <si>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</si>
  <si>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</si>
  <si>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</si>
  <si>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</si>
  <si>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</si>
  <si>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</si>
  <si>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</si>
  <si>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</si>
  <si>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</si>
  <si>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</si>
  <si>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</si>
  <si>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</si>
  <si>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</si>
  <si>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</si>
  <si>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</si>
  <si>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</si>
  <si>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</si>
  <si>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</si>
  <si>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</si>
  <si>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</si>
  <si>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</si>
  <si>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</si>
  <si>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</si>
  <si>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</si>
  <si>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</si>
  <si>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</si>
  <si>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</si>
  <si>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</si>
  <si>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</si>
  <si>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</si>
  <si>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</si>
  <si>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</si>
  <si>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</si>
  <si>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</si>
  <si>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</si>
  <si>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</si>
  <si>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</si>
  <si>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</si>
  <si>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</si>
  <si>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</si>
  <si>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</si>
  <si>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</si>
  <si>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</si>
  <si>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</si>
  <si>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</si>
  <si>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</si>
  <si>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</si>
  <si>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</si>
  <si>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</si>
  <si>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</si>
  <si>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</si>
  <si>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</si>
  <si>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</si>
  <si>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</si>
  <si>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</si>
  <si>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</si>
  <si>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</si>
  <si>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</si>
  <si>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</si>
  <si>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</si>
  <si>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</si>
  <si>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</si>
  <si>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</si>
  <si>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</si>
  <si>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</si>
  <si>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</si>
  <si>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</si>
  <si>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</si>
  <si>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</si>
  <si>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</si>
  <si>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</si>
  <si>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</si>
  <si>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</si>
  <si>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</si>
  <si>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</si>
  <si>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</si>
  <si>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</si>
  <si>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</si>
  <si>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</si>
  <si>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</si>
  <si>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</si>
  <si>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</si>
  <si>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</si>
  <si>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</si>
  <si>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</si>
  <si>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</si>
  <si>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</si>
  <si>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</si>
  <si>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</si>
  <si>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</si>
  <si>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</si>
  <si>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</si>
  <si>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</si>
  <si>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</si>
  <si>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</si>
  <si>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</si>
  <si>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</si>
  <si>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</si>
  <si>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</si>
  <si>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</si>
  <si>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</si>
  <si>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</si>
  <si>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</si>
  <si>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</si>
  <si>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</si>
  <si>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</si>
  <si>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</si>
  <si>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</si>
  <si>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</si>
  <si>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</si>
  <si>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</si>
  <si>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</si>
  <si>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</si>
  <si>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</si>
  <si>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</si>
  <si>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</si>
  <si>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</si>
  <si>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</si>
  <si>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</si>
  <si>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</si>
  <si>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</si>
  <si>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</si>
  <si>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</si>
  <si>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</si>
  <si>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</si>
  <si>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</si>
  <si>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</si>
  <si>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</si>
  <si>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</si>
  <si>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</si>
  <si>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</si>
  <si>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</si>
  <si>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</si>
  <si>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</si>
  <si>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</si>
  <si>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</si>
  <si>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</si>
  <si>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</si>
  <si>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</si>
  <si>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</si>
  <si>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</si>
  <si>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</si>
  <si>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</si>
  <si>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</si>
  <si>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</si>
  <si>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</si>
  <si>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</si>
  <si>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</si>
  <si>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</si>
  <si>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</si>
  <si>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</si>
  <si>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</si>
  <si>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</si>
  <si>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</si>
  <si>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</si>
  <si>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</si>
  <si>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</si>
  <si>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</si>
  <si>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</si>
  <si>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</si>
  <si>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</si>
  <si>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</si>
  <si>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</si>
  <si>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</si>
  <si>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</si>
  <si>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</si>
  <si>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</si>
  <si>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</si>
  <si>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</si>
  <si>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</si>
  <si>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</si>
  <si>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</si>
  <si>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</si>
  <si>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</si>
  <si>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</si>
  <si>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</si>
  <si>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</si>
  <si>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</si>
  <si>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</si>
  <si>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</si>
  <si>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</si>
  <si>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</si>
  <si>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</si>
  <si>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</si>
  <si>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</si>
  <si>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</si>
  <si>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</si>
  <si>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</si>
  <si>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</si>
  <si>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</si>
  <si>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</si>
  <si>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</si>
  <si>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</si>
  <si>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</si>
  <si>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</si>
  <si>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</si>
  <si>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</si>
  <si>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</si>
  <si>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</si>
  <si>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</si>
  <si>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</si>
  <si>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</si>
  <si>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</si>
  <si>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</si>
  <si>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</si>
  <si>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</si>
  <si>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</si>
  <si>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</si>
  <si>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</si>
  <si>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</si>
  <si>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</si>
  <si>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</si>
  <si>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</si>
  <si>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</si>
  <si>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</si>
  <si>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</si>
  <si>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</si>
  <si>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</si>
  <si>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</si>
  <si>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</si>
  <si>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</si>
  <si>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</si>
  <si>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</si>
  <si>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</si>
  <si>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</si>
  <si>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</si>
  <si>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</si>
  <si>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</si>
  <si>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</si>
  <si>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</si>
  <si>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</si>
  <si>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</si>
  <si>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</si>
  <si>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</si>
  <si>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</si>
  <si>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</si>
  <si>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</si>
  <si>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</si>
  <si>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</si>
  <si>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</si>
  <si>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</si>
  <si>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</si>
  <si>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</si>
  <si>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</si>
  <si>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</si>
  <si>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</si>
  <si>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</si>
  <si>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</si>
  <si>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</si>
  <si>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</si>
  <si>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</si>
  <si>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</si>
  <si>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</si>
  <si>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</si>
  <si>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</si>
  <si>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</si>
  <si>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</si>
  <si>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</si>
  <si>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</si>
  <si>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</si>
  <si>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</si>
  <si>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</si>
  <si>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</si>
  <si>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</si>
  <si>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</si>
  <si>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</si>
  <si>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</si>
  <si>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</si>
  <si>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</si>
  <si>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</si>
  <si>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</si>
  <si>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</si>
  <si>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</si>
  <si>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</si>
  <si>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</si>
  <si>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</si>
  <si>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</si>
  <si>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</si>
  <si>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</si>
  <si>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</si>
  <si>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</si>
  <si>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</si>
  <si>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</si>
  <si>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</si>
  <si>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</si>
  <si>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</si>
  <si>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</si>
  <si>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</si>
  <si>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</si>
  <si>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</si>
  <si>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</si>
  <si>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</si>
  <si>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</si>
  <si>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</si>
  <si>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</si>
  <si>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</si>
  <si>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</si>
  <si>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</si>
  <si>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</si>
  <si>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</si>
  <si>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</si>
  <si>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</si>
  <si>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</si>
  <si>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</si>
  <si>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</si>
  <si>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</si>
  <si>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</si>
  <si>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</si>
  <si>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</si>
  <si>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</si>
  <si>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</si>
  <si>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</si>
  <si>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</si>
  <si>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</si>
  <si>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</si>
  <si>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</si>
  <si>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</si>
  <si>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</si>
  <si>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</si>
  <si>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</si>
  <si>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</si>
  <si>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</si>
  <si>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</si>
  <si>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</si>
  <si>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</si>
  <si>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</si>
  <si>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</si>
  <si>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</si>
  <si>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</si>
  <si>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</si>
  <si>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</si>
  <si>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</si>
  <si>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</si>
  <si>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</si>
  <si>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</si>
  <si>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</si>
  <si>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</si>
  <si>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</si>
  <si>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</si>
  <si>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</si>
  <si>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</si>
  <si>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</si>
  <si>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</si>
  <si>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</si>
  <si>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</si>
  <si>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</si>
  <si>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</si>
  <si>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</si>
  <si>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</si>
  <si>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</si>
  <si>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</si>
  <si>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</si>
  <si>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</si>
  <si>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</si>
  <si>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</si>
  <si>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</si>
  <si>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</si>
  <si>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</si>
  <si>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</si>
  <si>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</si>
  <si>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</si>
  <si>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</si>
  <si>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</si>
  <si>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</si>
  <si>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</si>
  <si>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</si>
  <si>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</si>
  <si>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</si>
  <si>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</si>
  <si>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</si>
  <si>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</si>
  <si>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</si>
  <si>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</si>
  <si>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</si>
  <si>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</si>
  <si>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</si>
  <si>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</si>
  <si>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</si>
  <si>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</si>
  <si>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</si>
  <si>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</si>
  <si>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</si>
  <si>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</si>
  <si>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</si>
  <si>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</si>
  <si>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</si>
  <si>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</si>
  <si>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</si>
  <si>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</si>
  <si>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</si>
  <si>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</si>
  <si>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</si>
  <si>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</si>
  <si>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</si>
  <si>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</si>
  <si>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</si>
  <si>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</si>
  <si>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</si>
  <si>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</si>
  <si>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</si>
  <si>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</si>
  <si>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</si>
  <si>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</si>
  <si>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</si>
  <si>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</si>
  <si>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</si>
  <si>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</si>
  <si>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</si>
  <si>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</si>
  <si>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</si>
  <si>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</si>
  <si>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</si>
  <si>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</si>
  <si>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</si>
  <si>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</si>
  <si>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</si>
  <si>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</si>
  <si>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</si>
  <si>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</si>
  <si>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</si>
  <si>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</si>
  <si>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</si>
  <si>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</si>
  <si>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</si>
  <si>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</si>
  <si>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</si>
  <si>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</si>
  <si>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</si>
  <si>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</si>
  <si>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</si>
  <si>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</si>
  <si>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</si>
  <si>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</si>
  <si>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</si>
  <si>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</si>
  <si>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</si>
  <si>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</si>
  <si>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</si>
  <si>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</si>
  <si>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</si>
  <si>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</si>
  <si>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</si>
  <si>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</si>
  <si>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</si>
  <si>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</si>
  <si>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</si>
  <si>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</si>
  <si>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</si>
  <si>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</si>
  <si>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</si>
  <si>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</si>
  <si>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</si>
  <si>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</si>
  <si>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</si>
  <si>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</si>
  <si>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</si>
  <si>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</si>
  <si>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</si>
  <si>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</si>
  <si>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</si>
  <si>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</si>
  <si>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</si>
  <si>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</si>
  <si>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</si>
  <si>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</si>
  <si>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</si>
  <si>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</si>
  <si>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</si>
  <si>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</si>
  <si>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</si>
  <si>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</si>
  <si>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</si>
  <si>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</si>
  <si>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</si>
  <si>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</si>
  <si>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</si>
  <si>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</si>
  <si>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</si>
  <si>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</si>
  <si>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</si>
  <si>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</si>
  <si>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</si>
  <si>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</si>
  <si>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</si>
  <si>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</si>
  <si>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</si>
  <si>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</si>
  <si>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</si>
  <si>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</si>
  <si>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</si>
  <si>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</si>
  <si>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</si>
  <si>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</si>
  <si>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</si>
  <si>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</si>
  <si>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</si>
  <si>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</si>
  <si>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</si>
  <si>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</si>
  <si>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</si>
  <si>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</si>
  <si>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</si>
  <si>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</si>
  <si>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</si>
  <si>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</si>
  <si>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</si>
  <si>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</si>
  <si>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</si>
  <si>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</si>
  <si>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</si>
  <si>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</si>
  <si>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</si>
  <si>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</si>
  <si>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</si>
  <si>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</si>
  <si>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</si>
  <si>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</si>
  <si>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</si>
  <si>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</si>
  <si>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</si>
  <si>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</si>
  <si>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</si>
  <si>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</si>
  <si>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</si>
  <si>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</si>
  <si>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</si>
  <si>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</si>
  <si>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</si>
  <si>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</si>
  <si>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</si>
  <si>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</si>
  <si>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</si>
  <si>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</si>
  <si>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</si>
  <si>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</si>
  <si>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</si>
  <si>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</si>
  <si>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</si>
  <si>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</si>
  <si>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</si>
  <si>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</si>
  <si>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</si>
  <si>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</si>
  <si>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</si>
  <si>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</si>
  <si>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</si>
  <si>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</si>
  <si>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</si>
  <si>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</si>
  <si>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</si>
  <si>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</si>
  <si>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</si>
  <si>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</si>
  <si>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</si>
  <si>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</si>
  <si>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</si>
  <si>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</si>
  <si>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</si>
  <si>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</si>
  <si>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</si>
  <si>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</si>
  <si>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</si>
  <si>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</si>
  <si>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</si>
  <si>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</si>
  <si>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</si>
  <si>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</si>
  <si>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</si>
  <si>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</si>
  <si>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</si>
  <si>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</si>
  <si>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</si>
  <si>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</si>
  <si>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</si>
  <si>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</si>
  <si>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</si>
  <si>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</si>
  <si>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</si>
  <si>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</si>
  <si>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</si>
  <si>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</si>
  <si>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</si>
  <si>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</si>
  <si>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</si>
  <si>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</si>
  <si>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</si>
  <si>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</si>
  <si>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</si>
  <si>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</si>
  <si>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</si>
  <si>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</si>
  <si>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</si>
  <si>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</si>
  <si>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</si>
  <si>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</si>
  <si>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</si>
  <si>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</si>
  <si>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</si>
  <si>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</si>
  <si>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</si>
  <si>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</si>
  <si>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</si>
  <si>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</si>
  <si>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</si>
  <si>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</si>
  <si>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</si>
  <si>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</si>
  <si>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</si>
  <si>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</si>
  <si>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</si>
  <si>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</si>
  <si>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</si>
  <si>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</si>
  <si>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</si>
  <si>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</si>
  <si>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</si>
  <si>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</si>
  <si>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</si>
  <si>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</si>
  <si>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</si>
  <si>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</si>
  <si>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</si>
  <si>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</si>
  <si>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</si>
  <si>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</si>
  <si>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</si>
  <si>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</si>
  <si>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</si>
  <si>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</si>
  <si>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</si>
  <si>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</si>
  <si>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</si>
  <si>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</si>
  <si>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</si>
  <si>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</si>
  <si>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</si>
  <si>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</si>
  <si>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</si>
  <si>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</si>
  <si>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</si>
  <si>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</si>
  <si>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</si>
  <si>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</si>
  <si>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</si>
  <si>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</si>
  <si>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</si>
  <si>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</si>
  <si>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</si>
  <si>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</si>
  <si>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</si>
  <si>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</si>
  <si>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</si>
  <si>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</si>
  <si>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</si>
  <si>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</si>
  <si>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</si>
  <si>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</si>
  <si>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</si>
  <si>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</si>
  <si>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</si>
  <si>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</si>
  <si>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</si>
  <si>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</si>
  <si>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</si>
  <si>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</si>
  <si>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</si>
  <si>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</si>
  <si>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</si>
  <si>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</si>
  <si>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</si>
  <si>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</si>
  <si>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</si>
  <si>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</si>
  <si>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</si>
  <si>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</si>
  <si>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</si>
  <si>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</si>
  <si>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</si>
  <si>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</si>
  <si>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</si>
  <si>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</si>
  <si>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</si>
  <si>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</si>
  <si>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</si>
  <si>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</si>
  <si>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</si>
  <si>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</si>
  <si>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</si>
  <si>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</si>
  <si>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</si>
  <si>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</si>
  <si>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</si>
  <si>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</si>
  <si>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</si>
  <si>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</si>
  <si>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</si>
  <si>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</si>
  <si>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</si>
  <si>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</si>
  <si>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</si>
  <si>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</si>
  <si>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</si>
  <si>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</si>
  <si>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</si>
  <si>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</si>
  <si>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</si>
  <si>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</si>
  <si>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</si>
  <si>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</si>
  <si>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</si>
  <si>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</si>
  <si>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</si>
  <si>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</si>
  <si>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</si>
  <si>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</si>
  <si>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</si>
  <si>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</si>
  <si>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</si>
  <si>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</si>
  <si>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</si>
  <si>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</si>
  <si>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</si>
  <si>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</si>
  <si>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</si>
  <si>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</si>
  <si>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</si>
  <si>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</si>
  <si>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</si>
  <si>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</si>
  <si>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</si>
  <si>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</si>
  <si>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</si>
  <si>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</si>
  <si>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</si>
  <si>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</si>
  <si>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</si>
  <si>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</si>
  <si>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</si>
  <si>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</si>
  <si>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</si>
  <si>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</si>
  <si>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</si>
  <si>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</si>
  <si>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</si>
  <si>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</si>
  <si>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</si>
  <si>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</si>
  <si>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</si>
  <si>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</si>
  <si>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</si>
  <si>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</si>
  <si>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</si>
  <si>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</si>
  <si>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</si>
  <si>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</si>
  <si>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</si>
  <si>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</si>
  <si>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</si>
  <si>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</si>
  <si>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</si>
  <si>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</si>
  <si>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</si>
  <si>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</si>
  <si>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</si>
  <si>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</si>
  <si>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</si>
  <si>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</si>
  <si>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</si>
  <si>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</si>
  <si>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</si>
  <si>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</si>
  <si>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</si>
  <si>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</si>
  <si>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</si>
  <si>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</si>
  <si>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</si>
  <si>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</si>
  <si>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</si>
  <si>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</si>
  <si>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</si>
  <si>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</si>
  <si>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</si>
  <si>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</si>
  <si>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</si>
  <si>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</si>
  <si>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</si>
  <si>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</si>
  <si>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</si>
  <si>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</si>
  <si>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</si>
  <si>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</si>
  <si>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</si>
  <si>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</si>
  <si>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</si>
  <si>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</si>
  <si>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</si>
  <si>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</si>
  <si>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</si>
  <si>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</si>
  <si>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</si>
  <si>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</si>
  <si>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</si>
  <si>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</si>
  <si>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</si>
  <si>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</si>
  <si>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</si>
  <si>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</si>
  <si>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</si>
  <si>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</si>
  <si>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</si>
  <si>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</si>
  <si>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</si>
  <si>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</si>
  <si>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</si>
  <si>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</si>
  <si>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</si>
  <si>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</si>
  <si>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</si>
  <si>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</si>
  <si>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</si>
  <si>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</si>
  <si>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</si>
  <si>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</si>
  <si>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</si>
  <si>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</si>
  <si>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</si>
  <si>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</si>
  <si>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</si>
  <si>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</si>
  <si>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</si>
  <si>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</si>
  <si>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</si>
  <si>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</si>
  <si>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</si>
  <si>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</si>
  <si>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</si>
  <si>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</si>
  <si>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</si>
  <si>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</si>
  <si>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</si>
  <si>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</si>
  <si>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</si>
  <si>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</si>
  <si>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</si>
  <si>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</si>
  <si>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</si>
  <si>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</si>
  <si>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</si>
  <si>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</si>
  <si>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</si>
  <si>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</si>
  <si>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</si>
  <si>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</si>
  <si>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</si>
  <si>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</si>
  <si>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</si>
  <si>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</si>
  <si>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</si>
  <si>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</si>
  <si>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</si>
  <si>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</si>
  <si>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</si>
  <si>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</si>
  <si>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Mtpv_Flux_0</t>
  </si>
  <si>
    <t>Mtpv_Torque_0</t>
  </si>
  <si>
    <t>Mtpv_Flux_1</t>
  </si>
  <si>
    <t>Mtpv_Torque_1</t>
  </si>
  <si>
    <t>Mtpv_Flux_2</t>
  </si>
  <si>
    <t>Mtpv_Torque_2</t>
  </si>
  <si>
    <t>Mtpv_Flux_3</t>
  </si>
  <si>
    <t>Mtpv_Torque_3</t>
  </si>
  <si>
    <t>Mtpv_Flux_4</t>
  </si>
  <si>
    <t>Mtpv_Torque_4</t>
  </si>
  <si>
    <t>Mtpv_Flux_5</t>
  </si>
  <si>
    <t>Mtpv_Torque_5</t>
  </si>
  <si>
    <t>Mtpv_Flux_6</t>
  </si>
  <si>
    <t>Mtpv_Torque_6</t>
  </si>
  <si>
    <t>Mtpv_Flux_7</t>
  </si>
  <si>
    <t>Mtpv_Torque_7</t>
  </si>
  <si>
    <t>Mtpv_Flux_8</t>
  </si>
  <si>
    <t>Mtpv_Torque_8</t>
  </si>
  <si>
    <t>Mtpv_Flux_9</t>
  </si>
  <si>
    <t>Mtpv_Torque_9</t>
  </si>
  <si>
    <t>Mtpv_Flux_10</t>
  </si>
  <si>
    <t>Mtpv_Torque_10</t>
  </si>
  <si>
    <t>Mtpv_Flux_11</t>
  </si>
  <si>
    <t>Mtpv_Torque_11</t>
  </si>
  <si>
    <t>Mtpv_Flux_12</t>
  </si>
  <si>
    <t>Mtpv_Torque_12</t>
  </si>
  <si>
    <t>Mtpv_Flux_13</t>
  </si>
  <si>
    <t>Mtpv_Torque_13</t>
  </si>
  <si>
    <t>Mtpv_Flux_14</t>
  </si>
  <si>
    <t>Mtpv_Torque_14</t>
  </si>
  <si>
    <t>Mtpv_Flux_15</t>
  </si>
  <si>
    <t>Mtpv_Torque_15</t>
  </si>
  <si>
    <t>Mtpv_Flux_16</t>
  </si>
  <si>
    <t>Mtpv_Torque_16</t>
  </si>
  <si>
    <t>Mtpv_Flux_17</t>
  </si>
  <si>
    <t>Mtpv_Torque_17</t>
  </si>
  <si>
    <t>Mtpv_Flux_18</t>
  </si>
  <si>
    <t>Mtpv_Torque_18</t>
  </si>
  <si>
    <t>Mtpv_Flux_19</t>
  </si>
  <si>
    <t>Mtpv_Torque_19</t>
  </si>
  <si>
    <t>Mtpv_Flux_20</t>
  </si>
  <si>
    <t>Mtpv_Torque_20</t>
  </si>
  <si>
    <t>Mtpv_Flux_21</t>
  </si>
  <si>
    <t>Mtpv_Torque_21</t>
  </si>
  <si>
    <t>Mtpv_Flux_22</t>
  </si>
  <si>
    <t>Mtpv_Torque_22</t>
  </si>
  <si>
    <t>Mtpv_Flux_23</t>
  </si>
  <si>
    <t>Mtpv_Torque_23</t>
  </si>
  <si>
    <t>Mtpv_Flux_24</t>
  </si>
  <si>
    <t>Mtpv_Torque_24</t>
  </si>
  <si>
    <t>=(32768/BASE_FLUX) * MTPVFlux_0</t>
  </si>
  <si>
    <t>=(32768/BASE_TORQ) * MTPVTorque_0</t>
  </si>
  <si>
    <t>=(32768/BASE_FLUX) * MTPVFlux_1</t>
  </si>
  <si>
    <t>=(32768/BASE_TORQ) * MTPVTorque_1</t>
  </si>
  <si>
    <t>=(32768/BASE_FLUX) * MTPVFlux_2</t>
  </si>
  <si>
    <t>=(32768/BASE_TORQ) * MTPVTorque_2</t>
  </si>
  <si>
    <t>=(32768/BASE_FLUX) * MTPVFlux_3</t>
  </si>
  <si>
    <t>=(32768/BASE_TORQ) * MTPVTorque_3</t>
  </si>
  <si>
    <t>=(32768/BASE_FLUX) * MTPVFlux_4</t>
  </si>
  <si>
    <t>=(32768/BASE_TORQ) * MTPVTorque_4</t>
  </si>
  <si>
    <t>=(32768/BASE_FLUX) * MTPVFlux_5</t>
  </si>
  <si>
    <t>=(32768/BASE_TORQ) * MTPVTorque_5</t>
  </si>
  <si>
    <t>=(32768/BASE_FLUX) * MTPVFlux_6</t>
  </si>
  <si>
    <t>=(32768/BASE_TORQ) * MTPVTorque_6</t>
  </si>
  <si>
    <t>=(32768/BASE_FLUX) * MTPVFlux_7</t>
  </si>
  <si>
    <t>=(32768/BASE_TORQ) * MTPVTorque_7</t>
  </si>
  <si>
    <t>=(32768/BASE_FLUX) * MTPVFlux_8</t>
  </si>
  <si>
    <t>=(32768/BASE_TORQ) * MTPVTorque_8</t>
  </si>
  <si>
    <t>=(32768/BASE_FLUX) * MTPVFlux_9</t>
  </si>
  <si>
    <t>=(32768/BASE_TORQ) * MTPVTorque_9</t>
  </si>
  <si>
    <t>=(32768/BASE_FLUX) * MTPVFlux_10</t>
  </si>
  <si>
    <t>=(32768/BASE_TORQ) * MTPVTorque_10</t>
  </si>
  <si>
    <t>=(32768/BASE_FLUX) * MTPVFlux_11</t>
  </si>
  <si>
    <t>=(32768/BASE_TORQ) * MTPVTorque_11</t>
  </si>
  <si>
    <t>=(32768/BASE_FLUX) * MTPVFlux_12</t>
  </si>
  <si>
    <t>=(32768/BASE_TORQ) * MTPVTorque_12</t>
  </si>
  <si>
    <t>=(32768/BASE_FLUX) * MTPVFlux_13</t>
  </si>
  <si>
    <t>=(32768/BASE_TORQ) * MTPVTorque_13</t>
  </si>
  <si>
    <t>=(32768/BASE_FLUX) * MTPVFlux_14</t>
  </si>
  <si>
    <t>=(32768/BASE_TORQ) * MTPVTorque_14</t>
  </si>
  <si>
    <t>=(32768/BASE_FLUX) * MTPVFlux_15</t>
  </si>
  <si>
    <t>=(32768/BASE_TORQ) * MTPVTorque_15</t>
  </si>
  <si>
    <t>=(32768/BASE_FLUX) * MTPVFlux_16</t>
  </si>
  <si>
    <t>=(32768/BASE_TORQ) * MTPVTorque_16</t>
  </si>
  <si>
    <t>=(32768/BASE_FLUX) * MTPVFlux_17</t>
  </si>
  <si>
    <t>=(32768/BASE_TORQ) * MTPVTorque_17</t>
  </si>
  <si>
    <t>=(32768/BASE_FLUX) * MTPVFlux_18</t>
  </si>
  <si>
    <t>=(32768/BASE_TORQ) * MTPVTorque_18</t>
  </si>
  <si>
    <t>=(32768/BASE_FLUX) * MTPVFlux_19</t>
  </si>
  <si>
    <t>=(32768/BASE_TORQ) * MTPVTorque_19</t>
  </si>
  <si>
    <t>=(32768/BASE_FLUX) * MTPVFlux_20</t>
  </si>
  <si>
    <t>=(32768/BASE_TORQ) * MTPVTorque_20</t>
  </si>
  <si>
    <t>=(32768/BASE_FLUX) * MTPVFlux_21</t>
  </si>
  <si>
    <t>=(32768/BASE_TORQ) * MTPVTorque_21</t>
  </si>
  <si>
    <t>=(32768/BASE_FLUX) * MTPVFlux_22</t>
  </si>
  <si>
    <t>=(32768/BASE_TORQ) * MTPVTorque_22</t>
  </si>
  <si>
    <t>=(32768/BASE_FLUX) * MTPVFlux_23</t>
  </si>
  <si>
    <t>=(32768/BASE_TORQ) * MTPVTorque_23</t>
  </si>
  <si>
    <t>=(32768/BASE_FLUX) * MTPVFlux_24</t>
  </si>
  <si>
    <t>=(32768/BASE_TORQ) * MTPVTorque_24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</si>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</sst>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89"/>
  <sheetViews>
    <sheetView topLeftCell="A202" zoomScaleNormal="100" workbookViewId="0">
      <selection activeCell="C221" sqref="C221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7" t="s">
        <v>208</v>
      </c>
      <c r="B1" s="107"/>
      <c r="C1" s="107"/>
      <c r="D1" s="107"/>
      <c r="E1" s="107"/>
      <c r="F1" s="107"/>
      <c r="G1" t="s">
        <v>690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691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691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691</v>
      </c>
    </row>
    <row r="5" spans="1:7" x14ac:dyDescent="0.25">
      <c r="A5" s="5"/>
      <c r="B5" s="5"/>
      <c r="C5" s="8"/>
      <c r="D5" s="5"/>
      <c r="E5" s="5"/>
      <c r="F5" s="5"/>
      <c r="G5" t="s">
        <v>691</v>
      </c>
    </row>
    <row r="6" spans="1:7" ht="17.25" x14ac:dyDescent="0.3">
      <c r="A6" s="107" t="s">
        <v>209</v>
      </c>
      <c r="B6" s="107"/>
      <c r="C6" s="107"/>
      <c r="D6" s="107"/>
      <c r="E6" s="107"/>
      <c r="F6" s="107"/>
      <c r="G6" t="s">
        <v>691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691</v>
      </c>
    </row>
    <row r="8" spans="1:7" x14ac:dyDescent="0.25">
      <c r="A8" s="5" t="s">
        <v>207</v>
      </c>
      <c r="B8" s="5" t="s">
        <v>198</v>
      </c>
      <c r="C8" s="66">
        <f>5.6/2</f>
        <v>2.8</v>
      </c>
      <c r="D8" s="5"/>
      <c r="E8" s="5"/>
      <c r="F8" s="5"/>
      <c r="G8" t="s">
        <v>691</v>
      </c>
    </row>
    <row r="9" spans="1:7" x14ac:dyDescent="0.25">
      <c r="A9" s="5" t="s">
        <v>212</v>
      </c>
      <c r="B9" s="5" t="s">
        <v>201</v>
      </c>
      <c r="C9" s="18">
        <v>8.4500000000000006E-2</v>
      </c>
      <c r="D9" s="5"/>
      <c r="E9" s="5"/>
      <c r="F9" s="5"/>
      <c r="G9" t="s">
        <v>691</v>
      </c>
    </row>
    <row r="10" spans="1:7" x14ac:dyDescent="0.25">
      <c r="A10" s="89" t="s">
        <v>213</v>
      </c>
      <c r="B10" s="5" t="s">
        <v>214</v>
      </c>
      <c r="C10" s="18">
        <v>4</v>
      </c>
      <c r="D10" s="5"/>
      <c r="E10" s="5"/>
      <c r="F10" s="5"/>
      <c r="G10" t="s">
        <v>691</v>
      </c>
    </row>
    <row r="11" spans="1:7" x14ac:dyDescent="0.25">
      <c r="A11" s="5" t="s">
        <v>232</v>
      </c>
      <c r="B11" s="5" t="s">
        <v>231</v>
      </c>
      <c r="C11" s="66">
        <v>22.96</v>
      </c>
      <c r="D11" s="5"/>
      <c r="E11" s="5"/>
      <c r="F11" s="5"/>
      <c r="G11" t="s">
        <v>691</v>
      </c>
    </row>
    <row r="12" spans="1:7" x14ac:dyDescent="0.25">
      <c r="A12" s="5" t="s">
        <v>233</v>
      </c>
      <c r="B12" s="5" t="s">
        <v>231</v>
      </c>
      <c r="C12" s="66">
        <v>24.45</v>
      </c>
      <c r="D12" s="5"/>
      <c r="E12" s="5"/>
      <c r="F12" s="5"/>
      <c r="G12" t="s">
        <v>691</v>
      </c>
    </row>
    <row r="13" spans="1:7" x14ac:dyDescent="0.25">
      <c r="A13" s="5" t="s">
        <v>240</v>
      </c>
      <c r="B13" s="5" t="s">
        <v>231</v>
      </c>
      <c r="C13" s="66">
        <v>25</v>
      </c>
      <c r="D13" s="5"/>
      <c r="E13" s="5"/>
      <c r="F13" s="5"/>
      <c r="G13" t="s">
        <v>691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309</v>
      </c>
      <c r="F14" s="5">
        <v>1</v>
      </c>
      <c r="G14" t="s">
        <v>691</v>
      </c>
    </row>
    <row r="15" spans="1:7" x14ac:dyDescent="0.25">
      <c r="A15" s="5"/>
      <c r="B15" s="5"/>
      <c r="C15" s="18"/>
      <c r="D15" s="5"/>
      <c r="E15" s="5"/>
      <c r="F15" s="5"/>
      <c r="G15" t="s">
        <v>691</v>
      </c>
    </row>
    <row r="16" spans="1:7" ht="17.25" x14ac:dyDescent="0.3">
      <c r="A16" s="107" t="s">
        <v>210</v>
      </c>
      <c r="B16" s="107"/>
      <c r="C16" s="107"/>
      <c r="D16" s="107"/>
      <c r="E16" s="107"/>
      <c r="F16" s="107"/>
      <c r="G16" t="s">
        <v>691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691</v>
      </c>
    </row>
    <row r="18" spans="1:7" x14ac:dyDescent="0.25">
      <c r="A18" s="5" t="s">
        <v>215</v>
      </c>
      <c r="B18" s="5" t="s">
        <v>217</v>
      </c>
      <c r="C18" s="18">
        <v>443.40499999999997</v>
      </c>
      <c r="D18" s="5"/>
      <c r="E18" s="5"/>
      <c r="F18" s="5"/>
      <c r="G18" t="s">
        <v>691</v>
      </c>
    </row>
    <row r="19" spans="1:7" x14ac:dyDescent="0.25">
      <c r="A19" s="5" t="s">
        <v>216</v>
      </c>
      <c r="B19" s="5" t="s">
        <v>199</v>
      </c>
      <c r="C19" s="18">
        <v>7</v>
      </c>
      <c r="D19" s="5"/>
      <c r="E19" s="5"/>
      <c r="F19" s="5"/>
      <c r="G19" t="s">
        <v>691</v>
      </c>
    </row>
    <row r="20" spans="1:7" s="101" customFormat="1" x14ac:dyDescent="0.25">
      <c r="A20" s="89" t="s">
        <v>1062</v>
      </c>
      <c r="B20" s="89" t="s">
        <v>199</v>
      </c>
      <c r="C20" s="66">
        <v>4.0999999999999996</v>
      </c>
      <c r="D20" s="89"/>
      <c r="E20" s="89"/>
      <c r="F20" s="89"/>
    </row>
    <row r="21" spans="1:7" s="101" customFormat="1" x14ac:dyDescent="0.25">
      <c r="A21" s="89" t="s">
        <v>1063</v>
      </c>
      <c r="B21" s="89" t="s">
        <v>200</v>
      </c>
      <c r="C21" s="66">
        <v>6000</v>
      </c>
      <c r="D21" s="89"/>
      <c r="E21" s="89"/>
      <c r="F21" s="89"/>
    </row>
    <row r="22" spans="1:7" s="101" customFormat="1" x14ac:dyDescent="0.25">
      <c r="A22" s="97" t="s">
        <v>752</v>
      </c>
      <c r="B22" s="89" t="s">
        <v>217</v>
      </c>
      <c r="C22" s="66">
        <v>140</v>
      </c>
      <c r="D22" s="89"/>
      <c r="E22" s="89"/>
      <c r="F22" s="89"/>
    </row>
    <row r="23" spans="1:7" x14ac:dyDescent="0.25">
      <c r="A23" s="5"/>
      <c r="B23" s="5"/>
      <c r="C23" s="18"/>
      <c r="D23" s="5"/>
      <c r="E23" s="5"/>
      <c r="F23" s="5"/>
      <c r="G23" t="s">
        <v>691</v>
      </c>
    </row>
    <row r="24" spans="1:7" ht="17.25" x14ac:dyDescent="0.3">
      <c r="A24" s="107" t="s">
        <v>211</v>
      </c>
      <c r="B24" s="107"/>
      <c r="C24" s="107"/>
      <c r="D24" s="107"/>
      <c r="E24" s="107"/>
      <c r="F24" s="107"/>
      <c r="G24" t="s">
        <v>691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691</v>
      </c>
    </row>
    <row r="26" spans="1:7" x14ac:dyDescent="0.25">
      <c r="A26" s="108" t="s">
        <v>234</v>
      </c>
      <c r="B26" s="108"/>
      <c r="C26" s="108"/>
      <c r="D26" s="108"/>
      <c r="E26" s="108"/>
      <c r="F26" s="109"/>
      <c r="G26" t="s">
        <v>691</v>
      </c>
    </row>
    <row r="27" spans="1:7" x14ac:dyDescent="0.25">
      <c r="A27" s="5" t="s">
        <v>219</v>
      </c>
      <c r="B27" s="5" t="s">
        <v>217</v>
      </c>
      <c r="C27" s="18">
        <f>256</f>
        <v>256</v>
      </c>
      <c r="D27" s="5"/>
      <c r="E27" s="5"/>
      <c r="F27" s="5"/>
      <c r="G27" t="s">
        <v>691</v>
      </c>
    </row>
    <row r="28" spans="1:7" x14ac:dyDescent="0.25">
      <c r="A28" s="5" t="s">
        <v>218</v>
      </c>
      <c r="B28" s="5" t="s">
        <v>217</v>
      </c>
      <c r="C28" s="18">
        <f>DC_BUS_MAX_VOLTAGE</f>
        <v>443.40499999999997</v>
      </c>
      <c r="D28" s="5"/>
      <c r="E28" s="5"/>
      <c r="F28" s="5"/>
      <c r="G28" t="s">
        <v>691</v>
      </c>
    </row>
    <row r="29" spans="1:7" x14ac:dyDescent="0.25">
      <c r="A29" s="5" t="s">
        <v>220</v>
      </c>
      <c r="B29" s="5" t="s">
        <v>199</v>
      </c>
      <c r="C29" s="18">
        <v>8.2200000000000006</v>
      </c>
      <c r="D29" s="5"/>
      <c r="E29" s="5"/>
      <c r="F29" s="5"/>
      <c r="G29" t="s">
        <v>691</v>
      </c>
    </row>
    <row r="30" spans="1:7" x14ac:dyDescent="0.25">
      <c r="A30" s="5" t="s">
        <v>221</v>
      </c>
      <c r="B30" s="5" t="s">
        <v>230</v>
      </c>
      <c r="C30" s="18">
        <v>180</v>
      </c>
      <c r="D30" s="5"/>
      <c r="E30" s="5"/>
      <c r="F30" s="5"/>
      <c r="G30" t="s">
        <v>691</v>
      </c>
    </row>
    <row r="31" spans="1:7" x14ac:dyDescent="0.25">
      <c r="A31" s="5" t="s">
        <v>222</v>
      </c>
      <c r="B31" s="5" t="s">
        <v>229</v>
      </c>
      <c r="C31" s="18">
        <f>PI()</f>
        <v>3.1415926535897931</v>
      </c>
      <c r="D31" s="5"/>
      <c r="E31" s="5"/>
      <c r="F31" s="5"/>
      <c r="G31" t="s">
        <v>691</v>
      </c>
    </row>
    <row r="32" spans="1:7" x14ac:dyDescent="0.25">
      <c r="A32" s="108" t="s">
        <v>235</v>
      </c>
      <c r="B32" s="108"/>
      <c r="C32" s="108"/>
      <c r="D32" s="108"/>
      <c r="E32" s="108"/>
      <c r="F32" s="109"/>
      <c r="G32" t="s">
        <v>691</v>
      </c>
    </row>
    <row r="33" spans="1:7" x14ac:dyDescent="0.25">
      <c r="A33" s="5" t="s">
        <v>223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691</v>
      </c>
    </row>
    <row r="34" spans="1:7" x14ac:dyDescent="0.25">
      <c r="A34" s="5" t="s">
        <v>224</v>
      </c>
      <c r="B34" s="5" t="s">
        <v>214</v>
      </c>
      <c r="C34" s="18">
        <f>(1.5 * POLE_PAIRS * BASE_FLUX * BASE_CURRENT)</f>
        <v>13.784940000000001</v>
      </c>
      <c r="D34" s="5"/>
      <c r="E34" s="5"/>
      <c r="F34" s="5"/>
      <c r="G34" t="s">
        <v>691</v>
      </c>
    </row>
    <row r="35" spans="1:7" x14ac:dyDescent="0.25">
      <c r="A35" s="5" t="s">
        <v>225</v>
      </c>
      <c r="B35" s="5" t="s">
        <v>236</v>
      </c>
      <c r="C35" s="18">
        <f>1.5 * BASE_VOLTAGE * BASE_CURRENT</f>
        <v>3156.4800000000005</v>
      </c>
      <c r="D35" s="5"/>
      <c r="E35" s="5"/>
      <c r="F35" s="5"/>
      <c r="G35" t="s">
        <v>691</v>
      </c>
    </row>
    <row r="36" spans="1:7" x14ac:dyDescent="0.25">
      <c r="A36" s="5" t="s">
        <v>226</v>
      </c>
      <c r="B36" s="5" t="s">
        <v>231</v>
      </c>
      <c r="C36" s="18">
        <f>(BASE_FLUX * 1000 / BASE_CURRENT)</f>
        <v>34.002433090024326</v>
      </c>
      <c r="D36" s="5"/>
      <c r="E36" s="5"/>
      <c r="F36" s="5"/>
      <c r="G36" t="s">
        <v>691</v>
      </c>
    </row>
    <row r="37" spans="1:7" x14ac:dyDescent="0.25">
      <c r="A37" s="5" t="s">
        <v>227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691</v>
      </c>
    </row>
    <row r="38" spans="1:7" x14ac:dyDescent="0.25">
      <c r="A38" s="5" t="s">
        <v>238</v>
      </c>
      <c r="B38" s="5" t="s">
        <v>237</v>
      </c>
      <c r="C38" s="18">
        <f>BASE_VOLTAGE / BASE_FLUX</f>
        <v>915.92128801431113</v>
      </c>
      <c r="D38" s="5"/>
      <c r="E38" s="5"/>
      <c r="F38" s="5"/>
      <c r="G38" t="s">
        <v>691</v>
      </c>
    </row>
    <row r="39" spans="1:7" x14ac:dyDescent="0.25">
      <c r="A39" s="5" t="s">
        <v>239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691</v>
      </c>
    </row>
    <row r="40" spans="1:7" x14ac:dyDescent="0.25">
      <c r="A40" s="5" t="s">
        <v>228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691</v>
      </c>
    </row>
    <row r="41" spans="1:7" x14ac:dyDescent="0.25">
      <c r="A41" s="5"/>
      <c r="B41" s="5"/>
      <c r="C41" s="18"/>
      <c r="D41" s="5"/>
      <c r="E41" s="5"/>
      <c r="F41" s="5"/>
      <c r="G41" t="s">
        <v>691</v>
      </c>
    </row>
    <row r="42" spans="1:7" ht="17.25" x14ac:dyDescent="0.3">
      <c r="A42" s="107" t="s">
        <v>307</v>
      </c>
      <c r="B42" s="107"/>
      <c r="C42" s="107"/>
      <c r="D42" s="107"/>
      <c r="E42" s="107"/>
      <c r="F42" s="107"/>
      <c r="G42" t="s">
        <v>692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692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692</v>
      </c>
    </row>
    <row r="45" spans="1:7" s="101" customFormat="1" x14ac:dyDescent="0.25">
      <c r="A45" s="88" t="s">
        <v>1096</v>
      </c>
      <c r="B45" s="89" t="s">
        <v>19</v>
      </c>
      <c r="C45" s="66">
        <v>50</v>
      </c>
      <c r="D45" s="89"/>
      <c r="E45" s="89"/>
      <c r="F45" s="89"/>
      <c r="G45" s="101" t="s">
        <v>692</v>
      </c>
    </row>
    <row r="46" spans="1:7" x14ac:dyDescent="0.25">
      <c r="A46" s="4" t="s">
        <v>43</v>
      </c>
      <c r="B46" s="5" t="s">
        <v>202</v>
      </c>
      <c r="C46" s="18">
        <v>0</v>
      </c>
      <c r="D46" s="5"/>
      <c r="E46" s="5"/>
      <c r="F46" s="5"/>
      <c r="G46" t="s">
        <v>692</v>
      </c>
    </row>
    <row r="47" spans="1:7" x14ac:dyDescent="0.25">
      <c r="A47" s="4" t="s">
        <v>44</v>
      </c>
      <c r="B47" s="5" t="s">
        <v>199</v>
      </c>
      <c r="C47" s="18">
        <v>0.7</v>
      </c>
      <c r="D47" s="5"/>
      <c r="E47" s="5"/>
      <c r="F47" s="5"/>
      <c r="G47" t="s">
        <v>692</v>
      </c>
    </row>
    <row r="48" spans="1:7" x14ac:dyDescent="0.25">
      <c r="A48" s="4" t="s">
        <v>45</v>
      </c>
      <c r="B48" s="5" t="s">
        <v>200</v>
      </c>
      <c r="C48" s="18">
        <v>80</v>
      </c>
      <c r="D48" s="5"/>
      <c r="E48" s="5"/>
      <c r="F48" s="5"/>
      <c r="G48" t="s">
        <v>692</v>
      </c>
    </row>
    <row r="49" spans="1:8" x14ac:dyDescent="0.25">
      <c r="A49" s="4" t="s">
        <v>46</v>
      </c>
      <c r="B49" s="5" t="s">
        <v>201</v>
      </c>
      <c r="C49" s="18">
        <f>ROTOR_LAMBDAM</f>
        <v>8.4500000000000006E-2</v>
      </c>
      <c r="D49" s="5"/>
      <c r="E49" s="5"/>
      <c r="F49" s="5"/>
      <c r="G49" t="s">
        <v>692</v>
      </c>
    </row>
    <row r="50" spans="1:8" x14ac:dyDescent="0.25">
      <c r="A50" s="4" t="s">
        <v>47</v>
      </c>
      <c r="B50" s="5" t="s">
        <v>204</v>
      </c>
      <c r="C50" s="18">
        <v>60</v>
      </c>
      <c r="D50" s="5"/>
      <c r="E50" s="5"/>
      <c r="F50" s="5"/>
      <c r="G50" t="s">
        <v>692</v>
      </c>
    </row>
    <row r="51" spans="1:8" x14ac:dyDescent="0.25">
      <c r="A51" s="4" t="s">
        <v>48</v>
      </c>
      <c r="B51" s="5" t="s">
        <v>203</v>
      </c>
      <c r="C51" s="18">
        <f>(0.5 * BASE_VOLTAGE * OBSERVER_TS) / BASE_FLUX</f>
        <v>5.7245080500894448E-2</v>
      </c>
      <c r="D51" s="5"/>
      <c r="E51" s="5"/>
      <c r="F51" s="5"/>
      <c r="G51" t="s">
        <v>692</v>
      </c>
    </row>
    <row r="52" spans="1:8" x14ac:dyDescent="0.25">
      <c r="A52" s="4" t="s">
        <v>49</v>
      </c>
      <c r="B52" s="5" t="s">
        <v>200</v>
      </c>
      <c r="C52" s="18">
        <v>0.01</v>
      </c>
      <c r="D52" s="5"/>
      <c r="E52" s="5"/>
      <c r="F52" s="5"/>
      <c r="G52" t="s">
        <v>692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692</v>
      </c>
    </row>
    <row r="54" spans="1:8" x14ac:dyDescent="0.25">
      <c r="A54" s="4" t="s">
        <v>51</v>
      </c>
      <c r="B54" s="5" t="s">
        <v>306</v>
      </c>
      <c r="C54" s="29">
        <f>(  (1/OBSERVER_TS)/BASE_OMEGA  )</f>
        <v>8.7343750000000018</v>
      </c>
      <c r="D54" s="5"/>
      <c r="E54" s="5"/>
      <c r="F54" s="5"/>
      <c r="G54" t="s">
        <v>692</v>
      </c>
      <c r="H54" s="30"/>
    </row>
    <row r="55" spans="1:8" s="101" customFormat="1" x14ac:dyDescent="0.25">
      <c r="A55" s="88" t="s">
        <v>1098</v>
      </c>
      <c r="B55" s="89" t="s">
        <v>69</v>
      </c>
      <c r="C55" s="66">
        <v>0</v>
      </c>
      <c r="D55" s="89"/>
      <c r="E55" s="89"/>
      <c r="F55" s="89"/>
      <c r="G55" s="101" t="s">
        <v>692</v>
      </c>
      <c r="H55" s="30"/>
    </row>
    <row r="56" spans="1:8" x14ac:dyDescent="0.25">
      <c r="A56" s="4" t="s">
        <v>52</v>
      </c>
      <c r="B56" s="5" t="s">
        <v>205</v>
      </c>
      <c r="C56" s="18">
        <v>0.5</v>
      </c>
      <c r="D56" s="5"/>
      <c r="E56" s="5"/>
      <c r="F56" s="5"/>
      <c r="G56" t="s">
        <v>692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692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692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692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692</v>
      </c>
    </row>
    <row r="61" spans="1:8" x14ac:dyDescent="0.25">
      <c r="A61" s="4" t="s">
        <v>241</v>
      </c>
      <c r="B61" s="5" t="s">
        <v>205</v>
      </c>
      <c r="C61" s="69">
        <f>1/8000</f>
        <v>1.25E-4</v>
      </c>
      <c r="D61" s="5"/>
      <c r="E61" s="5"/>
      <c r="F61" s="5"/>
      <c r="G61" t="s">
        <v>692</v>
      </c>
    </row>
    <row r="62" spans="1:8" x14ac:dyDescent="0.25">
      <c r="A62" s="4" t="s">
        <v>242</v>
      </c>
      <c r="B62" s="5" t="s">
        <v>231</v>
      </c>
      <c r="C62" s="66">
        <v>21.17</v>
      </c>
      <c r="D62" s="5"/>
      <c r="E62" s="5"/>
      <c r="F62" s="5"/>
      <c r="G62" t="s">
        <v>692</v>
      </c>
    </row>
    <row r="63" spans="1:8" x14ac:dyDescent="0.25">
      <c r="A63" s="4" t="s">
        <v>243</v>
      </c>
      <c r="B63" s="5" t="s">
        <v>231</v>
      </c>
      <c r="C63" s="66">
        <v>21.17</v>
      </c>
      <c r="D63" s="5"/>
      <c r="E63" s="5"/>
      <c r="F63" s="5"/>
      <c r="G63" t="s">
        <v>692</v>
      </c>
    </row>
    <row r="64" spans="1:8" x14ac:dyDescent="0.25">
      <c r="A64" s="4" t="s">
        <v>244</v>
      </c>
      <c r="B64" s="5" t="s">
        <v>231</v>
      </c>
      <c r="C64" s="66">
        <v>21.17</v>
      </c>
      <c r="D64" s="5"/>
      <c r="E64" s="5"/>
      <c r="F64" s="5"/>
      <c r="G64" t="s">
        <v>692</v>
      </c>
    </row>
    <row r="65" spans="1:7" x14ac:dyDescent="0.25">
      <c r="A65" s="4" t="s">
        <v>245</v>
      </c>
      <c r="B65" s="5" t="s">
        <v>231</v>
      </c>
      <c r="C65" s="66">
        <v>21.17</v>
      </c>
      <c r="D65" s="5"/>
      <c r="E65" s="5"/>
      <c r="F65" s="5"/>
      <c r="G65" t="s">
        <v>692</v>
      </c>
    </row>
    <row r="66" spans="1:7" x14ac:dyDescent="0.25">
      <c r="A66" s="4" t="s">
        <v>246</v>
      </c>
      <c r="B66" s="5" t="s">
        <v>231</v>
      </c>
      <c r="C66" s="66">
        <v>21.17</v>
      </c>
      <c r="D66" s="5"/>
      <c r="E66" s="5"/>
      <c r="F66" s="5"/>
      <c r="G66" t="s">
        <v>692</v>
      </c>
    </row>
    <row r="67" spans="1:7" x14ac:dyDescent="0.25">
      <c r="A67" s="4" t="s">
        <v>247</v>
      </c>
      <c r="B67" s="5" t="s">
        <v>231</v>
      </c>
      <c r="C67" s="66">
        <v>21.17</v>
      </c>
      <c r="D67" s="5"/>
      <c r="E67" s="5"/>
      <c r="F67" s="5"/>
      <c r="G67" t="s">
        <v>692</v>
      </c>
    </row>
    <row r="68" spans="1:7" x14ac:dyDescent="0.25">
      <c r="A68" s="4" t="s">
        <v>248</v>
      </c>
      <c r="B68" s="5" t="s">
        <v>231</v>
      </c>
      <c r="C68" s="66">
        <v>21.17</v>
      </c>
      <c r="D68" s="5"/>
      <c r="E68" s="5"/>
      <c r="F68" s="5"/>
      <c r="G68" t="s">
        <v>692</v>
      </c>
    </row>
    <row r="69" spans="1:7" x14ac:dyDescent="0.25">
      <c r="A69" s="4" t="s">
        <v>249</v>
      </c>
      <c r="B69" s="5" t="s">
        <v>231</v>
      </c>
      <c r="C69" s="66">
        <v>21.17</v>
      </c>
      <c r="D69" s="5"/>
      <c r="E69" s="5"/>
      <c r="F69" s="5"/>
      <c r="G69" t="s">
        <v>692</v>
      </c>
    </row>
    <row r="70" spans="1:7" x14ac:dyDescent="0.25">
      <c r="A70" s="4" t="s">
        <v>250</v>
      </c>
      <c r="B70" s="5" t="s">
        <v>231</v>
      </c>
      <c r="C70" s="66">
        <v>21.17</v>
      </c>
      <c r="D70" s="5"/>
      <c r="E70" s="5"/>
      <c r="F70" s="5"/>
      <c r="G70" t="s">
        <v>692</v>
      </c>
    </row>
    <row r="71" spans="1:7" x14ac:dyDescent="0.25">
      <c r="A71" s="4" t="s">
        <v>251</v>
      </c>
      <c r="B71" s="5" t="s">
        <v>231</v>
      </c>
      <c r="C71" s="66">
        <v>21.17</v>
      </c>
      <c r="D71" s="5"/>
      <c r="E71" s="5"/>
      <c r="F71" s="5"/>
      <c r="G71" t="s">
        <v>692</v>
      </c>
    </row>
    <row r="72" spans="1:7" x14ac:dyDescent="0.25">
      <c r="A72" s="4" t="s">
        <v>252</v>
      </c>
      <c r="B72" s="5" t="s">
        <v>231</v>
      </c>
      <c r="C72" s="66">
        <v>21.17</v>
      </c>
      <c r="D72" s="5"/>
      <c r="E72" s="5"/>
      <c r="F72" s="5"/>
      <c r="G72" t="s">
        <v>692</v>
      </c>
    </row>
    <row r="73" spans="1:7" x14ac:dyDescent="0.25">
      <c r="A73" s="4" t="s">
        <v>253</v>
      </c>
      <c r="B73" s="5" t="s">
        <v>231</v>
      </c>
      <c r="C73" s="66">
        <v>21.17</v>
      </c>
      <c r="D73" s="5"/>
      <c r="E73" s="5"/>
      <c r="F73" s="5"/>
      <c r="G73" t="s">
        <v>692</v>
      </c>
    </row>
    <row r="74" spans="1:7" x14ac:dyDescent="0.25">
      <c r="A74" s="4" t="s">
        <v>254</v>
      </c>
      <c r="B74" s="5" t="s">
        <v>231</v>
      </c>
      <c r="C74" s="66">
        <v>21.17</v>
      </c>
      <c r="D74" s="5"/>
      <c r="E74" s="5"/>
      <c r="F74" s="5"/>
      <c r="G74" t="s">
        <v>692</v>
      </c>
    </row>
    <row r="75" spans="1:7" x14ac:dyDescent="0.25">
      <c r="A75" s="4" t="s">
        <v>255</v>
      </c>
      <c r="B75" s="5" t="s">
        <v>231</v>
      </c>
      <c r="C75" s="66">
        <v>21.17</v>
      </c>
      <c r="D75" s="5"/>
      <c r="E75" s="5"/>
      <c r="F75" s="5"/>
      <c r="G75" t="s">
        <v>692</v>
      </c>
    </row>
    <row r="76" spans="1:7" x14ac:dyDescent="0.25">
      <c r="A76" s="4" t="s">
        <v>256</v>
      </c>
      <c r="B76" s="5" t="s">
        <v>231</v>
      </c>
      <c r="C76" s="66">
        <v>21.17</v>
      </c>
      <c r="D76" s="5"/>
      <c r="E76" s="5"/>
      <c r="F76" s="5"/>
      <c r="G76" t="s">
        <v>692</v>
      </c>
    </row>
    <row r="77" spans="1:7" x14ac:dyDescent="0.25">
      <c r="A77" s="4" t="s">
        <v>257</v>
      </c>
      <c r="B77" s="5" t="s">
        <v>231</v>
      </c>
      <c r="C77" s="66">
        <v>21.17</v>
      </c>
      <c r="D77" s="5"/>
      <c r="E77" s="5"/>
      <c r="F77" s="5"/>
      <c r="G77" t="s">
        <v>692</v>
      </c>
    </row>
    <row r="78" spans="1:7" x14ac:dyDescent="0.25">
      <c r="A78" s="4" t="s">
        <v>258</v>
      </c>
      <c r="B78" s="5" t="s">
        <v>199</v>
      </c>
      <c r="C78" s="18">
        <v>0</v>
      </c>
      <c r="D78" s="5"/>
      <c r="E78" s="5"/>
      <c r="F78" s="5"/>
      <c r="G78" t="s">
        <v>692</v>
      </c>
    </row>
    <row r="79" spans="1:7" x14ac:dyDescent="0.25">
      <c r="A79" s="4" t="s">
        <v>259</v>
      </c>
      <c r="B79" s="5" t="s">
        <v>199</v>
      </c>
      <c r="C79" s="18">
        <v>-1</v>
      </c>
      <c r="D79" s="5"/>
      <c r="E79" s="5"/>
      <c r="F79" s="5"/>
      <c r="G79" t="s">
        <v>692</v>
      </c>
    </row>
    <row r="80" spans="1:7" x14ac:dyDescent="0.25">
      <c r="A80" s="4" t="s">
        <v>260</v>
      </c>
      <c r="B80" s="5" t="s">
        <v>199</v>
      </c>
      <c r="C80" s="18">
        <v>-2</v>
      </c>
      <c r="D80" s="5"/>
      <c r="E80" s="5"/>
      <c r="F80" s="5"/>
      <c r="G80" t="s">
        <v>692</v>
      </c>
    </row>
    <row r="81" spans="1:7" x14ac:dyDescent="0.25">
      <c r="A81" s="4" t="s">
        <v>261</v>
      </c>
      <c r="B81" s="5" t="s">
        <v>199</v>
      </c>
      <c r="C81" s="66">
        <v>-3</v>
      </c>
      <c r="D81" s="5"/>
      <c r="E81" s="5"/>
      <c r="F81" s="5"/>
      <c r="G81" t="s">
        <v>692</v>
      </c>
    </row>
    <row r="82" spans="1:7" x14ac:dyDescent="0.25">
      <c r="A82" s="4" t="s">
        <v>262</v>
      </c>
      <c r="B82" s="5" t="s">
        <v>199</v>
      </c>
      <c r="C82" s="66">
        <v>-4</v>
      </c>
      <c r="D82" s="5"/>
      <c r="E82" s="5"/>
      <c r="F82" s="5"/>
      <c r="G82" t="s">
        <v>692</v>
      </c>
    </row>
    <row r="83" spans="1:7" x14ac:dyDescent="0.25">
      <c r="A83" s="4" t="s">
        <v>263</v>
      </c>
      <c r="B83" s="5" t="s">
        <v>199</v>
      </c>
      <c r="C83" s="66">
        <v>-5</v>
      </c>
      <c r="D83" s="5"/>
      <c r="E83" s="5"/>
      <c r="F83" s="5"/>
      <c r="G83" t="s">
        <v>692</v>
      </c>
    </row>
    <row r="84" spans="1:7" x14ac:dyDescent="0.25">
      <c r="A84" s="4" t="s">
        <v>264</v>
      </c>
      <c r="B84" s="5" t="s">
        <v>199</v>
      </c>
      <c r="C84" s="66">
        <v>-6</v>
      </c>
      <c r="D84" s="5"/>
      <c r="E84" s="5"/>
      <c r="F84" s="5"/>
      <c r="G84" t="s">
        <v>692</v>
      </c>
    </row>
    <row r="85" spans="1:7" x14ac:dyDescent="0.25">
      <c r="A85" s="4" t="s">
        <v>265</v>
      </c>
      <c r="B85" s="5" t="s">
        <v>199</v>
      </c>
      <c r="C85" s="66">
        <v>-7</v>
      </c>
      <c r="D85" s="5"/>
      <c r="E85" s="5"/>
      <c r="F85" s="5"/>
      <c r="G85" t="s">
        <v>692</v>
      </c>
    </row>
    <row r="86" spans="1:7" x14ac:dyDescent="0.25">
      <c r="A86" s="4" t="s">
        <v>266</v>
      </c>
      <c r="B86" s="5" t="s">
        <v>199</v>
      </c>
      <c r="C86" s="66">
        <v>-8</v>
      </c>
      <c r="D86" s="5"/>
      <c r="E86" s="5"/>
      <c r="F86" s="5"/>
      <c r="G86" t="s">
        <v>692</v>
      </c>
    </row>
    <row r="87" spans="1:7" x14ac:dyDescent="0.25">
      <c r="A87" s="4" t="s">
        <v>267</v>
      </c>
      <c r="B87" s="5" t="s">
        <v>199</v>
      </c>
      <c r="C87" s="66">
        <v>-9</v>
      </c>
      <c r="D87" s="5"/>
      <c r="E87" s="5"/>
      <c r="F87" s="5"/>
      <c r="G87" t="s">
        <v>692</v>
      </c>
    </row>
    <row r="88" spans="1:7" x14ac:dyDescent="0.25">
      <c r="A88" s="4" t="s">
        <v>268</v>
      </c>
      <c r="B88" s="5" t="s">
        <v>199</v>
      </c>
      <c r="C88" s="66">
        <v>-10</v>
      </c>
      <c r="D88" s="5"/>
      <c r="E88" s="5"/>
      <c r="F88" s="5"/>
      <c r="G88" t="s">
        <v>692</v>
      </c>
    </row>
    <row r="89" spans="1:7" x14ac:dyDescent="0.25">
      <c r="A89" s="4" t="s">
        <v>269</v>
      </c>
      <c r="B89" s="5" t="s">
        <v>199</v>
      </c>
      <c r="C89" s="66">
        <v>-11</v>
      </c>
      <c r="D89" s="5"/>
      <c r="E89" s="5"/>
      <c r="F89" s="5"/>
      <c r="G89" t="s">
        <v>692</v>
      </c>
    </row>
    <row r="90" spans="1:7" x14ac:dyDescent="0.25">
      <c r="A90" s="4" t="s">
        <v>270</v>
      </c>
      <c r="B90" s="5" t="s">
        <v>199</v>
      </c>
      <c r="C90" s="66">
        <v>-12</v>
      </c>
      <c r="D90" s="5"/>
      <c r="E90" s="5"/>
      <c r="F90" s="5"/>
      <c r="G90" t="s">
        <v>692</v>
      </c>
    </row>
    <row r="91" spans="1:7" x14ac:dyDescent="0.25">
      <c r="A91" s="4" t="s">
        <v>271</v>
      </c>
      <c r="B91" s="5" t="s">
        <v>199</v>
      </c>
      <c r="C91" s="66">
        <v>-13</v>
      </c>
      <c r="D91" s="5"/>
      <c r="E91" s="5"/>
      <c r="F91" s="5"/>
      <c r="G91" t="s">
        <v>692</v>
      </c>
    </row>
    <row r="92" spans="1:7" x14ac:dyDescent="0.25">
      <c r="A92" s="4" t="s">
        <v>272</v>
      </c>
      <c r="B92" s="5" t="s">
        <v>199</v>
      </c>
      <c r="C92" s="66">
        <v>-14</v>
      </c>
      <c r="D92" s="5"/>
      <c r="E92" s="5"/>
      <c r="F92" s="5"/>
      <c r="G92" t="s">
        <v>692</v>
      </c>
    </row>
    <row r="93" spans="1:7" x14ac:dyDescent="0.25">
      <c r="A93" s="4" t="s">
        <v>273</v>
      </c>
      <c r="B93" s="5" t="s">
        <v>199</v>
      </c>
      <c r="C93" s="66">
        <v>-14</v>
      </c>
      <c r="D93" s="5"/>
      <c r="E93" s="5"/>
      <c r="F93" s="5"/>
      <c r="G93" t="s">
        <v>692</v>
      </c>
    </row>
    <row r="94" spans="1:7" x14ac:dyDescent="0.25">
      <c r="A94" s="4" t="s">
        <v>274</v>
      </c>
      <c r="B94" s="5" t="s">
        <v>231</v>
      </c>
      <c r="C94" s="66">
        <v>27.44</v>
      </c>
      <c r="D94" s="5"/>
      <c r="E94" s="5"/>
      <c r="F94" s="5"/>
      <c r="G94" t="s">
        <v>692</v>
      </c>
    </row>
    <row r="95" spans="1:7" x14ac:dyDescent="0.25">
      <c r="A95" s="4" t="s">
        <v>275</v>
      </c>
      <c r="B95" s="5" t="s">
        <v>231</v>
      </c>
      <c r="C95" s="66">
        <v>27.77</v>
      </c>
      <c r="D95" s="5"/>
      <c r="E95" s="5"/>
      <c r="F95" s="5"/>
      <c r="G95" t="s">
        <v>692</v>
      </c>
    </row>
    <row r="96" spans="1:7" x14ac:dyDescent="0.25">
      <c r="A96" s="4" t="s">
        <v>276</v>
      </c>
      <c r="B96" s="5" t="s">
        <v>231</v>
      </c>
      <c r="C96" s="66">
        <v>27.42</v>
      </c>
      <c r="D96" s="5"/>
      <c r="E96" s="5"/>
      <c r="F96" s="5"/>
      <c r="G96" t="s">
        <v>692</v>
      </c>
    </row>
    <row r="97" spans="1:7" x14ac:dyDescent="0.25">
      <c r="A97" s="4" t="s">
        <v>277</v>
      </c>
      <c r="B97" s="5" t="s">
        <v>231</v>
      </c>
      <c r="C97" s="66">
        <v>26.46</v>
      </c>
      <c r="D97" s="5"/>
      <c r="E97" s="5"/>
      <c r="F97" s="5"/>
      <c r="G97" t="s">
        <v>692</v>
      </c>
    </row>
    <row r="98" spans="1:7" x14ac:dyDescent="0.25">
      <c r="A98" s="4" t="s">
        <v>278</v>
      </c>
      <c r="B98" s="5" t="s">
        <v>231</v>
      </c>
      <c r="C98" s="66">
        <v>24.26</v>
      </c>
      <c r="D98" s="5"/>
      <c r="E98" s="5"/>
      <c r="F98" s="5"/>
      <c r="G98" t="s">
        <v>692</v>
      </c>
    </row>
    <row r="99" spans="1:7" x14ac:dyDescent="0.25">
      <c r="A99" s="4" t="s">
        <v>279</v>
      </c>
      <c r="B99" s="5" t="s">
        <v>231</v>
      </c>
      <c r="C99" s="66">
        <v>23.29</v>
      </c>
      <c r="D99" s="5"/>
      <c r="E99" s="5"/>
      <c r="F99" s="5"/>
      <c r="G99" t="s">
        <v>692</v>
      </c>
    </row>
    <row r="100" spans="1:7" x14ac:dyDescent="0.25">
      <c r="A100" s="4" t="s">
        <v>280</v>
      </c>
      <c r="B100" s="5" t="s">
        <v>231</v>
      </c>
      <c r="C100" s="66">
        <v>22.41</v>
      </c>
      <c r="D100" s="5"/>
      <c r="E100" s="5"/>
      <c r="F100" s="5"/>
      <c r="G100" t="s">
        <v>692</v>
      </c>
    </row>
    <row r="101" spans="1:7" x14ac:dyDescent="0.25">
      <c r="A101" s="4" t="s">
        <v>281</v>
      </c>
      <c r="B101" s="5" t="s">
        <v>231</v>
      </c>
      <c r="C101" s="66">
        <v>22.41</v>
      </c>
      <c r="D101" s="5"/>
      <c r="E101" s="5"/>
      <c r="F101" s="5"/>
      <c r="G101" t="s">
        <v>692</v>
      </c>
    </row>
    <row r="102" spans="1:7" x14ac:dyDescent="0.25">
      <c r="A102" s="4" t="s">
        <v>282</v>
      </c>
      <c r="B102" s="5" t="s">
        <v>231</v>
      </c>
      <c r="C102" s="66">
        <v>22.41</v>
      </c>
      <c r="D102" s="5"/>
      <c r="E102" s="5"/>
      <c r="F102" s="5"/>
      <c r="G102" t="s">
        <v>692</v>
      </c>
    </row>
    <row r="103" spans="1:7" x14ac:dyDescent="0.25">
      <c r="A103" s="4" t="s">
        <v>283</v>
      </c>
      <c r="B103" s="5" t="s">
        <v>231</v>
      </c>
      <c r="C103" s="66">
        <v>22.41</v>
      </c>
      <c r="D103" s="5"/>
      <c r="E103" s="5"/>
      <c r="F103" s="5"/>
      <c r="G103" t="s">
        <v>692</v>
      </c>
    </row>
    <row r="104" spans="1:7" x14ac:dyDescent="0.25">
      <c r="A104" s="4" t="s">
        <v>284</v>
      </c>
      <c r="B104" s="5" t="s">
        <v>231</v>
      </c>
      <c r="C104" s="66">
        <v>22.41</v>
      </c>
      <c r="D104" s="5"/>
      <c r="E104" s="5"/>
      <c r="F104" s="5"/>
      <c r="G104" t="s">
        <v>692</v>
      </c>
    </row>
    <row r="105" spans="1:7" x14ac:dyDescent="0.25">
      <c r="A105" s="4" t="s">
        <v>285</v>
      </c>
      <c r="B105" s="5" t="s">
        <v>231</v>
      </c>
      <c r="C105" s="66">
        <v>22.41</v>
      </c>
      <c r="D105" s="5"/>
      <c r="E105" s="5"/>
      <c r="F105" s="5"/>
      <c r="G105" t="s">
        <v>692</v>
      </c>
    </row>
    <row r="106" spans="1:7" x14ac:dyDescent="0.25">
      <c r="A106" s="4" t="s">
        <v>286</v>
      </c>
      <c r="B106" s="5" t="s">
        <v>231</v>
      </c>
      <c r="C106" s="66">
        <v>22.41</v>
      </c>
      <c r="D106" s="5"/>
      <c r="E106" s="5"/>
      <c r="F106" s="5"/>
      <c r="G106" t="s">
        <v>692</v>
      </c>
    </row>
    <row r="107" spans="1:7" x14ac:dyDescent="0.25">
      <c r="A107" s="4" t="s">
        <v>287</v>
      </c>
      <c r="B107" s="5" t="s">
        <v>231</v>
      </c>
      <c r="C107" s="66">
        <v>22.41</v>
      </c>
      <c r="D107" s="5"/>
      <c r="E107" s="5"/>
      <c r="F107" s="5"/>
      <c r="G107" t="s">
        <v>692</v>
      </c>
    </row>
    <row r="108" spans="1:7" x14ac:dyDescent="0.25">
      <c r="A108" s="4" t="s">
        <v>288</v>
      </c>
      <c r="B108" s="5" t="s">
        <v>231</v>
      </c>
      <c r="C108" s="66">
        <v>22.41</v>
      </c>
      <c r="D108" s="5"/>
      <c r="E108" s="5"/>
      <c r="F108" s="5"/>
      <c r="G108" t="s">
        <v>692</v>
      </c>
    </row>
    <row r="109" spans="1:7" x14ac:dyDescent="0.25">
      <c r="A109" s="4" t="s">
        <v>289</v>
      </c>
      <c r="B109" s="5" t="s">
        <v>231</v>
      </c>
      <c r="C109" s="66">
        <v>22.41</v>
      </c>
      <c r="D109" s="5"/>
      <c r="E109" s="5"/>
      <c r="F109" s="5"/>
      <c r="G109" t="s">
        <v>692</v>
      </c>
    </row>
    <row r="110" spans="1:7" x14ac:dyDescent="0.25">
      <c r="A110" s="4" t="s">
        <v>290</v>
      </c>
      <c r="B110" s="5" t="s">
        <v>199</v>
      </c>
      <c r="C110" s="66">
        <v>0</v>
      </c>
      <c r="D110" s="5"/>
      <c r="E110" s="5"/>
      <c r="F110" s="5"/>
      <c r="G110" t="s">
        <v>692</v>
      </c>
    </row>
    <row r="111" spans="1:7" x14ac:dyDescent="0.25">
      <c r="A111" s="4" t="s">
        <v>291</v>
      </c>
      <c r="B111" s="5" t="s">
        <v>199</v>
      </c>
      <c r="C111" s="66">
        <v>1</v>
      </c>
      <c r="D111" s="5"/>
      <c r="E111" s="5"/>
      <c r="F111" s="5"/>
      <c r="G111" t="s">
        <v>692</v>
      </c>
    </row>
    <row r="112" spans="1:7" x14ac:dyDescent="0.25">
      <c r="A112" s="4" t="s">
        <v>292</v>
      </c>
      <c r="B112" s="5" t="s">
        <v>199</v>
      </c>
      <c r="C112" s="66">
        <v>2</v>
      </c>
      <c r="D112" s="5"/>
      <c r="E112" s="5"/>
      <c r="F112" s="5"/>
      <c r="G112" t="s">
        <v>692</v>
      </c>
    </row>
    <row r="113" spans="1:7" x14ac:dyDescent="0.25">
      <c r="A113" s="4" t="s">
        <v>293</v>
      </c>
      <c r="B113" s="5" t="s">
        <v>199</v>
      </c>
      <c r="C113" s="66">
        <v>3</v>
      </c>
      <c r="D113" s="5"/>
      <c r="E113" s="5"/>
      <c r="F113" s="5"/>
      <c r="G113" t="s">
        <v>692</v>
      </c>
    </row>
    <row r="114" spans="1:7" x14ac:dyDescent="0.25">
      <c r="A114" s="4" t="s">
        <v>294</v>
      </c>
      <c r="B114" s="5" t="s">
        <v>199</v>
      </c>
      <c r="C114" s="66">
        <v>4</v>
      </c>
      <c r="D114" s="5"/>
      <c r="E114" s="5"/>
      <c r="F114" s="5"/>
      <c r="G114" t="s">
        <v>692</v>
      </c>
    </row>
    <row r="115" spans="1:7" x14ac:dyDescent="0.25">
      <c r="A115" s="4" t="s">
        <v>295</v>
      </c>
      <c r="B115" s="5" t="s">
        <v>199</v>
      </c>
      <c r="C115" s="66">
        <v>5</v>
      </c>
      <c r="D115" s="5"/>
      <c r="E115" s="5"/>
      <c r="F115" s="5"/>
      <c r="G115" t="s">
        <v>692</v>
      </c>
    </row>
    <row r="116" spans="1:7" x14ac:dyDescent="0.25">
      <c r="A116" s="4" t="s">
        <v>296</v>
      </c>
      <c r="B116" s="5" t="s">
        <v>199</v>
      </c>
      <c r="C116" s="66">
        <v>6</v>
      </c>
      <c r="D116" s="5"/>
      <c r="E116" s="5"/>
      <c r="F116" s="5"/>
      <c r="G116" t="s">
        <v>692</v>
      </c>
    </row>
    <row r="117" spans="1:7" x14ac:dyDescent="0.25">
      <c r="A117" s="4" t="s">
        <v>297</v>
      </c>
      <c r="B117" s="5" t="s">
        <v>199</v>
      </c>
      <c r="C117" s="66">
        <v>7</v>
      </c>
      <c r="D117" s="5"/>
      <c r="E117" s="5"/>
      <c r="F117" s="5"/>
      <c r="G117" t="s">
        <v>692</v>
      </c>
    </row>
    <row r="118" spans="1:7" x14ac:dyDescent="0.25">
      <c r="A118" s="4" t="s">
        <v>298</v>
      </c>
      <c r="B118" s="5" t="s">
        <v>199</v>
      </c>
      <c r="C118" s="66">
        <v>8</v>
      </c>
      <c r="D118" s="5"/>
      <c r="E118" s="5"/>
      <c r="F118" s="5"/>
      <c r="G118" t="s">
        <v>692</v>
      </c>
    </row>
    <row r="119" spans="1:7" x14ac:dyDescent="0.25">
      <c r="A119" s="4" t="s">
        <v>299</v>
      </c>
      <c r="B119" s="5" t="s">
        <v>199</v>
      </c>
      <c r="C119" s="66">
        <v>9</v>
      </c>
      <c r="D119" s="5"/>
      <c r="E119" s="5"/>
      <c r="F119" s="5"/>
      <c r="G119" t="s">
        <v>692</v>
      </c>
    </row>
    <row r="120" spans="1:7" x14ac:dyDescent="0.25">
      <c r="A120" s="4" t="s">
        <v>300</v>
      </c>
      <c r="B120" s="5" t="s">
        <v>199</v>
      </c>
      <c r="C120" s="66">
        <v>10</v>
      </c>
      <c r="D120" s="5"/>
      <c r="E120" s="5"/>
      <c r="F120" s="5"/>
      <c r="G120" t="s">
        <v>692</v>
      </c>
    </row>
    <row r="121" spans="1:7" x14ac:dyDescent="0.25">
      <c r="A121" s="4" t="s">
        <v>301</v>
      </c>
      <c r="B121" s="5" t="s">
        <v>199</v>
      </c>
      <c r="C121" s="66">
        <v>11</v>
      </c>
      <c r="D121" s="5"/>
      <c r="E121" s="5"/>
      <c r="F121" s="5"/>
      <c r="G121" t="s">
        <v>692</v>
      </c>
    </row>
    <row r="122" spans="1:7" x14ac:dyDescent="0.25">
      <c r="A122" s="4" t="s">
        <v>302</v>
      </c>
      <c r="B122" s="5" t="s">
        <v>199</v>
      </c>
      <c r="C122" s="66">
        <v>12</v>
      </c>
      <c r="D122" s="5"/>
      <c r="E122" s="5"/>
      <c r="F122" s="5"/>
      <c r="G122" t="s">
        <v>692</v>
      </c>
    </row>
    <row r="123" spans="1:7" x14ac:dyDescent="0.25">
      <c r="A123" s="4" t="s">
        <v>303</v>
      </c>
      <c r="B123" s="5" t="s">
        <v>199</v>
      </c>
      <c r="C123" s="66">
        <v>13</v>
      </c>
      <c r="D123" s="5"/>
      <c r="E123" s="5"/>
      <c r="F123" s="5"/>
      <c r="G123" t="s">
        <v>692</v>
      </c>
    </row>
    <row r="124" spans="1:7" x14ac:dyDescent="0.25">
      <c r="A124" s="4" t="s">
        <v>304</v>
      </c>
      <c r="B124" s="5" t="s">
        <v>199</v>
      </c>
      <c r="C124" s="66">
        <v>14</v>
      </c>
      <c r="D124" s="5"/>
      <c r="E124" s="5"/>
      <c r="F124" s="5"/>
      <c r="G124" t="s">
        <v>692</v>
      </c>
    </row>
    <row r="125" spans="1:7" x14ac:dyDescent="0.25">
      <c r="A125" s="4" t="s">
        <v>305</v>
      </c>
      <c r="B125" s="5" t="s">
        <v>199</v>
      </c>
      <c r="C125" s="66">
        <v>14</v>
      </c>
      <c r="D125" s="5"/>
      <c r="E125" s="5"/>
      <c r="F125" s="5"/>
      <c r="G125" t="s">
        <v>692</v>
      </c>
    </row>
    <row r="126" spans="1:7" x14ac:dyDescent="0.25">
      <c r="A126" s="4" t="s">
        <v>310</v>
      </c>
      <c r="B126" s="5" t="s">
        <v>231</v>
      </c>
      <c r="C126" s="18">
        <v>0</v>
      </c>
      <c r="D126" s="5"/>
      <c r="E126" s="5"/>
      <c r="F126" s="5"/>
      <c r="G126" t="s">
        <v>692</v>
      </c>
    </row>
    <row r="127" spans="1:7" x14ac:dyDescent="0.25">
      <c r="A127" s="4" t="s">
        <v>311</v>
      </c>
      <c r="B127" s="5" t="s">
        <v>231</v>
      </c>
      <c r="C127" s="18">
        <v>0</v>
      </c>
      <c r="D127" s="5"/>
      <c r="E127" s="5"/>
      <c r="F127" s="5"/>
      <c r="G127" t="s">
        <v>692</v>
      </c>
    </row>
    <row r="128" spans="1:7" x14ac:dyDescent="0.25">
      <c r="A128" s="4" t="s">
        <v>312</v>
      </c>
      <c r="B128" s="5" t="s">
        <v>231</v>
      </c>
      <c r="C128" s="18">
        <v>0</v>
      </c>
      <c r="D128" s="5"/>
      <c r="E128" s="5"/>
      <c r="F128" s="5"/>
      <c r="G128" t="s">
        <v>692</v>
      </c>
    </row>
    <row r="129" spans="1:7" x14ac:dyDescent="0.25">
      <c r="A129" s="4" t="s">
        <v>313</v>
      </c>
      <c r="B129" s="5" t="s">
        <v>231</v>
      </c>
      <c r="C129" s="18">
        <v>0</v>
      </c>
      <c r="D129" s="5"/>
      <c r="E129" s="5"/>
      <c r="F129" s="5"/>
      <c r="G129" t="s">
        <v>692</v>
      </c>
    </row>
    <row r="130" spans="1:7" x14ac:dyDescent="0.25">
      <c r="A130" s="4" t="s">
        <v>314</v>
      </c>
      <c r="B130" s="5" t="s">
        <v>231</v>
      </c>
      <c r="C130" s="18">
        <v>0</v>
      </c>
      <c r="D130" s="5"/>
      <c r="E130" s="5"/>
      <c r="F130" s="5"/>
      <c r="G130" t="s">
        <v>692</v>
      </c>
    </row>
    <row r="131" spans="1:7" x14ac:dyDescent="0.25">
      <c r="A131" s="4" t="s">
        <v>315</v>
      </c>
      <c r="B131" s="5" t="s">
        <v>231</v>
      </c>
      <c r="C131" s="18">
        <v>0</v>
      </c>
      <c r="D131" s="5"/>
      <c r="E131" s="5"/>
      <c r="F131" s="5"/>
      <c r="G131" t="s">
        <v>692</v>
      </c>
    </row>
    <row r="132" spans="1:7" x14ac:dyDescent="0.25">
      <c r="A132" s="4" t="s">
        <v>316</v>
      </c>
      <c r="B132" s="5" t="s">
        <v>231</v>
      </c>
      <c r="C132" s="18">
        <v>0</v>
      </c>
      <c r="D132" s="5"/>
      <c r="E132" s="5"/>
      <c r="F132" s="5"/>
      <c r="G132" t="s">
        <v>692</v>
      </c>
    </row>
    <row r="133" spans="1:7" x14ac:dyDescent="0.25">
      <c r="A133" s="4" t="s">
        <v>317</v>
      </c>
      <c r="B133" s="5" t="s">
        <v>231</v>
      </c>
      <c r="C133" s="18">
        <v>0</v>
      </c>
      <c r="D133" s="5"/>
      <c r="E133" s="5"/>
      <c r="F133" s="5"/>
      <c r="G133" t="s">
        <v>692</v>
      </c>
    </row>
    <row r="134" spans="1:7" x14ac:dyDescent="0.25">
      <c r="A134" s="4" t="s">
        <v>318</v>
      </c>
      <c r="B134" s="5" t="s">
        <v>199</v>
      </c>
      <c r="C134" s="18">
        <v>0</v>
      </c>
      <c r="D134" s="5"/>
      <c r="E134" s="5"/>
      <c r="F134" s="5"/>
      <c r="G134" t="s">
        <v>692</v>
      </c>
    </row>
    <row r="135" spans="1:7" x14ac:dyDescent="0.25">
      <c r="A135" s="4" t="s">
        <v>319</v>
      </c>
      <c r="B135" s="5" t="s">
        <v>199</v>
      </c>
      <c r="C135" s="18">
        <v>0</v>
      </c>
      <c r="D135" s="5"/>
      <c r="E135" s="5"/>
      <c r="F135" s="5"/>
      <c r="G135" t="s">
        <v>692</v>
      </c>
    </row>
    <row r="136" spans="1:7" x14ac:dyDescent="0.25">
      <c r="A136" s="4" t="s">
        <v>320</v>
      </c>
      <c r="B136" s="5" t="s">
        <v>199</v>
      </c>
      <c r="C136" s="18">
        <v>0</v>
      </c>
      <c r="D136" s="5"/>
      <c r="E136" s="5"/>
      <c r="F136" s="5"/>
      <c r="G136" t="s">
        <v>692</v>
      </c>
    </row>
    <row r="137" spans="1:7" x14ac:dyDescent="0.25">
      <c r="A137" s="4" t="s">
        <v>321</v>
      </c>
      <c r="B137" s="5" t="s">
        <v>199</v>
      </c>
      <c r="C137" s="18">
        <v>0</v>
      </c>
      <c r="D137" s="5"/>
      <c r="E137" s="5"/>
      <c r="F137" s="5"/>
      <c r="G137" t="s">
        <v>692</v>
      </c>
    </row>
    <row r="138" spans="1:7" x14ac:dyDescent="0.25">
      <c r="A138" s="4" t="s">
        <v>322</v>
      </c>
      <c r="B138" s="5" t="s">
        <v>199</v>
      </c>
      <c r="C138" s="18">
        <v>0</v>
      </c>
      <c r="D138" s="5"/>
      <c r="E138" s="5"/>
      <c r="F138" s="5"/>
      <c r="G138" t="s">
        <v>692</v>
      </c>
    </row>
    <row r="139" spans="1:7" x14ac:dyDescent="0.25">
      <c r="A139" s="4" t="s">
        <v>323</v>
      </c>
      <c r="B139" s="5" t="s">
        <v>199</v>
      </c>
      <c r="C139" s="18">
        <v>0</v>
      </c>
      <c r="D139" s="5"/>
      <c r="E139" s="5"/>
      <c r="F139" s="5"/>
      <c r="G139" t="s">
        <v>692</v>
      </c>
    </row>
    <row r="140" spans="1:7" x14ac:dyDescent="0.25">
      <c r="A140" s="4" t="s">
        <v>324</v>
      </c>
      <c r="B140" s="5" t="s">
        <v>199</v>
      </c>
      <c r="C140" s="18">
        <v>0</v>
      </c>
      <c r="D140" s="5"/>
      <c r="E140" s="5"/>
      <c r="F140" s="5"/>
      <c r="G140" t="s">
        <v>692</v>
      </c>
    </row>
    <row r="141" spans="1:7" x14ac:dyDescent="0.25">
      <c r="A141" s="4" t="s">
        <v>325</v>
      </c>
      <c r="B141" s="5" t="s">
        <v>199</v>
      </c>
      <c r="C141" s="18">
        <v>0</v>
      </c>
      <c r="D141" s="5"/>
      <c r="E141" s="5"/>
      <c r="F141" s="5"/>
      <c r="G141" t="s">
        <v>692</v>
      </c>
    </row>
    <row r="142" spans="1:7" x14ac:dyDescent="0.25">
      <c r="A142" s="4"/>
      <c r="B142" s="5"/>
      <c r="C142" s="18"/>
      <c r="D142" s="5"/>
      <c r="E142" s="5"/>
      <c r="F142" s="5"/>
      <c r="G142" t="s">
        <v>692</v>
      </c>
    </row>
    <row r="143" spans="1:7" ht="17.25" x14ac:dyDescent="0.3">
      <c r="A143" s="107" t="s">
        <v>308</v>
      </c>
      <c r="B143" s="107"/>
      <c r="C143" s="107"/>
      <c r="D143" s="107"/>
      <c r="E143" s="107"/>
      <c r="F143" s="107"/>
      <c r="G143" t="s">
        <v>693</v>
      </c>
    </row>
    <row r="144" spans="1:7" x14ac:dyDescent="0.25">
      <c r="A144" s="3" t="s">
        <v>0</v>
      </c>
      <c r="B144" s="3" t="s">
        <v>1</v>
      </c>
      <c r="C144" s="3" t="s">
        <v>2</v>
      </c>
      <c r="D144" s="3" t="s">
        <v>4</v>
      </c>
      <c r="E144" s="3" t="s">
        <v>3</v>
      </c>
      <c r="F144" s="3" t="s">
        <v>21</v>
      </c>
      <c r="G144" t="s">
        <v>693</v>
      </c>
    </row>
    <row r="145" spans="1:7" x14ac:dyDescent="0.25">
      <c r="A145" s="4" t="s">
        <v>422</v>
      </c>
      <c r="B145" s="5"/>
      <c r="C145" s="6">
        <v>0</v>
      </c>
      <c r="D145" s="5"/>
      <c r="E145" s="5"/>
      <c r="F145" s="5"/>
      <c r="G145" t="s">
        <v>693</v>
      </c>
    </row>
    <row r="146" spans="1:7" x14ac:dyDescent="0.25">
      <c r="A146" s="4" t="s">
        <v>328</v>
      </c>
      <c r="B146" s="5" t="s">
        <v>69</v>
      </c>
      <c r="C146" s="8">
        <v>-0.26</v>
      </c>
      <c r="D146" s="5"/>
      <c r="E146" s="5"/>
      <c r="F146" s="5"/>
      <c r="G146" t="s">
        <v>693</v>
      </c>
    </row>
    <row r="147" spans="1:7" x14ac:dyDescent="0.25">
      <c r="A147" s="4" t="s">
        <v>329</v>
      </c>
      <c r="B147" s="5"/>
      <c r="C147" s="8">
        <v>0.5</v>
      </c>
      <c r="D147" s="5"/>
      <c r="E147" s="5"/>
      <c r="F147" s="5"/>
      <c r="G147" t="s">
        <v>693</v>
      </c>
    </row>
    <row r="148" spans="1:7" x14ac:dyDescent="0.25">
      <c r="A148" s="4" t="s">
        <v>330</v>
      </c>
      <c r="B148" s="5"/>
      <c r="C148" s="8">
        <v>67000</v>
      </c>
      <c r="D148" s="5"/>
      <c r="E148" s="5"/>
      <c r="F148" s="5"/>
      <c r="G148" t="s">
        <v>693</v>
      </c>
    </row>
    <row r="149" spans="1:7" x14ac:dyDescent="0.25">
      <c r="A149" s="4" t="s">
        <v>331</v>
      </c>
      <c r="B149" s="5" t="s">
        <v>205</v>
      </c>
      <c r="C149" s="8">
        <v>1</v>
      </c>
      <c r="D149" s="5"/>
      <c r="E149" s="5"/>
      <c r="F149" s="5"/>
      <c r="G149" t="s">
        <v>693</v>
      </c>
    </row>
    <row r="150" spans="1:7" x14ac:dyDescent="0.25">
      <c r="A150" s="4" t="s">
        <v>332</v>
      </c>
      <c r="B150" s="5" t="s">
        <v>214</v>
      </c>
      <c r="C150" s="8">
        <v>1.7</v>
      </c>
      <c r="D150" s="5"/>
      <c r="E150" s="5"/>
      <c r="F150" s="5"/>
      <c r="G150" t="s">
        <v>693</v>
      </c>
    </row>
    <row r="151" spans="1:7" x14ac:dyDescent="0.25">
      <c r="A151" s="4" t="s">
        <v>333</v>
      </c>
      <c r="B151" s="5" t="s">
        <v>205</v>
      </c>
      <c r="C151" s="8">
        <v>1</v>
      </c>
      <c r="D151" s="5"/>
      <c r="E151" s="5"/>
      <c r="F151" s="5"/>
      <c r="G151" t="s">
        <v>693</v>
      </c>
    </row>
    <row r="152" spans="1:7" x14ac:dyDescent="0.25">
      <c r="A152" s="4" t="s">
        <v>334</v>
      </c>
      <c r="B152" s="5" t="s">
        <v>327</v>
      </c>
      <c r="C152" s="34">
        <v>8.0000000000000002E-3</v>
      </c>
      <c r="D152" s="5"/>
      <c r="E152" s="5"/>
      <c r="F152" s="5"/>
      <c r="G152" t="s">
        <v>693</v>
      </c>
    </row>
    <row r="153" spans="1:7" x14ac:dyDescent="0.25">
      <c r="A153" s="4" t="s">
        <v>335</v>
      </c>
      <c r="B153" s="5" t="s">
        <v>326</v>
      </c>
      <c r="C153" s="34">
        <v>1.4E-2</v>
      </c>
      <c r="D153" s="5"/>
      <c r="E153" s="5"/>
      <c r="F153" s="5"/>
      <c r="G153" t="s">
        <v>693</v>
      </c>
    </row>
    <row r="154" spans="1:7" x14ac:dyDescent="0.25">
      <c r="A154" s="4" t="s">
        <v>336</v>
      </c>
      <c r="B154" s="5" t="s">
        <v>200</v>
      </c>
      <c r="C154" s="8">
        <v>702</v>
      </c>
      <c r="D154" s="5"/>
      <c r="E154" s="5"/>
      <c r="F154" s="5"/>
      <c r="G154" t="s">
        <v>693</v>
      </c>
    </row>
    <row r="155" spans="1:7" x14ac:dyDescent="0.25">
      <c r="A155" s="4" t="s">
        <v>337</v>
      </c>
      <c r="B155" s="5" t="s">
        <v>205</v>
      </c>
      <c r="C155" s="8">
        <v>2</v>
      </c>
      <c r="D155" s="5"/>
      <c r="E155" s="5"/>
      <c r="F155" s="5"/>
      <c r="G155" t="s">
        <v>693</v>
      </c>
    </row>
    <row r="156" spans="1:7" x14ac:dyDescent="0.25">
      <c r="A156" s="4" t="s">
        <v>338</v>
      </c>
      <c r="B156" s="5" t="s">
        <v>327</v>
      </c>
      <c r="C156" s="8">
        <v>1.2999999999999999E-3</v>
      </c>
      <c r="D156" s="5"/>
      <c r="E156" s="5"/>
      <c r="F156" s="5"/>
      <c r="G156" t="s">
        <v>693</v>
      </c>
    </row>
    <row r="157" spans="1:7" x14ac:dyDescent="0.25">
      <c r="A157" s="4" t="s">
        <v>339</v>
      </c>
      <c r="B157" s="5" t="s">
        <v>326</v>
      </c>
      <c r="C157" s="8">
        <v>5.8999999999999999E-3</v>
      </c>
      <c r="D157" s="5"/>
      <c r="E157" s="5"/>
      <c r="F157" s="5"/>
      <c r="G157" t="s">
        <v>693</v>
      </c>
    </row>
    <row r="158" spans="1:7" x14ac:dyDescent="0.25">
      <c r="A158" s="4" t="s">
        <v>340</v>
      </c>
      <c r="B158" s="5" t="s">
        <v>200</v>
      </c>
      <c r="C158" s="8">
        <v>19000</v>
      </c>
      <c r="D158" s="5"/>
      <c r="E158" s="5"/>
      <c r="F158" s="5"/>
      <c r="G158" t="s">
        <v>693</v>
      </c>
    </row>
    <row r="159" spans="1:7" x14ac:dyDescent="0.25">
      <c r="A159" s="4" t="s">
        <v>341</v>
      </c>
      <c r="B159" s="5" t="s">
        <v>205</v>
      </c>
      <c r="C159" s="8">
        <v>2</v>
      </c>
      <c r="D159" s="5"/>
      <c r="E159" s="5"/>
      <c r="F159" s="5"/>
      <c r="G159" t="s">
        <v>693</v>
      </c>
    </row>
    <row r="160" spans="1:7" x14ac:dyDescent="0.25">
      <c r="A160" s="4" t="s">
        <v>342</v>
      </c>
      <c r="B160" s="5" t="s">
        <v>327</v>
      </c>
      <c r="C160" s="104">
        <v>5.0000000000000001E-4</v>
      </c>
      <c r="D160" s="5"/>
      <c r="E160" s="5"/>
      <c r="F160" s="5"/>
      <c r="G160" t="s">
        <v>693</v>
      </c>
    </row>
    <row r="161" spans="1:7" x14ac:dyDescent="0.25">
      <c r="A161" s="4" t="s">
        <v>343</v>
      </c>
      <c r="B161" s="5" t="s">
        <v>326</v>
      </c>
      <c r="C161" s="104">
        <v>1.9E-3</v>
      </c>
      <c r="D161" s="5"/>
      <c r="E161" s="5"/>
      <c r="F161" s="5"/>
      <c r="G161" t="s">
        <v>693</v>
      </c>
    </row>
    <row r="162" spans="1:7" x14ac:dyDescent="0.25">
      <c r="A162" s="4" t="s">
        <v>344</v>
      </c>
      <c r="B162" s="5" t="s">
        <v>200</v>
      </c>
      <c r="C162" s="8">
        <v>19500</v>
      </c>
      <c r="D162" s="5"/>
      <c r="E162" s="5"/>
      <c r="F162" s="5"/>
      <c r="G162" t="s">
        <v>693</v>
      </c>
    </row>
    <row r="163" spans="1:7" x14ac:dyDescent="0.25">
      <c r="A163" s="4" t="s">
        <v>345</v>
      </c>
      <c r="B163" s="5" t="s">
        <v>205</v>
      </c>
      <c r="C163" s="8">
        <v>2</v>
      </c>
      <c r="D163" s="5"/>
      <c r="E163" s="5"/>
      <c r="F163" s="5"/>
      <c r="G163" t="s">
        <v>693</v>
      </c>
    </row>
    <row r="164" spans="1:7" x14ac:dyDescent="0.25">
      <c r="A164" s="4" t="s">
        <v>346</v>
      </c>
      <c r="B164" s="5" t="s">
        <v>327</v>
      </c>
      <c r="C164" s="8">
        <v>0</v>
      </c>
      <c r="D164" s="5"/>
      <c r="E164" s="5"/>
      <c r="F164" s="5"/>
      <c r="G164" t="s">
        <v>693</v>
      </c>
    </row>
    <row r="165" spans="1:7" x14ac:dyDescent="0.25">
      <c r="A165" s="4" t="s">
        <v>347</v>
      </c>
      <c r="B165" s="5" t="s">
        <v>326</v>
      </c>
      <c r="C165" s="8">
        <v>0</v>
      </c>
      <c r="D165" s="5"/>
      <c r="E165" s="5"/>
      <c r="F165" s="5"/>
      <c r="G165" t="s">
        <v>693</v>
      </c>
    </row>
    <row r="166" spans="1:7" x14ac:dyDescent="0.25">
      <c r="A166" s="4" t="s">
        <v>348</v>
      </c>
      <c r="B166" s="5" t="s">
        <v>200</v>
      </c>
      <c r="C166" s="8">
        <v>0</v>
      </c>
      <c r="D166" s="5"/>
      <c r="E166" s="5"/>
      <c r="F166" s="5"/>
      <c r="G166" t="s">
        <v>693</v>
      </c>
    </row>
    <row r="167" spans="1:7" x14ac:dyDescent="0.25">
      <c r="A167" s="4" t="s">
        <v>349</v>
      </c>
      <c r="B167" s="5" t="s">
        <v>205</v>
      </c>
      <c r="C167" s="8">
        <v>2</v>
      </c>
      <c r="D167" s="5"/>
      <c r="E167" s="5"/>
      <c r="F167" s="5"/>
      <c r="G167" t="s">
        <v>693</v>
      </c>
    </row>
    <row r="168" spans="1:7" x14ac:dyDescent="0.25">
      <c r="A168" s="4" t="s">
        <v>350</v>
      </c>
      <c r="B168" s="5" t="s">
        <v>327</v>
      </c>
      <c r="C168" s="8">
        <v>0</v>
      </c>
      <c r="D168" s="5"/>
      <c r="E168" s="5"/>
      <c r="F168" s="5"/>
      <c r="G168" t="s">
        <v>693</v>
      </c>
    </row>
    <row r="169" spans="1:7" x14ac:dyDescent="0.25">
      <c r="A169" s="4" t="s">
        <v>351</v>
      </c>
      <c r="B169" s="5" t="s">
        <v>326</v>
      </c>
      <c r="C169" s="8">
        <v>0</v>
      </c>
      <c r="D169" s="5"/>
      <c r="E169" s="5"/>
      <c r="F169" s="5"/>
      <c r="G169" t="s">
        <v>693</v>
      </c>
    </row>
    <row r="170" spans="1:7" x14ac:dyDescent="0.25">
      <c r="A170" s="4" t="s">
        <v>352</v>
      </c>
      <c r="B170" s="5" t="s">
        <v>200</v>
      </c>
      <c r="C170" s="8">
        <v>0</v>
      </c>
      <c r="D170" s="5"/>
      <c r="E170" s="5"/>
      <c r="F170" s="5"/>
      <c r="G170" t="s">
        <v>693</v>
      </c>
    </row>
    <row r="171" spans="1:7" x14ac:dyDescent="0.25">
      <c r="A171" s="4" t="s">
        <v>353</v>
      </c>
      <c r="B171" s="5" t="s">
        <v>205</v>
      </c>
      <c r="C171" s="8">
        <v>2</v>
      </c>
      <c r="D171" s="5"/>
      <c r="E171" s="5"/>
      <c r="F171" s="5"/>
      <c r="G171" t="s">
        <v>693</v>
      </c>
    </row>
    <row r="172" spans="1:7" x14ac:dyDescent="0.25">
      <c r="A172" s="4" t="s">
        <v>354</v>
      </c>
      <c r="B172" s="5" t="s">
        <v>199</v>
      </c>
      <c r="C172" s="8">
        <v>1</v>
      </c>
      <c r="D172" s="5"/>
      <c r="E172" s="5"/>
      <c r="F172" s="5"/>
      <c r="G172" t="s">
        <v>693</v>
      </c>
    </row>
    <row r="173" spans="1:7" x14ac:dyDescent="0.25">
      <c r="A173" s="4"/>
      <c r="B173" s="5"/>
      <c r="C173" s="18"/>
      <c r="D173" s="5"/>
      <c r="E173" s="5"/>
      <c r="F173" s="5"/>
      <c r="G173" t="s">
        <v>693</v>
      </c>
    </row>
    <row r="174" spans="1:7" ht="17.25" x14ac:dyDescent="0.3">
      <c r="A174" s="107" t="s">
        <v>382</v>
      </c>
      <c r="B174" s="107"/>
      <c r="C174" s="107"/>
      <c r="D174" s="107"/>
      <c r="E174" s="107"/>
      <c r="F174" s="107"/>
      <c r="G174" t="s">
        <v>694</v>
      </c>
    </row>
    <row r="175" spans="1:7" x14ac:dyDescent="0.25">
      <c r="A175" s="3" t="s">
        <v>0</v>
      </c>
      <c r="B175" s="3" t="s">
        <v>1</v>
      </c>
      <c r="C175" s="3" t="s">
        <v>2</v>
      </c>
      <c r="D175" s="3" t="s">
        <v>4</v>
      </c>
      <c r="E175" s="3" t="s">
        <v>3</v>
      </c>
      <c r="F175" s="3" t="s">
        <v>21</v>
      </c>
      <c r="G175" t="s">
        <v>694</v>
      </c>
    </row>
    <row r="176" spans="1:7" x14ac:dyDescent="0.25">
      <c r="A176" s="4" t="s">
        <v>358</v>
      </c>
      <c r="B176" s="5" t="s">
        <v>205</v>
      </c>
      <c r="C176" s="8">
        <v>1</v>
      </c>
      <c r="D176" s="5"/>
      <c r="E176" s="5"/>
      <c r="F176" s="5"/>
      <c r="G176" t="s">
        <v>694</v>
      </c>
    </row>
    <row r="177" spans="1:7" x14ac:dyDescent="0.25">
      <c r="A177" s="4" t="s">
        <v>361</v>
      </c>
      <c r="B177" s="5" t="s">
        <v>19</v>
      </c>
      <c r="C177" s="90">
        <v>94</v>
      </c>
      <c r="D177" s="5"/>
      <c r="E177" s="5"/>
      <c r="F177" s="5"/>
      <c r="G177" s="86" t="s">
        <v>694</v>
      </c>
    </row>
    <row r="178" spans="1:7" s="86" customFormat="1" x14ac:dyDescent="0.25">
      <c r="A178" s="88" t="s">
        <v>742</v>
      </c>
      <c r="B178" s="89" t="s">
        <v>743</v>
      </c>
      <c r="C178" s="90">
        <v>94</v>
      </c>
      <c r="D178" s="89"/>
      <c r="E178" s="89"/>
      <c r="F178" s="89"/>
      <c r="G178" s="86" t="s">
        <v>694</v>
      </c>
    </row>
    <row r="179" spans="1:7" x14ac:dyDescent="0.25">
      <c r="A179" s="4" t="s">
        <v>360</v>
      </c>
      <c r="B179" s="5" t="s">
        <v>201</v>
      </c>
      <c r="C179" s="33">
        <f>2/32768*BASE_FLUX</f>
        <v>1.7059326171875002E-5</v>
      </c>
      <c r="D179" s="5"/>
      <c r="E179" s="5"/>
      <c r="F179" s="5"/>
      <c r="G179" s="86" t="s">
        <v>694</v>
      </c>
    </row>
    <row r="180" spans="1:7" x14ac:dyDescent="0.25">
      <c r="A180" s="4" t="s">
        <v>359</v>
      </c>
      <c r="B180" s="5" t="s">
        <v>201</v>
      </c>
      <c r="C180" s="8">
        <v>95</v>
      </c>
      <c r="D180" s="5"/>
      <c r="E180" s="5"/>
      <c r="F180" s="5"/>
      <c r="G180" s="86" t="s">
        <v>694</v>
      </c>
    </row>
    <row r="181" spans="1:7" x14ac:dyDescent="0.25">
      <c r="A181" s="4" t="s">
        <v>423</v>
      </c>
      <c r="B181" s="5" t="s">
        <v>205</v>
      </c>
      <c r="C181" s="32">
        <f>OBSERVER_TS</f>
        <v>1.25E-4</v>
      </c>
      <c r="D181" s="5"/>
      <c r="E181" s="5"/>
      <c r="F181" s="5"/>
      <c r="G181" s="86" t="s">
        <v>694</v>
      </c>
    </row>
    <row r="182" spans="1:7" s="59" customFormat="1" x14ac:dyDescent="0.25">
      <c r="A182" s="61" t="s">
        <v>707</v>
      </c>
      <c r="B182" s="62" t="s">
        <v>205</v>
      </c>
      <c r="C182" s="63">
        <v>1.5</v>
      </c>
      <c r="D182" s="62"/>
      <c r="E182" s="62"/>
      <c r="F182" s="62"/>
      <c r="G182" s="86" t="s">
        <v>694</v>
      </c>
    </row>
    <row r="183" spans="1:7" s="86" customFormat="1" x14ac:dyDescent="0.25">
      <c r="A183" s="88" t="s">
        <v>732</v>
      </c>
      <c r="B183" s="89" t="s">
        <v>200</v>
      </c>
      <c r="C183" s="91">
        <v>35</v>
      </c>
      <c r="D183" s="89"/>
      <c r="E183" s="89"/>
      <c r="F183" s="89"/>
      <c r="G183" s="86" t="s">
        <v>694</v>
      </c>
    </row>
    <row r="184" spans="1:7" s="86" customFormat="1" x14ac:dyDescent="0.25">
      <c r="A184" s="88" t="s">
        <v>733</v>
      </c>
      <c r="B184" s="89" t="s">
        <v>19</v>
      </c>
      <c r="C184" s="90">
        <v>112</v>
      </c>
      <c r="D184" s="89"/>
      <c r="E184" s="89"/>
      <c r="F184" s="89"/>
      <c r="G184" s="86" t="s">
        <v>694</v>
      </c>
    </row>
    <row r="185" spans="1:7" s="86" customFormat="1" x14ac:dyDescent="0.25">
      <c r="A185" s="88" t="s">
        <v>741</v>
      </c>
      <c r="B185" s="89" t="s">
        <v>200</v>
      </c>
      <c r="C185" s="91">
        <v>15490</v>
      </c>
      <c r="D185" s="89"/>
      <c r="E185" s="89"/>
      <c r="F185" s="89"/>
      <c r="G185" s="86" t="s">
        <v>694</v>
      </c>
    </row>
    <row r="186" spans="1:7" s="86" customFormat="1" x14ac:dyDescent="0.25">
      <c r="A186" s="88" t="s">
        <v>746</v>
      </c>
      <c r="B186" s="89" t="s">
        <v>747</v>
      </c>
      <c r="C186" s="91">
        <v>15488</v>
      </c>
      <c r="D186" s="89"/>
      <c r="E186" s="89"/>
      <c r="F186" s="89"/>
      <c r="G186" s="86" t="s">
        <v>694</v>
      </c>
    </row>
    <row r="187" spans="1:7" s="86" customFormat="1" x14ac:dyDescent="0.25">
      <c r="A187" s="88" t="s">
        <v>748</v>
      </c>
      <c r="B187" s="89" t="s">
        <v>200</v>
      </c>
      <c r="C187" s="91">
        <v>375</v>
      </c>
      <c r="D187" s="89"/>
      <c r="E187" s="89"/>
      <c r="F187" s="89"/>
      <c r="G187" s="86" t="s">
        <v>694</v>
      </c>
    </row>
    <row r="188" spans="1:7" s="86" customFormat="1" x14ac:dyDescent="0.25">
      <c r="A188" s="88" t="s">
        <v>749</v>
      </c>
      <c r="B188" s="89" t="s">
        <v>19</v>
      </c>
      <c r="C188" s="91">
        <v>10</v>
      </c>
      <c r="D188" s="89"/>
      <c r="E188" s="89"/>
      <c r="F188" s="89"/>
      <c r="G188" s="86" t="s">
        <v>694</v>
      </c>
    </row>
    <row r="189" spans="1:7" s="86" customFormat="1" x14ac:dyDescent="0.25">
      <c r="A189" s="88" t="s">
        <v>750</v>
      </c>
      <c r="B189" s="89" t="s">
        <v>19</v>
      </c>
      <c r="C189" s="91">
        <v>10</v>
      </c>
      <c r="D189" s="89"/>
      <c r="E189" s="89"/>
      <c r="F189" s="89"/>
      <c r="G189" s="86" t="s">
        <v>694</v>
      </c>
    </row>
    <row r="190" spans="1:7" s="101" customFormat="1" x14ac:dyDescent="0.25">
      <c r="A190" s="88" t="s">
        <v>1086</v>
      </c>
      <c r="B190" s="89" t="s">
        <v>1088</v>
      </c>
      <c r="C190" s="53">
        <v>0.57999999999999996</v>
      </c>
      <c r="D190" s="89"/>
      <c r="E190" s="89"/>
      <c r="F190" s="89">
        <v>3</v>
      </c>
    </row>
    <row r="191" spans="1:7" s="101" customFormat="1" x14ac:dyDescent="0.25">
      <c r="A191" s="88" t="s">
        <v>1087</v>
      </c>
      <c r="B191" s="89"/>
      <c r="C191" s="53">
        <v>0.5</v>
      </c>
      <c r="D191" s="89"/>
      <c r="E191" s="89"/>
      <c r="F191" s="89">
        <v>3</v>
      </c>
    </row>
    <row r="192" spans="1:7" s="101" customFormat="1" x14ac:dyDescent="0.25">
      <c r="A192" s="88" t="s">
        <v>1081</v>
      </c>
      <c r="B192" s="89" t="s">
        <v>19</v>
      </c>
      <c r="C192" s="91">
        <v>98</v>
      </c>
      <c r="D192" s="89"/>
      <c r="E192" s="89"/>
      <c r="F192" s="89">
        <v>1</v>
      </c>
    </row>
    <row r="193" spans="1:7" x14ac:dyDescent="0.25">
      <c r="A193" s="4"/>
      <c r="B193" s="5"/>
      <c r="C193" s="6"/>
      <c r="D193" s="5"/>
      <c r="E193" s="5"/>
      <c r="F193" s="5"/>
      <c r="G193" t="s">
        <v>694</v>
      </c>
    </row>
    <row r="194" spans="1:7" ht="17.25" x14ac:dyDescent="0.3">
      <c r="A194" s="107" t="s">
        <v>383</v>
      </c>
      <c r="B194" s="107"/>
      <c r="C194" s="107"/>
      <c r="D194" s="107"/>
      <c r="E194" s="107"/>
      <c r="F194" s="107"/>
      <c r="G194" t="s">
        <v>694</v>
      </c>
    </row>
    <row r="195" spans="1:7" x14ac:dyDescent="0.25">
      <c r="A195" s="3" t="s">
        <v>0</v>
      </c>
      <c r="B195" s="3" t="s">
        <v>1</v>
      </c>
      <c r="C195" s="3" t="s">
        <v>2</v>
      </c>
      <c r="D195" s="3" t="s">
        <v>4</v>
      </c>
      <c r="E195" s="3" t="s">
        <v>3</v>
      </c>
      <c r="F195" s="3" t="s">
        <v>21</v>
      </c>
      <c r="G195" t="s">
        <v>694</v>
      </c>
    </row>
    <row r="196" spans="1:7" x14ac:dyDescent="0.25">
      <c r="A196" s="4" t="s">
        <v>355</v>
      </c>
      <c r="B196" s="5" t="s">
        <v>217</v>
      </c>
      <c r="C196" s="8"/>
      <c r="D196" s="5"/>
      <c r="E196" s="5"/>
      <c r="F196" s="5"/>
      <c r="G196" t="s">
        <v>694</v>
      </c>
    </row>
    <row r="197" spans="1:7" x14ac:dyDescent="0.25">
      <c r="A197" s="4" t="s">
        <v>356</v>
      </c>
      <c r="B197" s="5" t="s">
        <v>205</v>
      </c>
      <c r="C197" s="8">
        <v>1</v>
      </c>
      <c r="D197" s="5"/>
      <c r="E197" s="5"/>
      <c r="F197" s="5"/>
      <c r="G197" t="s">
        <v>694</v>
      </c>
    </row>
    <row r="198" spans="1:7" x14ac:dyDescent="0.25">
      <c r="A198" s="4" t="s">
        <v>357</v>
      </c>
      <c r="B198" s="5" t="s">
        <v>69</v>
      </c>
      <c r="C198" s="100">
        <v>1</v>
      </c>
      <c r="D198" s="5"/>
      <c r="E198" s="5"/>
      <c r="F198" s="5"/>
      <c r="G198" t="s">
        <v>694</v>
      </c>
    </row>
    <row r="199" spans="1:7" x14ac:dyDescent="0.25">
      <c r="A199" s="4" t="s">
        <v>362</v>
      </c>
      <c r="B199" s="5"/>
      <c r="C199" s="8">
        <v>10</v>
      </c>
      <c r="D199" s="5"/>
      <c r="E199" s="5"/>
      <c r="F199" s="5"/>
      <c r="G199" t="s">
        <v>694</v>
      </c>
    </row>
    <row r="200" spans="1:7" x14ac:dyDescent="0.25">
      <c r="A200" s="4" t="s">
        <v>363</v>
      </c>
      <c r="B200" s="5"/>
      <c r="C200" s="8">
        <v>2000</v>
      </c>
      <c r="D200" s="5"/>
      <c r="E200" s="5"/>
      <c r="F200" s="5"/>
      <c r="G200" t="s">
        <v>694</v>
      </c>
    </row>
    <row r="201" spans="1:7" x14ac:dyDescent="0.25">
      <c r="A201" s="4" t="s">
        <v>364</v>
      </c>
      <c r="B201" s="5"/>
      <c r="C201" s="8">
        <v>150</v>
      </c>
      <c r="D201" s="5"/>
      <c r="E201" s="5"/>
      <c r="F201" s="5"/>
      <c r="G201" t="s">
        <v>694</v>
      </c>
    </row>
    <row r="202" spans="1:7" x14ac:dyDescent="0.25">
      <c r="A202" s="4" t="s">
        <v>365</v>
      </c>
      <c r="B202" s="5"/>
      <c r="C202" s="8">
        <v>15000</v>
      </c>
      <c r="D202" s="5"/>
      <c r="E202" s="5"/>
      <c r="F202" s="5"/>
      <c r="G202" t="s">
        <v>694</v>
      </c>
    </row>
    <row r="203" spans="1:7" x14ac:dyDescent="0.25">
      <c r="A203" s="4" t="s">
        <v>366</v>
      </c>
      <c r="B203" s="5"/>
      <c r="C203" s="8">
        <v>1905</v>
      </c>
      <c r="D203" s="5"/>
      <c r="E203" s="5"/>
      <c r="F203" s="5"/>
      <c r="G203" t="s">
        <v>694</v>
      </c>
    </row>
    <row r="204" spans="1:7" x14ac:dyDescent="0.25">
      <c r="A204" s="4" t="s">
        <v>367</v>
      </c>
      <c r="B204" s="5"/>
      <c r="C204" s="8">
        <v>2</v>
      </c>
      <c r="D204" s="5"/>
      <c r="E204" s="5"/>
      <c r="F204" s="5"/>
      <c r="G204" t="s">
        <v>694</v>
      </c>
    </row>
    <row r="205" spans="1:7" x14ac:dyDescent="0.25">
      <c r="A205" s="4" t="s">
        <v>368</v>
      </c>
      <c r="B205" s="5"/>
      <c r="C205" s="8">
        <v>150</v>
      </c>
      <c r="D205" s="5"/>
      <c r="E205" s="5"/>
      <c r="F205" s="5"/>
      <c r="G205" t="s">
        <v>694</v>
      </c>
    </row>
    <row r="206" spans="1:7" x14ac:dyDescent="0.25">
      <c r="A206" s="4" t="s">
        <v>369</v>
      </c>
      <c r="B206" s="5"/>
      <c r="C206" s="8">
        <v>12000</v>
      </c>
      <c r="D206" s="5"/>
      <c r="E206" s="5"/>
      <c r="F206" s="5"/>
      <c r="G206" t="s">
        <v>694</v>
      </c>
    </row>
    <row r="207" spans="1:7" x14ac:dyDescent="0.25">
      <c r="A207" s="4" t="s">
        <v>370</v>
      </c>
      <c r="B207" s="5"/>
      <c r="C207" s="8">
        <v>8000</v>
      </c>
      <c r="D207" s="5"/>
      <c r="E207" s="5"/>
      <c r="F207" s="5"/>
      <c r="G207" t="s">
        <v>694</v>
      </c>
    </row>
    <row r="208" spans="1:7" x14ac:dyDescent="0.25">
      <c r="A208" s="4" t="s">
        <v>371</v>
      </c>
      <c r="B208" s="5"/>
      <c r="C208" s="8">
        <v>900000</v>
      </c>
      <c r="D208" s="5"/>
      <c r="E208" s="5"/>
      <c r="F208" s="5"/>
      <c r="G208" t="s">
        <v>694</v>
      </c>
    </row>
    <row r="209" spans="1:13" x14ac:dyDescent="0.25">
      <c r="A209" s="4" t="s">
        <v>372</v>
      </c>
      <c r="B209" s="5"/>
      <c r="C209" s="8">
        <v>14000</v>
      </c>
      <c r="D209" s="5"/>
      <c r="E209" s="5"/>
      <c r="F209" s="5"/>
      <c r="G209" t="s">
        <v>694</v>
      </c>
    </row>
    <row r="210" spans="1:13" x14ac:dyDescent="0.25">
      <c r="A210" s="4" t="s">
        <v>373</v>
      </c>
      <c r="B210" s="5"/>
      <c r="C210" s="8">
        <v>3</v>
      </c>
      <c r="D210" s="5"/>
      <c r="E210" s="5"/>
      <c r="F210" s="5"/>
      <c r="G210" t="s">
        <v>694</v>
      </c>
    </row>
    <row r="211" spans="1:13" x14ac:dyDescent="0.25">
      <c r="A211" s="4" t="s">
        <v>374</v>
      </c>
      <c r="B211" s="5"/>
      <c r="C211" s="53">
        <v>150</v>
      </c>
      <c r="D211" s="5"/>
      <c r="E211" s="5"/>
      <c r="F211" s="5"/>
      <c r="G211" t="s">
        <v>694</v>
      </c>
    </row>
    <row r="212" spans="1:13" x14ac:dyDescent="0.25">
      <c r="A212" s="4" t="s">
        <v>375</v>
      </c>
      <c r="B212" s="5"/>
      <c r="C212" s="53">
        <v>12000</v>
      </c>
      <c r="D212" s="5"/>
      <c r="E212" s="5"/>
      <c r="F212" s="5"/>
      <c r="G212" t="s">
        <v>694</v>
      </c>
    </row>
    <row r="213" spans="1:13" x14ac:dyDescent="0.25">
      <c r="A213" s="4" t="s">
        <v>376</v>
      </c>
      <c r="B213" s="5"/>
      <c r="C213" s="53">
        <v>8000</v>
      </c>
      <c r="D213" s="5"/>
      <c r="E213" s="5"/>
      <c r="F213" s="5"/>
      <c r="G213" t="s">
        <v>694</v>
      </c>
    </row>
    <row r="214" spans="1:13" x14ac:dyDescent="0.25">
      <c r="A214" s="4" t="s">
        <v>377</v>
      </c>
      <c r="B214" s="5"/>
      <c r="C214" s="53">
        <v>900000</v>
      </c>
      <c r="D214" s="5"/>
      <c r="E214" s="5"/>
      <c r="F214" s="5"/>
      <c r="G214" t="s">
        <v>694</v>
      </c>
    </row>
    <row r="215" spans="1:13" x14ac:dyDescent="0.25">
      <c r="A215" s="4" t="s">
        <v>378</v>
      </c>
      <c r="B215" s="5"/>
      <c r="C215" s="53">
        <v>20000</v>
      </c>
      <c r="D215" s="5"/>
      <c r="E215" s="5"/>
      <c r="F215" s="5"/>
      <c r="G215" t="s">
        <v>694</v>
      </c>
    </row>
    <row r="216" spans="1:13" x14ac:dyDescent="0.25">
      <c r="A216" s="4" t="s">
        <v>379</v>
      </c>
      <c r="B216" s="5"/>
      <c r="C216" s="8">
        <v>3</v>
      </c>
      <c r="D216" s="5"/>
      <c r="E216" s="5"/>
      <c r="F216" s="5"/>
      <c r="G216" t="s">
        <v>694</v>
      </c>
    </row>
    <row r="217" spans="1:13" s="101" customFormat="1" x14ac:dyDescent="0.25">
      <c r="A217" s="88" t="s">
        <v>1085</v>
      </c>
      <c r="B217" s="89" t="s">
        <v>19</v>
      </c>
      <c r="C217" s="91">
        <v>115</v>
      </c>
      <c r="D217" s="89"/>
      <c r="E217" s="89"/>
      <c r="F217" s="89">
        <v>1</v>
      </c>
      <c r="G217" s="101" t="s">
        <v>694</v>
      </c>
    </row>
    <row r="218" spans="1:13" x14ac:dyDescent="0.25">
      <c r="A218" s="4"/>
      <c r="B218" s="5"/>
      <c r="C218" s="6"/>
      <c r="D218" s="5"/>
      <c r="E218" s="5"/>
      <c r="F218" s="5"/>
    </row>
    <row r="219" spans="1:13" ht="17.25" x14ac:dyDescent="0.3">
      <c r="A219" s="107" t="s">
        <v>384</v>
      </c>
      <c r="B219" s="107"/>
      <c r="C219" s="107"/>
      <c r="D219" s="107"/>
      <c r="E219" s="107"/>
      <c r="F219" s="107"/>
      <c r="G219" s="101" t="s">
        <v>695</v>
      </c>
      <c r="H219" s="106"/>
      <c r="I219" s="106"/>
      <c r="J219" s="106"/>
      <c r="K219" s="106"/>
      <c r="L219" s="106"/>
      <c r="M219" s="106"/>
    </row>
    <row r="220" spans="1:13" x14ac:dyDescent="0.25">
      <c r="A220" s="74" t="s">
        <v>0</v>
      </c>
      <c r="B220" s="74" t="s">
        <v>1</v>
      </c>
      <c r="C220" s="74" t="s">
        <v>2</v>
      </c>
      <c r="D220" s="74" t="s">
        <v>4</v>
      </c>
      <c r="E220" s="74" t="s">
        <v>3</v>
      </c>
      <c r="F220" s="74" t="s">
        <v>21</v>
      </c>
      <c r="G220" s="101" t="s">
        <v>695</v>
      </c>
      <c r="H220" s="106"/>
      <c r="I220" s="106"/>
      <c r="J220" s="106"/>
      <c r="K220" s="106"/>
      <c r="L220" s="106"/>
      <c r="M220" s="106"/>
    </row>
    <row r="221" spans="1:13" x14ac:dyDescent="0.25">
      <c r="A221" s="88" t="s">
        <v>381</v>
      </c>
      <c r="B221" s="89" t="s">
        <v>200</v>
      </c>
      <c r="C221" s="6">
        <v>6000</v>
      </c>
      <c r="D221" s="5"/>
      <c r="E221" s="5"/>
      <c r="F221" s="5"/>
      <c r="H221" s="106"/>
      <c r="I221" s="106"/>
      <c r="J221" s="106"/>
      <c r="K221" s="106"/>
      <c r="L221" s="106"/>
      <c r="M221" s="106"/>
    </row>
    <row r="222" spans="1:13" s="101" customFormat="1" x14ac:dyDescent="0.25">
      <c r="A222" s="88"/>
      <c r="B222" s="89"/>
      <c r="C222" s="90"/>
      <c r="D222" s="89"/>
      <c r="E222" s="89"/>
      <c r="F222" s="89"/>
      <c r="H222" s="106"/>
      <c r="I222" s="106"/>
      <c r="J222" s="106"/>
      <c r="K222" s="106"/>
      <c r="L222" s="106"/>
      <c r="M222" s="106"/>
    </row>
    <row r="223" spans="1:13" ht="17.25" x14ac:dyDescent="0.3">
      <c r="A223" s="107" t="s">
        <v>385</v>
      </c>
      <c r="B223" s="107"/>
      <c r="C223" s="107"/>
      <c r="D223" s="107"/>
      <c r="E223" s="107"/>
      <c r="F223" s="107"/>
      <c r="G223" t="s">
        <v>696</v>
      </c>
      <c r="H223" s="106"/>
      <c r="I223" s="106"/>
      <c r="J223" s="106"/>
      <c r="K223" s="106"/>
      <c r="L223" s="106"/>
      <c r="M223" s="106"/>
    </row>
    <row r="224" spans="1:13" x14ac:dyDescent="0.25">
      <c r="A224" s="3" t="s">
        <v>0</v>
      </c>
      <c r="B224" s="3" t="s">
        <v>1</v>
      </c>
      <c r="C224" s="3" t="s">
        <v>2</v>
      </c>
      <c r="D224" s="3" t="s">
        <v>4</v>
      </c>
      <c r="E224" s="3" t="s">
        <v>3</v>
      </c>
      <c r="F224" s="3" t="s">
        <v>21</v>
      </c>
      <c r="G224" t="s">
        <v>696</v>
      </c>
      <c r="H224" s="106"/>
      <c r="I224" s="106"/>
      <c r="J224" s="106"/>
      <c r="K224" s="106"/>
      <c r="L224" s="106"/>
      <c r="M224" s="106"/>
    </row>
    <row r="225" spans="1:13" x14ac:dyDescent="0.25">
      <c r="A225" s="4" t="s">
        <v>433</v>
      </c>
      <c r="B225" s="5" t="s">
        <v>205</v>
      </c>
      <c r="C225" s="36">
        <f>OBSERVER_TS</f>
        <v>1.25E-4</v>
      </c>
      <c r="D225" s="5"/>
      <c r="E225" s="5"/>
      <c r="F225" s="5"/>
      <c r="G225" t="s">
        <v>696</v>
      </c>
      <c r="H225" s="106"/>
      <c r="I225" s="106"/>
      <c r="J225" s="106"/>
      <c r="K225" s="106"/>
      <c r="L225" s="106"/>
      <c r="M225" s="106"/>
    </row>
    <row r="226" spans="1:13" x14ac:dyDescent="0.25">
      <c r="A226" s="4" t="s">
        <v>386</v>
      </c>
      <c r="B226" s="5" t="s">
        <v>205</v>
      </c>
      <c r="C226" s="8">
        <v>1</v>
      </c>
      <c r="D226" s="5"/>
      <c r="E226" s="5"/>
      <c r="F226" s="5"/>
      <c r="G226" t="s">
        <v>696</v>
      </c>
      <c r="H226" s="106"/>
      <c r="I226" s="106"/>
      <c r="J226" s="106"/>
      <c r="K226" s="106"/>
      <c r="L226" s="106"/>
      <c r="M226" s="106"/>
    </row>
    <row r="227" spans="1:13" x14ac:dyDescent="0.25">
      <c r="A227" s="4" t="s">
        <v>387</v>
      </c>
      <c r="B227" s="5" t="s">
        <v>199</v>
      </c>
      <c r="C227" s="8">
        <v>0.75</v>
      </c>
      <c r="D227" s="5"/>
      <c r="E227" s="5"/>
      <c r="F227" s="5"/>
      <c r="G227" t="s">
        <v>696</v>
      </c>
      <c r="H227" s="106"/>
      <c r="I227" s="106"/>
      <c r="J227" s="106"/>
      <c r="K227" s="106"/>
      <c r="L227" s="106"/>
      <c r="M227" s="106"/>
    </row>
    <row r="228" spans="1:13" x14ac:dyDescent="0.25">
      <c r="A228" s="4" t="s">
        <v>388</v>
      </c>
      <c r="B228" s="5" t="s">
        <v>19</v>
      </c>
      <c r="C228" s="8">
        <v>112</v>
      </c>
      <c r="D228" s="5"/>
      <c r="E228" s="5"/>
      <c r="F228" s="5"/>
      <c r="G228" t="s">
        <v>696</v>
      </c>
    </row>
    <row r="229" spans="1:13" x14ac:dyDescent="0.25">
      <c r="A229" s="4" t="s">
        <v>389</v>
      </c>
      <c r="B229" s="5" t="s">
        <v>201</v>
      </c>
      <c r="C229" s="37">
        <f>2*BASE_FLUX/32768</f>
        <v>1.7059326171875002E-5</v>
      </c>
      <c r="D229" s="5"/>
      <c r="E229" s="5"/>
      <c r="F229" s="5"/>
      <c r="G229" t="s">
        <v>696</v>
      </c>
    </row>
    <row r="230" spans="1:13" x14ac:dyDescent="0.25">
      <c r="A230" s="4"/>
      <c r="B230" s="5"/>
      <c r="C230" s="6"/>
      <c r="D230" s="5"/>
      <c r="E230" s="5"/>
      <c r="F230" s="5"/>
      <c r="G230" t="s">
        <v>696</v>
      </c>
    </row>
    <row r="231" spans="1:13" ht="17.25" x14ac:dyDescent="0.3">
      <c r="A231" s="107" t="s">
        <v>390</v>
      </c>
      <c r="B231" s="107"/>
      <c r="C231" s="107"/>
      <c r="D231" s="107"/>
      <c r="E231" s="107"/>
      <c r="F231" s="107"/>
      <c r="G231" t="s">
        <v>696</v>
      </c>
    </row>
    <row r="232" spans="1:13" x14ac:dyDescent="0.25">
      <c r="A232" s="3" t="s">
        <v>0</v>
      </c>
      <c r="B232" s="3" t="s">
        <v>1</v>
      </c>
      <c r="C232" s="3" t="s">
        <v>2</v>
      </c>
      <c r="D232" s="3" t="s">
        <v>4</v>
      </c>
      <c r="E232" s="3" t="s">
        <v>3</v>
      </c>
      <c r="F232" s="3" t="s">
        <v>21</v>
      </c>
      <c r="G232" t="s">
        <v>696</v>
      </c>
    </row>
    <row r="233" spans="1:13" x14ac:dyDescent="0.25">
      <c r="A233" s="4" t="s">
        <v>391</v>
      </c>
      <c r="B233" s="5" t="s">
        <v>200</v>
      </c>
      <c r="C233" s="53">
        <f>20*11.4</f>
        <v>228</v>
      </c>
      <c r="D233" s="5"/>
      <c r="E233" s="5"/>
      <c r="F233" s="5"/>
      <c r="G233" t="s">
        <v>696</v>
      </c>
    </row>
    <row r="234" spans="1:13" x14ac:dyDescent="0.25">
      <c r="A234" s="4" t="s">
        <v>392</v>
      </c>
      <c r="B234" s="5" t="s">
        <v>200</v>
      </c>
      <c r="C234" s="8">
        <f>60*11.4</f>
        <v>684</v>
      </c>
      <c r="D234" s="5"/>
      <c r="E234" s="5"/>
      <c r="F234" s="5"/>
      <c r="G234" t="s">
        <v>696</v>
      </c>
    </row>
    <row r="235" spans="1:13" s="59" customFormat="1" x14ac:dyDescent="0.25">
      <c r="A235" s="4" t="s">
        <v>393</v>
      </c>
      <c r="B235" s="5" t="s">
        <v>69</v>
      </c>
      <c r="C235" s="6">
        <v>5</v>
      </c>
      <c r="D235" s="5">
        <v>0</v>
      </c>
      <c r="E235" s="89">
        <v>65535</v>
      </c>
      <c r="F235" s="5"/>
      <c r="G235" t="s">
        <v>696</v>
      </c>
    </row>
    <row r="236" spans="1:13" s="59" customFormat="1" x14ac:dyDescent="0.25">
      <c r="A236" s="4" t="s">
        <v>394</v>
      </c>
      <c r="B236" s="5" t="s">
        <v>205</v>
      </c>
      <c r="C236" s="8">
        <v>1.8</v>
      </c>
      <c r="D236" s="5">
        <v>0</v>
      </c>
      <c r="E236" s="5">
        <v>1638</v>
      </c>
      <c r="F236" s="5"/>
      <c r="G236" t="s">
        <v>696</v>
      </c>
    </row>
    <row r="237" spans="1:13" s="59" customFormat="1" x14ac:dyDescent="0.25">
      <c r="A237" s="61" t="s">
        <v>1069</v>
      </c>
      <c r="B237" s="62" t="s">
        <v>205</v>
      </c>
      <c r="C237" s="63">
        <v>4</v>
      </c>
      <c r="D237" s="62"/>
      <c r="E237" s="62"/>
      <c r="F237" s="62"/>
    </row>
    <row r="238" spans="1:13" s="101" customFormat="1" x14ac:dyDescent="0.25">
      <c r="A238" s="61" t="s">
        <v>712</v>
      </c>
      <c r="B238" s="62" t="s">
        <v>205</v>
      </c>
      <c r="C238" s="63">
        <v>3</v>
      </c>
      <c r="D238" s="62"/>
      <c r="E238" s="62"/>
      <c r="F238" s="62"/>
      <c r="G238" s="59"/>
    </row>
    <row r="239" spans="1:13" x14ac:dyDescent="0.25">
      <c r="A239" s="61" t="s">
        <v>713</v>
      </c>
      <c r="B239" s="62" t="s">
        <v>205</v>
      </c>
      <c r="C239" s="63">
        <v>10</v>
      </c>
      <c r="D239" s="62"/>
      <c r="E239" s="62"/>
      <c r="F239" s="62"/>
      <c r="G239" s="59"/>
    </row>
    <row r="240" spans="1:13" x14ac:dyDescent="0.25">
      <c r="A240" s="88" t="s">
        <v>1068</v>
      </c>
      <c r="B240" s="89" t="s">
        <v>199</v>
      </c>
      <c r="C240" s="105">
        <v>7</v>
      </c>
      <c r="D240" s="89"/>
      <c r="E240" s="89"/>
      <c r="F240" s="89"/>
      <c r="G240" s="101"/>
    </row>
    <row r="241" spans="1:7" x14ac:dyDescent="0.25">
      <c r="A241" s="4"/>
      <c r="B241" s="5"/>
      <c r="C241" s="6"/>
      <c r="D241" s="5"/>
      <c r="E241" s="5"/>
      <c r="F241" s="5"/>
      <c r="G241" t="s">
        <v>696</v>
      </c>
    </row>
    <row r="242" spans="1:7" ht="17.25" x14ac:dyDescent="0.3">
      <c r="A242" s="107" t="s">
        <v>395</v>
      </c>
      <c r="B242" s="107"/>
      <c r="C242" s="107"/>
      <c r="D242" s="107"/>
      <c r="E242" s="107"/>
      <c r="F242" s="107"/>
      <c r="G242" t="s">
        <v>696</v>
      </c>
    </row>
    <row r="243" spans="1:7" x14ac:dyDescent="0.25">
      <c r="A243" s="3" t="s">
        <v>0</v>
      </c>
      <c r="B243" s="3" t="s">
        <v>1</v>
      </c>
      <c r="C243" s="3" t="s">
        <v>2</v>
      </c>
      <c r="D243" s="3" t="s">
        <v>4</v>
      </c>
      <c r="E243" s="3" t="s">
        <v>3</v>
      </c>
      <c r="F243" s="3" t="s">
        <v>21</v>
      </c>
      <c r="G243" t="s">
        <v>696</v>
      </c>
    </row>
    <row r="244" spans="1:7" x14ac:dyDescent="0.25">
      <c r="A244" s="4" t="s">
        <v>458</v>
      </c>
      <c r="B244" s="5" t="s">
        <v>380</v>
      </c>
      <c r="C244" s="90">
        <f>200*BASE_VOLTAGE/BASE_CURRENT</f>
        <v>6228.7104622871038</v>
      </c>
      <c r="D244" s="5"/>
      <c r="E244" s="5"/>
      <c r="F244" s="5"/>
      <c r="G244" t="s">
        <v>696</v>
      </c>
    </row>
    <row r="245" spans="1:7" x14ac:dyDescent="0.25">
      <c r="A245" s="4" t="s">
        <v>459</v>
      </c>
      <c r="B245" s="5" t="s">
        <v>396</v>
      </c>
      <c r="C245" s="35">
        <f>10*BASE_VOLTAGE/BASE_CURRENT*DQ_CURRENT_CONTROL_TS</f>
        <v>3.8929440389294398E-2</v>
      </c>
      <c r="D245" s="5"/>
      <c r="E245" s="5"/>
      <c r="F245" s="5"/>
      <c r="G245" t="s">
        <v>696</v>
      </c>
    </row>
    <row r="246" spans="1:7" x14ac:dyDescent="0.25">
      <c r="A246" s="4" t="s">
        <v>460</v>
      </c>
      <c r="B246" s="5" t="s">
        <v>380</v>
      </c>
      <c r="C246" s="6">
        <f>D_CURR_CONTROL_KP</f>
        <v>6228.7104622871038</v>
      </c>
      <c r="D246" s="5"/>
      <c r="E246" s="5"/>
      <c r="F246" s="5"/>
      <c r="G246" t="s">
        <v>696</v>
      </c>
    </row>
    <row r="247" spans="1:7" x14ac:dyDescent="0.25">
      <c r="A247" s="4" t="s">
        <v>461</v>
      </c>
      <c r="B247" s="5" t="s">
        <v>396</v>
      </c>
      <c r="C247" s="35">
        <f>D_CURR_CONTROL_KI</f>
        <v>3.8929440389294398E-2</v>
      </c>
      <c r="D247" s="5"/>
      <c r="E247" s="5"/>
      <c r="F247" s="5"/>
      <c r="G247" t="s">
        <v>696</v>
      </c>
    </row>
    <row r="248" spans="1:7" x14ac:dyDescent="0.25">
      <c r="A248" s="4" t="s">
        <v>468</v>
      </c>
      <c r="B248" s="5" t="s">
        <v>205</v>
      </c>
      <c r="C248" s="39">
        <f>OBSERVER_TS</f>
        <v>1.25E-4</v>
      </c>
      <c r="D248" s="5"/>
      <c r="E248" s="5"/>
      <c r="F248" s="5"/>
      <c r="G248" t="s">
        <v>696</v>
      </c>
    </row>
    <row r="249" spans="1:7" x14ac:dyDescent="0.25">
      <c r="A249" s="4"/>
      <c r="B249" s="5"/>
      <c r="C249" s="6"/>
      <c r="D249" s="5"/>
      <c r="E249" s="5"/>
      <c r="F249" s="5"/>
      <c r="G249" t="s">
        <v>696</v>
      </c>
    </row>
    <row r="250" spans="1:7" ht="17.25" x14ac:dyDescent="0.3">
      <c r="A250" s="107" t="s">
        <v>397</v>
      </c>
      <c r="B250" s="107"/>
      <c r="C250" s="107"/>
      <c r="D250" s="107"/>
      <c r="E250" s="107"/>
      <c r="F250" s="107"/>
      <c r="G250" t="s">
        <v>696</v>
      </c>
    </row>
    <row r="251" spans="1:7" x14ac:dyDescent="0.25">
      <c r="A251" s="3" t="s">
        <v>0</v>
      </c>
      <c r="B251" s="3" t="s">
        <v>1</v>
      </c>
      <c r="C251" s="3" t="s">
        <v>2</v>
      </c>
      <c r="D251" s="3" t="s">
        <v>4</v>
      </c>
      <c r="E251" s="3" t="s">
        <v>3</v>
      </c>
      <c r="F251" s="3" t="s">
        <v>21</v>
      </c>
      <c r="G251" t="s">
        <v>697</v>
      </c>
    </row>
    <row r="252" spans="1:7" x14ac:dyDescent="0.25">
      <c r="A252" s="4" t="s">
        <v>398</v>
      </c>
      <c r="B252" s="5" t="s">
        <v>205</v>
      </c>
      <c r="C252" s="34">
        <v>2.5</v>
      </c>
      <c r="D252" s="5"/>
      <c r="E252" s="5"/>
      <c r="F252" s="5"/>
      <c r="G252" t="s">
        <v>697</v>
      </c>
    </row>
    <row r="253" spans="1:7" x14ac:dyDescent="0.25">
      <c r="A253" s="4" t="s">
        <v>399</v>
      </c>
      <c r="B253" s="5" t="s">
        <v>199</v>
      </c>
      <c r="C253" s="34">
        <v>4</v>
      </c>
      <c r="D253" s="5"/>
      <c r="E253" s="5"/>
      <c r="F253" s="5"/>
      <c r="G253" t="s">
        <v>697</v>
      </c>
    </row>
    <row r="254" spans="1:7" x14ac:dyDescent="0.25">
      <c r="A254" s="4" t="s">
        <v>400</v>
      </c>
      <c r="B254" s="5" t="s">
        <v>199</v>
      </c>
      <c r="C254" s="34">
        <v>5</v>
      </c>
      <c r="D254" s="5"/>
      <c r="E254" s="5"/>
      <c r="F254" s="5"/>
      <c r="G254" t="s">
        <v>697</v>
      </c>
    </row>
    <row r="255" spans="1:7" x14ac:dyDescent="0.25">
      <c r="A255" s="4" t="s">
        <v>401</v>
      </c>
      <c r="B255" s="5" t="s">
        <v>199</v>
      </c>
      <c r="C255" s="34">
        <v>1</v>
      </c>
      <c r="D255" s="5"/>
      <c r="E255" s="5"/>
      <c r="F255" s="5"/>
      <c r="G255" t="s">
        <v>697</v>
      </c>
    </row>
    <row r="256" spans="1:7" x14ac:dyDescent="0.25">
      <c r="A256" s="4" t="s">
        <v>402</v>
      </c>
      <c r="B256" s="5" t="s">
        <v>205</v>
      </c>
      <c r="C256" s="34">
        <v>0.6</v>
      </c>
      <c r="D256" s="5"/>
      <c r="E256" s="5"/>
      <c r="F256" s="5"/>
      <c r="G256" t="s">
        <v>697</v>
      </c>
    </row>
    <row r="257" spans="1:7" x14ac:dyDescent="0.25">
      <c r="A257" s="4" t="s">
        <v>403</v>
      </c>
      <c r="B257" s="5" t="s">
        <v>205</v>
      </c>
      <c r="C257" s="38">
        <v>0.6</v>
      </c>
      <c r="D257" s="5"/>
      <c r="E257" s="5"/>
      <c r="F257" s="5"/>
      <c r="G257" t="s">
        <v>697</v>
      </c>
    </row>
    <row r="258" spans="1:7" x14ac:dyDescent="0.25">
      <c r="A258" s="4" t="s">
        <v>404</v>
      </c>
      <c r="B258" s="5" t="s">
        <v>205</v>
      </c>
      <c r="C258" s="34">
        <v>0.4</v>
      </c>
      <c r="D258" s="5"/>
      <c r="E258" s="5"/>
      <c r="F258" s="5"/>
      <c r="G258" t="s">
        <v>697</v>
      </c>
    </row>
    <row r="259" spans="1:7" x14ac:dyDescent="0.25">
      <c r="A259" s="4" t="s">
        <v>405</v>
      </c>
      <c r="B259" s="5" t="s">
        <v>217</v>
      </c>
      <c r="C259" s="34">
        <v>7.8125E-2</v>
      </c>
      <c r="D259" s="5"/>
      <c r="E259" s="5"/>
      <c r="F259" s="5"/>
      <c r="G259" t="s">
        <v>697</v>
      </c>
    </row>
    <row r="260" spans="1:7" x14ac:dyDescent="0.25">
      <c r="A260" s="4" t="s">
        <v>406</v>
      </c>
      <c r="B260" s="5" t="s">
        <v>217</v>
      </c>
      <c r="C260" s="34">
        <v>7.8125E-2</v>
      </c>
      <c r="D260" s="5"/>
      <c r="E260" s="5"/>
      <c r="F260" s="5"/>
      <c r="G260" t="s">
        <v>697</v>
      </c>
    </row>
    <row r="261" spans="1:7" x14ac:dyDescent="0.25">
      <c r="A261" s="4" t="s">
        <v>407</v>
      </c>
      <c r="B261" s="5" t="s">
        <v>217</v>
      </c>
      <c r="C261" s="34">
        <v>7.8125E-2</v>
      </c>
      <c r="D261" s="5"/>
      <c r="E261" s="5"/>
      <c r="F261" s="5"/>
      <c r="G261" t="s">
        <v>697</v>
      </c>
    </row>
    <row r="262" spans="1:7" x14ac:dyDescent="0.25">
      <c r="A262" s="4" t="s">
        <v>408</v>
      </c>
      <c r="B262" s="5" t="s">
        <v>205</v>
      </c>
      <c r="C262" s="34">
        <v>0.1</v>
      </c>
      <c r="D262" s="5"/>
      <c r="E262" s="5"/>
      <c r="F262" s="5"/>
      <c r="G262" t="s">
        <v>697</v>
      </c>
    </row>
    <row r="263" spans="1:7" x14ac:dyDescent="0.25">
      <c r="A263" s="4" t="s">
        <v>409</v>
      </c>
      <c r="B263" s="5" t="s">
        <v>69</v>
      </c>
      <c r="C263" s="6">
        <v>300</v>
      </c>
      <c r="D263" s="5"/>
      <c r="E263" s="5"/>
      <c r="F263" s="5"/>
      <c r="G263" t="s">
        <v>697</v>
      </c>
    </row>
    <row r="264" spans="1:7" x14ac:dyDescent="0.25">
      <c r="A264" s="4" t="s">
        <v>410</v>
      </c>
      <c r="B264" s="5" t="s">
        <v>198</v>
      </c>
      <c r="C264" s="34">
        <f>STATOR_RESISTANCE</f>
        <v>2.8</v>
      </c>
      <c r="D264" s="5"/>
      <c r="E264" s="5"/>
      <c r="F264" s="5"/>
      <c r="G264" t="s">
        <v>697</v>
      </c>
    </row>
    <row r="265" spans="1:7" x14ac:dyDescent="0.25">
      <c r="A265" s="4" t="s">
        <v>411</v>
      </c>
      <c r="B265" s="5" t="s">
        <v>205</v>
      </c>
      <c r="C265" s="34">
        <v>3</v>
      </c>
      <c r="D265" s="5"/>
      <c r="E265" s="5"/>
      <c r="F265" s="5"/>
      <c r="G265" t="s">
        <v>697</v>
      </c>
    </row>
    <row r="266" spans="1:7" x14ac:dyDescent="0.25">
      <c r="A266" s="4" t="s">
        <v>412</v>
      </c>
      <c r="B266" s="5" t="s">
        <v>205</v>
      </c>
      <c r="C266" s="34">
        <v>3.5</v>
      </c>
      <c r="D266" s="5"/>
      <c r="E266" s="5"/>
      <c r="F266" s="5"/>
      <c r="G266" t="s">
        <v>697</v>
      </c>
    </row>
    <row r="267" spans="1:7" x14ac:dyDescent="0.25">
      <c r="A267" s="4" t="s">
        <v>413</v>
      </c>
      <c r="B267" s="5" t="s">
        <v>200</v>
      </c>
      <c r="C267" s="34">
        <v>0.3</v>
      </c>
      <c r="D267" s="5"/>
      <c r="E267" s="5"/>
      <c r="F267" s="5"/>
      <c r="G267" t="s">
        <v>697</v>
      </c>
    </row>
    <row r="268" spans="1:7" x14ac:dyDescent="0.25">
      <c r="A268" s="4" t="s">
        <v>438</v>
      </c>
      <c r="B268" s="5" t="s">
        <v>205</v>
      </c>
      <c r="C268" s="34">
        <v>4</v>
      </c>
      <c r="D268" s="5"/>
      <c r="E268" s="5"/>
      <c r="F268" s="5"/>
      <c r="G268" t="s">
        <v>697</v>
      </c>
    </row>
    <row r="269" spans="1:7" x14ac:dyDescent="0.25">
      <c r="A269" s="4" t="s">
        <v>439</v>
      </c>
      <c r="B269" s="5" t="s">
        <v>205</v>
      </c>
      <c r="C269" s="34">
        <f>1/1000</f>
        <v>1E-3</v>
      </c>
      <c r="D269" s="5"/>
      <c r="E269" s="5"/>
      <c r="F269" s="5"/>
      <c r="G269" t="s">
        <v>697</v>
      </c>
    </row>
    <row r="270" spans="1:7" x14ac:dyDescent="0.25">
      <c r="A270" s="4" t="s">
        <v>440</v>
      </c>
      <c r="B270" s="5" t="s">
        <v>205</v>
      </c>
      <c r="C270" s="35">
        <f>OBSERVER_TS</f>
        <v>1.25E-4</v>
      </c>
      <c r="D270" s="5"/>
      <c r="E270" s="5"/>
      <c r="F270" s="5"/>
      <c r="G270" t="s">
        <v>697</v>
      </c>
    </row>
    <row r="271" spans="1:7" x14ac:dyDescent="0.25">
      <c r="A271" s="4"/>
      <c r="B271" s="5"/>
      <c r="C271" s="8"/>
      <c r="D271" s="5"/>
      <c r="E271" s="5"/>
      <c r="F271" s="5"/>
      <c r="G271" t="s">
        <v>697</v>
      </c>
    </row>
    <row r="272" spans="1:7" x14ac:dyDescent="0.25">
      <c r="A272" s="4" t="s">
        <v>452</v>
      </c>
      <c r="B272" s="5" t="s">
        <v>200</v>
      </c>
      <c r="C272" s="8">
        <f>150*11.4</f>
        <v>1710</v>
      </c>
      <c r="D272" s="5"/>
      <c r="E272" s="5"/>
      <c r="F272" s="5"/>
      <c r="G272" t="s">
        <v>697</v>
      </c>
    </row>
    <row r="273" spans="1:7" x14ac:dyDescent="0.25">
      <c r="A273" s="4" t="s">
        <v>453</v>
      </c>
      <c r="B273" s="5" t="s">
        <v>455</v>
      </c>
      <c r="C273" s="8">
        <v>1</v>
      </c>
      <c r="D273" s="5"/>
      <c r="E273" s="5"/>
      <c r="F273" s="5"/>
      <c r="G273" t="s">
        <v>697</v>
      </c>
    </row>
    <row r="274" spans="1:7" x14ac:dyDescent="0.25">
      <c r="A274" s="4" t="s">
        <v>454</v>
      </c>
      <c r="B274" s="5" t="s">
        <v>69</v>
      </c>
      <c r="C274" s="8">
        <v>3</v>
      </c>
      <c r="D274" s="5"/>
      <c r="E274" s="5"/>
      <c r="F274" s="5"/>
      <c r="G274" t="s">
        <v>697</v>
      </c>
    </row>
    <row r="275" spans="1:7" x14ac:dyDescent="0.25">
      <c r="A275" s="4" t="s">
        <v>456</v>
      </c>
      <c r="B275" s="5" t="s">
        <v>455</v>
      </c>
      <c r="C275" s="8">
        <v>5</v>
      </c>
      <c r="D275" s="5"/>
      <c r="E275" s="5"/>
      <c r="F275" s="5"/>
      <c r="G275" t="s">
        <v>697</v>
      </c>
    </row>
    <row r="276" spans="1:7" x14ac:dyDescent="0.25">
      <c r="A276" s="4" t="s">
        <v>457</v>
      </c>
      <c r="B276" s="5" t="s">
        <v>69</v>
      </c>
      <c r="C276" s="100">
        <v>3</v>
      </c>
      <c r="D276" s="5"/>
      <c r="E276" s="5"/>
      <c r="F276" s="5"/>
      <c r="G276" t="s">
        <v>697</v>
      </c>
    </row>
    <row r="277" spans="1:7" x14ac:dyDescent="0.25">
      <c r="A277" s="4"/>
      <c r="B277" s="5"/>
      <c r="C277" s="8"/>
      <c r="D277" s="5"/>
      <c r="E277" s="5"/>
      <c r="F277" s="5"/>
      <c r="G277" t="s">
        <v>697</v>
      </c>
    </row>
    <row r="278" spans="1:7" x14ac:dyDescent="0.25">
      <c r="A278" s="4" t="s">
        <v>441</v>
      </c>
      <c r="B278" s="5" t="s">
        <v>198</v>
      </c>
      <c r="C278" s="8">
        <f>2.8</f>
        <v>2.8</v>
      </c>
      <c r="D278" s="5"/>
      <c r="E278" s="5"/>
      <c r="F278" s="5"/>
      <c r="G278" t="s">
        <v>697</v>
      </c>
    </row>
    <row r="279" spans="1:7" x14ac:dyDescent="0.25">
      <c r="A279" s="4" t="s">
        <v>414</v>
      </c>
      <c r="B279" s="5" t="s">
        <v>415</v>
      </c>
      <c r="C279" s="8">
        <v>232.1</v>
      </c>
      <c r="D279" s="5"/>
      <c r="E279" s="5"/>
      <c r="F279" s="5"/>
      <c r="G279" t="s">
        <v>697</v>
      </c>
    </row>
    <row r="280" spans="1:7" s="70" customFormat="1" x14ac:dyDescent="0.25">
      <c r="A280" s="4" t="s">
        <v>417</v>
      </c>
      <c r="B280" s="5" t="s">
        <v>415</v>
      </c>
      <c r="C280" s="8">
        <v>25</v>
      </c>
      <c r="D280" s="5"/>
      <c r="E280" s="5"/>
      <c r="F280" s="5"/>
      <c r="G280" t="s">
        <v>697</v>
      </c>
    </row>
    <row r="281" spans="1:7" x14ac:dyDescent="0.25">
      <c r="A281" s="4" t="s">
        <v>416</v>
      </c>
      <c r="B281" s="5" t="s">
        <v>418</v>
      </c>
      <c r="C281" s="8">
        <v>250</v>
      </c>
      <c r="D281" s="5"/>
      <c r="E281" s="5"/>
      <c r="F281" s="5"/>
      <c r="G281" t="s">
        <v>697</v>
      </c>
    </row>
    <row r="282" spans="1:7" x14ac:dyDescent="0.25">
      <c r="A282" s="61" t="s">
        <v>723</v>
      </c>
      <c r="B282" s="62" t="s">
        <v>69</v>
      </c>
      <c r="C282" s="6">
        <v>10</v>
      </c>
      <c r="D282" s="62"/>
      <c r="E282" s="62"/>
      <c r="F282" s="62"/>
      <c r="G282" s="70" t="s">
        <v>697</v>
      </c>
    </row>
    <row r="283" spans="1:7" x14ac:dyDescent="0.25">
      <c r="A283" s="4"/>
      <c r="B283" s="5"/>
      <c r="C283" s="8"/>
      <c r="D283" s="5"/>
      <c r="E283" s="5"/>
      <c r="F283" s="5"/>
    </row>
    <row r="284" spans="1:7" ht="17.25" x14ac:dyDescent="0.3">
      <c r="A284" s="107" t="s">
        <v>714</v>
      </c>
      <c r="B284" s="107"/>
      <c r="C284" s="107"/>
      <c r="D284" s="107"/>
      <c r="E284" s="107"/>
      <c r="F284" s="107"/>
    </row>
    <row r="285" spans="1:7" x14ac:dyDescent="0.25">
      <c r="A285" s="3" t="s">
        <v>0</v>
      </c>
      <c r="B285" s="3" t="s">
        <v>1</v>
      </c>
      <c r="C285" s="3" t="s">
        <v>2</v>
      </c>
      <c r="D285" s="3" t="s">
        <v>4</v>
      </c>
      <c r="E285" s="3" t="s">
        <v>3</v>
      </c>
      <c r="F285" s="3" t="s">
        <v>21</v>
      </c>
    </row>
    <row r="286" spans="1:7" x14ac:dyDescent="0.25">
      <c r="A286" s="61" t="s">
        <v>715</v>
      </c>
      <c r="B286" s="62" t="s">
        <v>717</v>
      </c>
      <c r="C286" s="63">
        <v>75</v>
      </c>
      <c r="D286" s="5"/>
      <c r="E286" s="5"/>
      <c r="F286" s="5"/>
    </row>
    <row r="287" spans="1:7" x14ac:dyDescent="0.25">
      <c r="A287" s="61" t="s">
        <v>716</v>
      </c>
      <c r="B287" s="62" t="s">
        <v>200</v>
      </c>
      <c r="C287" s="6">
        <v>15</v>
      </c>
      <c r="D287" s="5"/>
      <c r="E287" s="5"/>
      <c r="F287" s="5"/>
    </row>
    <row r="288" spans="1:7" x14ac:dyDescent="0.25">
      <c r="A288" s="4"/>
      <c r="B288" s="5"/>
      <c r="C288" s="6"/>
      <c r="D288" s="5"/>
      <c r="E288" s="5"/>
      <c r="F288" s="5"/>
    </row>
    <row r="289" spans="1:6" x14ac:dyDescent="0.25">
      <c r="A289" s="76"/>
      <c r="B289" s="76"/>
      <c r="C289" s="76"/>
      <c r="D289" s="76"/>
      <c r="E289" s="76"/>
      <c r="F289" s="76"/>
    </row>
  </sheetData>
  <mergeCells count="16">
    <mergeCell ref="A219:F219"/>
    <mergeCell ref="A231:F231"/>
    <mergeCell ref="A242:F242"/>
    <mergeCell ref="A250:F250"/>
    <mergeCell ref="A284:F284"/>
    <mergeCell ref="A223:F223"/>
    <mergeCell ref="A1:F1"/>
    <mergeCell ref="A42:F42"/>
    <mergeCell ref="A143:F143"/>
    <mergeCell ref="A174:F174"/>
    <mergeCell ref="A194:F194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7"/>
  <sheetViews>
    <sheetView zoomScale="115" zoomScaleNormal="115" workbookViewId="0">
      <selection activeCell="E115" sqref="E115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7" t="s">
        <v>756</v>
      </c>
      <c r="B1" s="107"/>
      <c r="C1" s="107"/>
      <c r="D1" s="107"/>
      <c r="E1" s="107"/>
      <c r="F1" s="107"/>
    </row>
    <row r="2" spans="1:6" x14ac:dyDescent="0.25">
      <c r="A2" s="74" t="s">
        <v>0</v>
      </c>
      <c r="B2" s="74" t="s">
        <v>1</v>
      </c>
      <c r="C2" s="74" t="s">
        <v>2</v>
      </c>
      <c r="D2" s="74" t="s">
        <v>4</v>
      </c>
      <c r="E2" s="74" t="s">
        <v>3</v>
      </c>
      <c r="F2" s="74" t="s">
        <v>21</v>
      </c>
    </row>
    <row r="3" spans="1:6" s="101" customFormat="1" x14ac:dyDescent="0.25">
      <c r="A3" s="88" t="s">
        <v>1093</v>
      </c>
      <c r="B3" s="89"/>
      <c r="C3" s="90">
        <v>25</v>
      </c>
      <c r="D3" s="76"/>
      <c r="E3" s="76"/>
      <c r="F3" s="76">
        <v>0</v>
      </c>
    </row>
    <row r="4" spans="1:6" x14ac:dyDescent="0.25">
      <c r="A4" s="88" t="s">
        <v>757</v>
      </c>
      <c r="B4" s="89" t="s">
        <v>214</v>
      </c>
      <c r="C4" s="105">
        <v>8.4136962890625001E-4</v>
      </c>
      <c r="D4" s="76"/>
      <c r="E4" s="76"/>
      <c r="F4" s="76"/>
    </row>
    <row r="5" spans="1:6" x14ac:dyDescent="0.25">
      <c r="A5" s="88" t="s">
        <v>758</v>
      </c>
      <c r="B5" s="89" t="s">
        <v>214</v>
      </c>
      <c r="C5" s="105">
        <v>0.14639831542968701</v>
      </c>
      <c r="D5" s="76"/>
      <c r="E5" s="76"/>
      <c r="F5" s="76"/>
    </row>
    <row r="6" spans="1:6" x14ac:dyDescent="0.25">
      <c r="A6" s="88" t="s">
        <v>759</v>
      </c>
      <c r="B6" s="89" t="s">
        <v>214</v>
      </c>
      <c r="C6" s="105">
        <v>0.291955261230468</v>
      </c>
      <c r="D6" s="76"/>
      <c r="E6" s="76"/>
      <c r="F6" s="76"/>
    </row>
    <row r="7" spans="1:6" x14ac:dyDescent="0.25">
      <c r="A7" s="88" t="s">
        <v>760</v>
      </c>
      <c r="B7" s="89" t="s">
        <v>214</v>
      </c>
      <c r="C7" s="105">
        <v>0.43751220703124999</v>
      </c>
      <c r="D7" s="76"/>
      <c r="E7" s="76"/>
      <c r="F7" s="76"/>
    </row>
    <row r="8" spans="1:6" x14ac:dyDescent="0.25">
      <c r="A8" s="88" t="s">
        <v>761</v>
      </c>
      <c r="B8" s="89" t="s">
        <v>214</v>
      </c>
      <c r="C8" s="105">
        <v>0.58306915283203098</v>
      </c>
      <c r="D8" s="76"/>
      <c r="E8" s="76"/>
      <c r="F8" s="76"/>
    </row>
    <row r="9" spans="1:6" x14ac:dyDescent="0.25">
      <c r="A9" s="88" t="s">
        <v>762</v>
      </c>
      <c r="B9" s="89" t="s">
        <v>214</v>
      </c>
      <c r="C9" s="105">
        <v>0.72862609863281202</v>
      </c>
      <c r="D9" s="76"/>
      <c r="E9" s="76"/>
      <c r="F9" s="76"/>
    </row>
    <row r="10" spans="1:6" x14ac:dyDescent="0.25">
      <c r="A10" s="88" t="s">
        <v>763</v>
      </c>
      <c r="B10" s="89" t="s">
        <v>214</v>
      </c>
      <c r="C10" s="105">
        <v>0.87418304443359296</v>
      </c>
      <c r="D10" s="76"/>
      <c r="E10" s="76"/>
      <c r="F10" s="76"/>
    </row>
    <row r="11" spans="1:6" x14ac:dyDescent="0.25">
      <c r="A11" s="88" t="s">
        <v>764</v>
      </c>
      <c r="B11" s="89" t="s">
        <v>214</v>
      </c>
      <c r="C11" s="105">
        <v>1.01973999023437</v>
      </c>
      <c r="D11" s="76"/>
      <c r="E11" s="76"/>
      <c r="F11" s="76"/>
    </row>
    <row r="12" spans="1:6" x14ac:dyDescent="0.25">
      <c r="A12" s="88" t="s">
        <v>765</v>
      </c>
      <c r="B12" s="89" t="s">
        <v>214</v>
      </c>
      <c r="C12" s="105">
        <v>1.1652969360351499</v>
      </c>
      <c r="D12" s="76"/>
      <c r="E12" s="76"/>
      <c r="F12" s="76"/>
    </row>
    <row r="13" spans="1:6" x14ac:dyDescent="0.25">
      <c r="A13" s="88" t="s">
        <v>766</v>
      </c>
      <c r="B13" s="89" t="s">
        <v>214</v>
      </c>
      <c r="C13" s="105">
        <v>1.3108538818359301</v>
      </c>
      <c r="D13" s="76"/>
      <c r="E13" s="76"/>
      <c r="F13" s="76"/>
    </row>
    <row r="14" spans="1:6" x14ac:dyDescent="0.25">
      <c r="A14" s="88" t="s">
        <v>767</v>
      </c>
      <c r="B14" s="89" t="s">
        <v>214</v>
      </c>
      <c r="C14" s="105">
        <v>1.45641082763671</v>
      </c>
      <c r="D14" s="76"/>
      <c r="E14" s="76"/>
      <c r="F14" s="76"/>
    </row>
    <row r="15" spans="1:6" x14ac:dyDescent="0.25">
      <c r="A15" s="88" t="s">
        <v>768</v>
      </c>
      <c r="B15" s="89" t="s">
        <v>214</v>
      </c>
      <c r="C15" s="105">
        <v>1.6019677734375</v>
      </c>
      <c r="D15" s="76"/>
      <c r="E15" s="76"/>
      <c r="F15" s="76"/>
    </row>
    <row r="16" spans="1:6" x14ac:dyDescent="0.25">
      <c r="A16" s="88" t="s">
        <v>769</v>
      </c>
      <c r="B16" s="89" t="s">
        <v>214</v>
      </c>
      <c r="C16" s="105">
        <v>1.7475247192382799</v>
      </c>
      <c r="D16" s="76"/>
      <c r="E16" s="76"/>
      <c r="F16" s="76"/>
    </row>
    <row r="17" spans="1:6" x14ac:dyDescent="0.25">
      <c r="A17" s="88" t="s">
        <v>770</v>
      </c>
      <c r="B17" s="89" t="s">
        <v>214</v>
      </c>
      <c r="C17" s="105">
        <v>1.8930816650390601</v>
      </c>
      <c r="D17" s="76"/>
      <c r="E17" s="76"/>
      <c r="F17" s="76"/>
    </row>
    <row r="18" spans="1:6" x14ac:dyDescent="0.25">
      <c r="A18" s="88" t="s">
        <v>771</v>
      </c>
      <c r="B18" s="89" t="s">
        <v>214</v>
      </c>
      <c r="C18" s="105">
        <v>2.0386386108398402</v>
      </c>
      <c r="D18" s="76"/>
      <c r="E18" s="76"/>
      <c r="F18" s="76"/>
    </row>
    <row r="19" spans="1:6" x14ac:dyDescent="0.25">
      <c r="A19" s="88" t="s">
        <v>772</v>
      </c>
      <c r="B19" s="89" t="s">
        <v>214</v>
      </c>
      <c r="C19" s="105">
        <v>2.1841955566406202</v>
      </c>
      <c r="D19" s="76"/>
      <c r="E19" s="76"/>
      <c r="F19" s="76"/>
    </row>
    <row r="20" spans="1:6" x14ac:dyDescent="0.25">
      <c r="A20" s="88" t="s">
        <v>773</v>
      </c>
      <c r="B20" s="89" t="s">
        <v>214</v>
      </c>
      <c r="C20" s="105">
        <v>2.3297525024414001</v>
      </c>
      <c r="D20" s="76"/>
      <c r="E20" s="76"/>
      <c r="F20" s="76"/>
    </row>
    <row r="21" spans="1:6" x14ac:dyDescent="0.25">
      <c r="A21" s="88" t="s">
        <v>774</v>
      </c>
      <c r="B21" s="89" t="s">
        <v>214</v>
      </c>
      <c r="C21" s="105">
        <v>2.47530944824218</v>
      </c>
      <c r="D21" s="76"/>
      <c r="E21" s="76"/>
      <c r="F21" s="76"/>
    </row>
    <row r="22" spans="1:6" x14ac:dyDescent="0.25">
      <c r="A22" s="88" t="s">
        <v>775</v>
      </c>
      <c r="B22" s="89" t="s">
        <v>214</v>
      </c>
      <c r="C22" s="105">
        <v>2.62086639404296</v>
      </c>
      <c r="D22" s="76"/>
      <c r="E22" s="76"/>
      <c r="F22" s="76"/>
    </row>
    <row r="23" spans="1:6" x14ac:dyDescent="0.25">
      <c r="A23" s="88" t="s">
        <v>776</v>
      </c>
      <c r="B23" s="89" t="s">
        <v>214</v>
      </c>
      <c r="C23" s="105">
        <v>2.7664233398437501</v>
      </c>
      <c r="D23" s="76"/>
      <c r="E23" s="76"/>
      <c r="F23" s="76"/>
    </row>
    <row r="24" spans="1:6" x14ac:dyDescent="0.25">
      <c r="A24" s="88" t="s">
        <v>777</v>
      </c>
      <c r="B24" s="89" t="s">
        <v>214</v>
      </c>
      <c r="C24" s="105">
        <v>2.91198028564453</v>
      </c>
      <c r="D24" s="76"/>
      <c r="E24" s="76"/>
      <c r="F24" s="76"/>
    </row>
    <row r="25" spans="1:6" x14ac:dyDescent="0.25">
      <c r="A25" s="88" t="s">
        <v>778</v>
      </c>
      <c r="B25" s="89" t="s">
        <v>214</v>
      </c>
      <c r="C25" s="105">
        <v>3.05753723144531</v>
      </c>
      <c r="D25" s="76"/>
      <c r="E25" s="76"/>
      <c r="F25" s="76"/>
    </row>
    <row r="26" spans="1:6" x14ac:dyDescent="0.25">
      <c r="A26" s="88" t="s">
        <v>779</v>
      </c>
      <c r="B26" s="89" t="s">
        <v>214</v>
      </c>
      <c r="C26" s="105">
        <v>3.2030941772460899</v>
      </c>
      <c r="D26" s="76"/>
      <c r="E26" s="76"/>
      <c r="F26" s="76"/>
    </row>
    <row r="27" spans="1:6" x14ac:dyDescent="0.25">
      <c r="A27" s="88" t="s">
        <v>780</v>
      </c>
      <c r="B27" s="89" t="s">
        <v>214</v>
      </c>
      <c r="C27" s="105">
        <v>3.3486511230468698</v>
      </c>
      <c r="D27" s="76"/>
      <c r="E27" s="76"/>
      <c r="F27" s="76"/>
    </row>
    <row r="28" spans="1:6" x14ac:dyDescent="0.25">
      <c r="A28" s="88" t="s">
        <v>781</v>
      </c>
      <c r="B28" s="89" t="s">
        <v>214</v>
      </c>
      <c r="C28" s="105">
        <v>3.3486511230468698</v>
      </c>
      <c r="D28" s="76"/>
      <c r="E28" s="76"/>
      <c r="F28" s="76"/>
    </row>
    <row r="29" spans="1:6" x14ac:dyDescent="0.25">
      <c r="A29" s="103" t="s">
        <v>782</v>
      </c>
      <c r="B29" s="89" t="s">
        <v>237</v>
      </c>
      <c r="C29" s="104">
        <v>8.9200000000000002E-2</v>
      </c>
      <c r="D29" s="76"/>
      <c r="E29" s="76"/>
      <c r="F29" s="76"/>
    </row>
    <row r="30" spans="1:6" x14ac:dyDescent="0.25">
      <c r="A30" s="103" t="s">
        <v>783</v>
      </c>
      <c r="B30" s="89" t="s">
        <v>237</v>
      </c>
      <c r="C30" s="104">
        <v>8.9429876672868794E-2</v>
      </c>
      <c r="D30" s="76"/>
      <c r="E30" s="76"/>
      <c r="F30" s="76"/>
    </row>
    <row r="31" spans="1:6" x14ac:dyDescent="0.25">
      <c r="A31" s="103" t="s">
        <v>784</v>
      </c>
      <c r="B31" s="89" t="s">
        <v>237</v>
      </c>
      <c r="C31" s="104">
        <v>9.0060222666362294E-2</v>
      </c>
      <c r="D31" s="76"/>
      <c r="E31" s="76"/>
      <c r="F31" s="76"/>
    </row>
    <row r="32" spans="1:6" x14ac:dyDescent="0.25">
      <c r="A32" s="103" t="s">
        <v>785</v>
      </c>
      <c r="B32" s="89" t="s">
        <v>237</v>
      </c>
      <c r="C32" s="104">
        <v>9.1071705979567305E-2</v>
      </c>
      <c r="D32" s="76"/>
      <c r="E32" s="76"/>
      <c r="F32" s="76"/>
    </row>
    <row r="33" spans="1:6" x14ac:dyDescent="0.25">
      <c r="A33" s="103" t="s">
        <v>786</v>
      </c>
      <c r="B33" s="89" t="s">
        <v>237</v>
      </c>
      <c r="C33" s="104">
        <v>9.2483658613396802E-2</v>
      </c>
      <c r="D33" s="76"/>
      <c r="E33" s="76"/>
      <c r="F33" s="76"/>
    </row>
    <row r="34" spans="1:6" x14ac:dyDescent="0.25">
      <c r="A34" s="103" t="s">
        <v>787</v>
      </c>
      <c r="B34" s="89" t="s">
        <v>237</v>
      </c>
      <c r="C34" s="104">
        <v>9.4305617682982998E-2</v>
      </c>
      <c r="D34" s="76"/>
      <c r="E34" s="76"/>
      <c r="F34" s="76"/>
    </row>
    <row r="35" spans="1:6" x14ac:dyDescent="0.25">
      <c r="A35" s="103" t="s">
        <v>788</v>
      </c>
      <c r="B35" s="89" t="s">
        <v>237</v>
      </c>
      <c r="C35" s="104">
        <v>9.6491414989945401E-2</v>
      </c>
      <c r="D35" s="76"/>
      <c r="E35" s="76"/>
      <c r="F35" s="76"/>
    </row>
    <row r="36" spans="1:6" x14ac:dyDescent="0.25">
      <c r="A36" s="103" t="s">
        <v>789</v>
      </c>
      <c r="B36" s="89" t="s">
        <v>237</v>
      </c>
      <c r="C36" s="104">
        <v>9.8973490950906004E-2</v>
      </c>
      <c r="D36" s="76"/>
      <c r="E36" s="76"/>
      <c r="F36" s="76"/>
    </row>
    <row r="37" spans="1:6" x14ac:dyDescent="0.25">
      <c r="A37" s="103" t="s">
        <v>790</v>
      </c>
      <c r="B37" s="89" t="s">
        <v>237</v>
      </c>
      <c r="C37" s="104">
        <v>0.10169816139717699</v>
      </c>
      <c r="D37" s="76"/>
      <c r="E37" s="76"/>
      <c r="F37" s="76"/>
    </row>
    <row r="38" spans="1:6" x14ac:dyDescent="0.25">
      <c r="A38" s="103" t="s">
        <v>791</v>
      </c>
      <c r="B38" s="89" t="s">
        <v>237</v>
      </c>
      <c r="C38" s="104">
        <v>0.104710583351631</v>
      </c>
      <c r="D38" s="76"/>
      <c r="E38" s="76"/>
      <c r="F38" s="76"/>
    </row>
    <row r="39" spans="1:6" x14ac:dyDescent="0.25">
      <c r="A39" s="103" t="s">
        <v>792</v>
      </c>
      <c r="B39" s="89" t="s">
        <v>237</v>
      </c>
      <c r="C39" s="104">
        <v>0.107926291778383</v>
      </c>
      <c r="D39" s="76"/>
      <c r="E39" s="76"/>
      <c r="F39" s="76"/>
    </row>
    <row r="40" spans="1:6" x14ac:dyDescent="0.25">
      <c r="A40" s="103" t="s">
        <v>793</v>
      </c>
      <c r="B40" s="89" t="s">
        <v>237</v>
      </c>
      <c r="C40" s="104">
        <v>0.111269059726331</v>
      </c>
      <c r="D40" s="76"/>
      <c r="E40" s="76"/>
      <c r="F40" s="76"/>
    </row>
    <row r="41" spans="1:6" x14ac:dyDescent="0.25">
      <c r="A41" s="103" t="s">
        <v>794</v>
      </c>
      <c r="B41" s="89" t="s">
        <v>237</v>
      </c>
      <c r="C41" s="104">
        <v>0.114875806133563</v>
      </c>
      <c r="D41" s="76"/>
      <c r="E41" s="76"/>
      <c r="F41" s="76"/>
    </row>
    <row r="42" spans="1:6" x14ac:dyDescent="0.25">
      <c r="A42" s="103" t="s">
        <v>795</v>
      </c>
      <c r="B42" s="89" t="s">
        <v>237</v>
      </c>
      <c r="C42" s="104">
        <v>0.118549070753249</v>
      </c>
      <c r="D42" s="76"/>
      <c r="E42" s="76"/>
      <c r="F42" s="76"/>
    </row>
    <row r="43" spans="1:6" x14ac:dyDescent="0.25">
      <c r="A43" s="103" t="s">
        <v>796</v>
      </c>
      <c r="B43" s="89" t="s">
        <v>237</v>
      </c>
      <c r="C43" s="104">
        <v>0.122346704462717</v>
      </c>
      <c r="D43" s="76"/>
      <c r="E43" s="76"/>
      <c r="F43" s="76"/>
    </row>
    <row r="44" spans="1:6" x14ac:dyDescent="0.25">
      <c r="A44" s="103" t="s">
        <v>797</v>
      </c>
      <c r="B44" s="89" t="s">
        <v>237</v>
      </c>
      <c r="C44" s="104">
        <v>0.126296342211698</v>
      </c>
      <c r="D44" s="76"/>
      <c r="E44" s="76"/>
      <c r="F44" s="76"/>
    </row>
    <row r="45" spans="1:6" x14ac:dyDescent="0.25">
      <c r="A45" s="103" t="s">
        <v>798</v>
      </c>
      <c r="B45" s="89" t="s">
        <v>237</v>
      </c>
      <c r="C45" s="104">
        <v>0.13035658291246699</v>
      </c>
      <c r="D45" s="76"/>
      <c r="E45" s="76"/>
      <c r="F45" s="76"/>
    </row>
    <row r="46" spans="1:6" x14ac:dyDescent="0.25">
      <c r="A46" s="103" t="s">
        <v>799</v>
      </c>
      <c r="B46" s="89" t="s">
        <v>237</v>
      </c>
      <c r="C46" s="104">
        <v>0.134560042847402</v>
      </c>
      <c r="D46" s="76"/>
      <c r="E46" s="76"/>
      <c r="F46" s="76"/>
    </row>
    <row r="47" spans="1:6" x14ac:dyDescent="0.25">
      <c r="A47" s="103" t="s">
        <v>800</v>
      </c>
      <c r="B47" s="89" t="s">
        <v>237</v>
      </c>
      <c r="C47" s="104">
        <v>0.13880985306057</v>
      </c>
      <c r="D47" s="76"/>
      <c r="E47" s="76"/>
      <c r="F47" s="76"/>
    </row>
    <row r="48" spans="1:6" x14ac:dyDescent="0.25">
      <c r="A48" s="103" t="s">
        <v>801</v>
      </c>
      <c r="B48" s="89" t="s">
        <v>237</v>
      </c>
      <c r="C48" s="104">
        <v>0.14324365898899699</v>
      </c>
      <c r="D48" s="76"/>
      <c r="E48" s="76"/>
      <c r="F48" s="76"/>
    </row>
    <row r="49" spans="1:6" x14ac:dyDescent="0.25">
      <c r="A49" s="103" t="s">
        <v>802</v>
      </c>
      <c r="B49" s="89" t="s">
        <v>237</v>
      </c>
      <c r="C49" s="104">
        <v>0.147770422652205</v>
      </c>
      <c r="D49" s="76"/>
      <c r="E49" s="76"/>
      <c r="F49" s="76"/>
    </row>
    <row r="50" spans="1:6" x14ac:dyDescent="0.25">
      <c r="A50" s="103" t="s">
        <v>803</v>
      </c>
      <c r="B50" s="89" t="s">
        <v>237</v>
      </c>
      <c r="C50" s="104">
        <v>0.15241127084585299</v>
      </c>
      <c r="D50" s="76"/>
      <c r="E50" s="76"/>
      <c r="F50" s="76"/>
    </row>
    <row r="51" spans="1:6" x14ac:dyDescent="0.25">
      <c r="A51" s="103" t="s">
        <v>804</v>
      </c>
      <c r="B51" s="89" t="s">
        <v>237</v>
      </c>
      <c r="C51" s="104">
        <v>0.157145076774281</v>
      </c>
      <c r="D51" s="76"/>
      <c r="E51" s="76"/>
      <c r="F51" s="76"/>
    </row>
    <row r="52" spans="1:6" x14ac:dyDescent="0.25">
      <c r="A52" s="103" t="s">
        <v>805</v>
      </c>
      <c r="B52" s="89" t="s">
        <v>237</v>
      </c>
      <c r="C52" s="104">
        <v>0.161878944995621</v>
      </c>
      <c r="D52" s="76"/>
      <c r="E52" s="76"/>
      <c r="F52" s="76"/>
    </row>
    <row r="53" spans="1:6" x14ac:dyDescent="0.25">
      <c r="A53" s="103" t="s">
        <v>806</v>
      </c>
      <c r="B53" s="89" t="s">
        <v>237</v>
      </c>
      <c r="C53" s="104">
        <v>0.161878944995621</v>
      </c>
      <c r="D53" s="76"/>
      <c r="E53" s="76"/>
      <c r="F53" s="76"/>
    </row>
    <row r="54" spans="1:6" s="101" customFormat="1" x14ac:dyDescent="0.25">
      <c r="A54" s="103"/>
      <c r="B54" s="89"/>
      <c r="C54" s="104"/>
      <c r="D54" s="76"/>
      <c r="E54" s="76"/>
      <c r="F54" s="76"/>
    </row>
    <row r="55" spans="1:6" ht="17.25" x14ac:dyDescent="0.3">
      <c r="A55" s="107" t="s">
        <v>907</v>
      </c>
      <c r="B55" s="107"/>
      <c r="C55" s="107"/>
      <c r="D55" s="107"/>
      <c r="E55" s="107"/>
      <c r="F55" s="107"/>
    </row>
    <row r="56" spans="1:6" x14ac:dyDescent="0.25">
      <c r="A56" s="74" t="s">
        <v>0</v>
      </c>
      <c r="B56" s="74" t="s">
        <v>1</v>
      </c>
      <c r="C56" s="74" t="s">
        <v>2</v>
      </c>
      <c r="D56" s="74" t="s">
        <v>4</v>
      </c>
      <c r="E56" s="74" t="s">
        <v>3</v>
      </c>
      <c r="F56" s="74" t="s">
        <v>21</v>
      </c>
    </row>
    <row r="57" spans="1:6" s="101" customFormat="1" x14ac:dyDescent="0.25">
      <c r="A57" s="88" t="s">
        <v>1094</v>
      </c>
      <c r="B57" s="89"/>
      <c r="C57" s="90">
        <v>25</v>
      </c>
      <c r="D57" s="76"/>
      <c r="E57" s="76"/>
      <c r="F57" s="76"/>
    </row>
    <row r="58" spans="1:6" x14ac:dyDescent="0.25">
      <c r="A58" s="88" t="s">
        <v>933</v>
      </c>
      <c r="B58" s="89" t="s">
        <v>237</v>
      </c>
      <c r="C58" s="53">
        <v>2.0601806640625001E-2</v>
      </c>
      <c r="D58" s="76"/>
      <c r="E58" s="76"/>
      <c r="F58" s="76"/>
    </row>
    <row r="59" spans="1:6" x14ac:dyDescent="0.25">
      <c r="A59" s="88" t="s">
        <v>934</v>
      </c>
      <c r="B59" s="89" t="s">
        <v>237</v>
      </c>
      <c r="C59" s="53">
        <v>2.6215820312499999E-2</v>
      </c>
      <c r="D59" s="76"/>
      <c r="E59" s="76"/>
      <c r="F59" s="76"/>
    </row>
    <row r="60" spans="1:6" x14ac:dyDescent="0.25">
      <c r="A60" s="88" t="s">
        <v>935</v>
      </c>
      <c r="B60" s="89" t="s">
        <v>237</v>
      </c>
      <c r="C60" s="53">
        <v>3.1829833984375E-2</v>
      </c>
      <c r="D60" s="76"/>
      <c r="E60" s="76"/>
      <c r="F60" s="76"/>
    </row>
    <row r="61" spans="1:6" x14ac:dyDescent="0.25">
      <c r="A61" s="88" t="s">
        <v>936</v>
      </c>
      <c r="B61" s="89" t="s">
        <v>237</v>
      </c>
      <c r="C61" s="53">
        <v>3.7443847656250001E-2</v>
      </c>
      <c r="D61" s="76"/>
      <c r="E61" s="76"/>
      <c r="F61" s="76"/>
    </row>
    <row r="62" spans="1:6" x14ac:dyDescent="0.25">
      <c r="A62" s="88" t="s">
        <v>937</v>
      </c>
      <c r="B62" s="89" t="s">
        <v>237</v>
      </c>
      <c r="C62" s="53">
        <v>4.3057861328125002E-2</v>
      </c>
      <c r="D62" s="76"/>
      <c r="E62" s="76"/>
      <c r="F62" s="76"/>
    </row>
    <row r="63" spans="1:6" x14ac:dyDescent="0.25">
      <c r="A63" s="88" t="s">
        <v>938</v>
      </c>
      <c r="B63" s="89" t="s">
        <v>237</v>
      </c>
      <c r="C63" s="53">
        <v>4.8671875000000003E-2</v>
      </c>
      <c r="D63" s="76"/>
      <c r="E63" s="76"/>
      <c r="F63" s="76"/>
    </row>
    <row r="64" spans="1:6" x14ac:dyDescent="0.25">
      <c r="A64" s="88" t="s">
        <v>939</v>
      </c>
      <c r="B64" s="89" t="s">
        <v>237</v>
      </c>
      <c r="C64" s="53">
        <v>5.4285888671874998E-2</v>
      </c>
      <c r="D64" s="76"/>
      <c r="E64" s="76"/>
      <c r="F64" s="76"/>
    </row>
    <row r="65" spans="1:6" x14ac:dyDescent="0.25">
      <c r="A65" s="88" t="s">
        <v>940</v>
      </c>
      <c r="B65" s="89" t="s">
        <v>237</v>
      </c>
      <c r="C65" s="53">
        <v>5.9899902343749999E-2</v>
      </c>
      <c r="D65" s="76"/>
      <c r="E65" s="76"/>
      <c r="F65" s="76"/>
    </row>
    <row r="66" spans="1:6" x14ac:dyDescent="0.25">
      <c r="A66" s="88" t="s">
        <v>941</v>
      </c>
      <c r="B66" s="89" t="s">
        <v>237</v>
      </c>
      <c r="C66" s="53">
        <v>6.5513916015625007E-2</v>
      </c>
      <c r="D66" s="76"/>
      <c r="E66" s="76"/>
      <c r="F66" s="76"/>
    </row>
    <row r="67" spans="1:6" x14ac:dyDescent="0.25">
      <c r="A67" s="88" t="s">
        <v>942</v>
      </c>
      <c r="B67" s="89" t="s">
        <v>237</v>
      </c>
      <c r="C67" s="53">
        <v>7.1127929687499994E-2</v>
      </c>
      <c r="D67" s="76"/>
      <c r="E67" s="76"/>
      <c r="F67" s="76"/>
    </row>
    <row r="68" spans="1:6" x14ac:dyDescent="0.25">
      <c r="A68" s="88" t="s">
        <v>943</v>
      </c>
      <c r="B68" s="89" t="s">
        <v>237</v>
      </c>
      <c r="C68" s="53">
        <v>7.6741943359374995E-2</v>
      </c>
      <c r="D68" s="76"/>
      <c r="E68" s="76"/>
      <c r="F68" s="76"/>
    </row>
    <row r="69" spans="1:6" x14ac:dyDescent="0.25">
      <c r="A69" s="88" t="s">
        <v>944</v>
      </c>
      <c r="B69" s="89" t="s">
        <v>237</v>
      </c>
      <c r="C69" s="53">
        <v>8.2355957031249996E-2</v>
      </c>
      <c r="D69" s="76"/>
      <c r="E69" s="76"/>
      <c r="F69" s="76"/>
    </row>
    <row r="70" spans="1:6" x14ac:dyDescent="0.25">
      <c r="A70" s="88" t="s">
        <v>945</v>
      </c>
      <c r="B70" s="89" t="s">
        <v>237</v>
      </c>
      <c r="C70" s="53">
        <v>8.7969970703124997E-2</v>
      </c>
      <c r="D70" s="76"/>
      <c r="E70" s="76"/>
      <c r="F70" s="76"/>
    </row>
    <row r="71" spans="1:6" x14ac:dyDescent="0.25">
      <c r="A71" s="88" t="s">
        <v>946</v>
      </c>
      <c r="B71" s="89" t="s">
        <v>237</v>
      </c>
      <c r="C71" s="53">
        <v>9.3583984374999998E-2</v>
      </c>
      <c r="D71" s="76"/>
      <c r="E71" s="76"/>
      <c r="F71" s="76"/>
    </row>
    <row r="72" spans="1:6" x14ac:dyDescent="0.25">
      <c r="A72" s="88" t="s">
        <v>947</v>
      </c>
      <c r="B72" s="89" t="s">
        <v>237</v>
      </c>
      <c r="C72" s="53">
        <v>9.9197998046874999E-2</v>
      </c>
      <c r="D72" s="76"/>
      <c r="E72" s="76"/>
      <c r="F72" s="76"/>
    </row>
    <row r="73" spans="1:6" x14ac:dyDescent="0.25">
      <c r="A73" s="88" t="s">
        <v>948</v>
      </c>
      <c r="B73" s="89" t="s">
        <v>237</v>
      </c>
      <c r="C73" s="53">
        <v>0.10481201171875</v>
      </c>
      <c r="D73" s="76"/>
      <c r="E73" s="76"/>
      <c r="F73" s="76"/>
    </row>
    <row r="74" spans="1:6" x14ac:dyDescent="0.25">
      <c r="A74" s="88" t="s">
        <v>949</v>
      </c>
      <c r="B74" s="89" t="s">
        <v>237</v>
      </c>
      <c r="C74" s="53">
        <v>0.110426025390625</v>
      </c>
      <c r="D74" s="76"/>
      <c r="E74" s="76"/>
      <c r="F74" s="76"/>
    </row>
    <row r="75" spans="1:6" x14ac:dyDescent="0.25">
      <c r="A75" s="88" t="s">
        <v>950</v>
      </c>
      <c r="B75" s="89" t="s">
        <v>237</v>
      </c>
      <c r="C75" s="53">
        <v>0.1160400390625</v>
      </c>
      <c r="D75" s="76"/>
      <c r="E75" s="76"/>
      <c r="F75" s="76"/>
    </row>
    <row r="76" spans="1:6" x14ac:dyDescent="0.25">
      <c r="A76" s="88" t="s">
        <v>951</v>
      </c>
      <c r="B76" s="89" t="s">
        <v>237</v>
      </c>
      <c r="C76" s="53">
        <v>0.121654052734375</v>
      </c>
      <c r="D76" s="76"/>
      <c r="E76" s="76"/>
      <c r="F76" s="76"/>
    </row>
    <row r="77" spans="1:6" x14ac:dyDescent="0.25">
      <c r="A77" s="88" t="s">
        <v>952</v>
      </c>
      <c r="B77" s="89" t="s">
        <v>237</v>
      </c>
      <c r="C77" s="53">
        <v>0.12726806640624999</v>
      </c>
      <c r="D77" s="76"/>
      <c r="E77" s="76"/>
      <c r="F77" s="76"/>
    </row>
    <row r="78" spans="1:6" x14ac:dyDescent="0.25">
      <c r="A78" s="88" t="s">
        <v>953</v>
      </c>
      <c r="B78" s="89" t="s">
        <v>237</v>
      </c>
      <c r="C78" s="53">
        <v>0.13288208007812499</v>
      </c>
      <c r="D78" s="76"/>
      <c r="E78" s="76"/>
      <c r="F78" s="76"/>
    </row>
    <row r="79" spans="1:6" x14ac:dyDescent="0.25">
      <c r="A79" s="88" t="s">
        <v>954</v>
      </c>
      <c r="B79" s="89" t="s">
        <v>237</v>
      </c>
      <c r="C79" s="53">
        <v>0.13849609374999999</v>
      </c>
      <c r="D79" s="76"/>
      <c r="E79" s="76"/>
      <c r="F79" s="76"/>
    </row>
    <row r="80" spans="1:6" x14ac:dyDescent="0.25">
      <c r="A80" s="88" t="s">
        <v>955</v>
      </c>
      <c r="B80" s="89" t="s">
        <v>237</v>
      </c>
      <c r="C80" s="53">
        <v>0.14411010742187499</v>
      </c>
      <c r="D80" s="76"/>
      <c r="E80" s="76"/>
      <c r="F80" s="76"/>
    </row>
    <row r="81" spans="1:6" x14ac:dyDescent="0.25">
      <c r="A81" s="88" t="s">
        <v>956</v>
      </c>
      <c r="B81" s="89" t="s">
        <v>237</v>
      </c>
      <c r="C81" s="53">
        <v>0.14972412109375</v>
      </c>
      <c r="D81" s="76"/>
      <c r="E81" s="76"/>
      <c r="F81" s="76"/>
    </row>
    <row r="82" spans="1:6" x14ac:dyDescent="0.25">
      <c r="A82" s="88" t="s">
        <v>957</v>
      </c>
      <c r="B82" s="89" t="s">
        <v>237</v>
      </c>
      <c r="C82" s="53">
        <v>0.14972412109375</v>
      </c>
      <c r="D82" s="76"/>
      <c r="E82" s="76"/>
      <c r="F82" s="76"/>
    </row>
    <row r="83" spans="1:6" x14ac:dyDescent="0.25">
      <c r="A83" s="88" t="s">
        <v>908</v>
      </c>
      <c r="B83" s="89" t="s">
        <v>214</v>
      </c>
      <c r="C83" s="104">
        <v>0.50794697265625</v>
      </c>
      <c r="D83" s="76"/>
      <c r="E83" s="76"/>
      <c r="F83" s="76"/>
    </row>
    <row r="84" spans="1:6" x14ac:dyDescent="0.25">
      <c r="A84" s="88" t="s">
        <v>909</v>
      </c>
      <c r="B84" s="89" t="s">
        <v>214</v>
      </c>
      <c r="C84" s="104">
        <v>0.64706386718749997</v>
      </c>
      <c r="D84" s="76"/>
      <c r="E84" s="76"/>
      <c r="F84" s="76"/>
    </row>
    <row r="85" spans="1:6" x14ac:dyDescent="0.25">
      <c r="A85" s="88" t="s">
        <v>910</v>
      </c>
      <c r="B85" s="89" t="s">
        <v>214</v>
      </c>
      <c r="C85" s="104">
        <v>0.78598618164062495</v>
      </c>
      <c r="D85" s="76"/>
      <c r="E85" s="76"/>
      <c r="F85" s="76"/>
    </row>
    <row r="86" spans="1:6" x14ac:dyDescent="0.25">
      <c r="A86" s="88" t="s">
        <v>911</v>
      </c>
      <c r="B86" s="89" t="s">
        <v>214</v>
      </c>
      <c r="C86" s="104">
        <v>0.92603593750000002</v>
      </c>
      <c r="D86" s="76"/>
      <c r="E86" s="76"/>
      <c r="F86" s="76"/>
    </row>
    <row r="87" spans="1:6" x14ac:dyDescent="0.25">
      <c r="A87" s="88" t="s">
        <v>912</v>
      </c>
      <c r="B87" s="89" t="s">
        <v>214</v>
      </c>
      <c r="C87" s="104">
        <v>1.0654333251953101</v>
      </c>
      <c r="D87" s="76"/>
      <c r="E87" s="76"/>
      <c r="F87" s="76"/>
    </row>
    <row r="88" spans="1:6" x14ac:dyDescent="0.25">
      <c r="A88" s="88" t="s">
        <v>913</v>
      </c>
      <c r="B88" s="89" t="s">
        <v>214</v>
      </c>
      <c r="C88" s="104">
        <v>1.2054120535714199</v>
      </c>
      <c r="D88" s="76"/>
      <c r="E88" s="76"/>
      <c r="F88" s="76"/>
    </row>
    <row r="89" spans="1:6" x14ac:dyDescent="0.25">
      <c r="A89" s="88" t="s">
        <v>914</v>
      </c>
      <c r="B89" s="89" t="s">
        <v>214</v>
      </c>
      <c r="C89" s="104">
        <v>1.34422837611607</v>
      </c>
      <c r="D89" s="76"/>
      <c r="E89" s="76"/>
      <c r="F89" s="76"/>
    </row>
    <row r="90" spans="1:6" x14ac:dyDescent="0.25">
      <c r="A90" s="88" t="s">
        <v>915</v>
      </c>
      <c r="B90" s="89" t="s">
        <v>214</v>
      </c>
      <c r="C90" s="104">
        <v>1.48526416015625</v>
      </c>
      <c r="D90" s="76"/>
      <c r="E90" s="76"/>
      <c r="F90" s="76"/>
    </row>
    <row r="91" spans="1:6" x14ac:dyDescent="0.25">
      <c r="A91" s="88" t="s">
        <v>916</v>
      </c>
      <c r="B91" s="89" t="s">
        <v>214</v>
      </c>
      <c r="C91" s="104">
        <v>1.6241525390625</v>
      </c>
      <c r="D91" s="76"/>
      <c r="E91" s="76"/>
      <c r="F91" s="76"/>
    </row>
    <row r="92" spans="1:6" x14ac:dyDescent="0.25">
      <c r="A92" s="88" t="s">
        <v>917</v>
      </c>
      <c r="B92" s="89" t="s">
        <v>214</v>
      </c>
      <c r="C92" s="104">
        <v>1.7651024832589199</v>
      </c>
      <c r="D92" s="76"/>
      <c r="E92" s="76"/>
      <c r="F92" s="76"/>
    </row>
    <row r="93" spans="1:6" x14ac:dyDescent="0.25">
      <c r="A93" s="88" t="s">
        <v>918</v>
      </c>
      <c r="B93" s="89" t="s">
        <v>214</v>
      </c>
      <c r="C93" s="104">
        <v>1.90354858398437</v>
      </c>
      <c r="D93" s="76"/>
      <c r="E93" s="76"/>
      <c r="F93" s="76"/>
    </row>
    <row r="94" spans="1:6" x14ac:dyDescent="0.25">
      <c r="A94" s="88" t="s">
        <v>919</v>
      </c>
      <c r="B94" s="89" t="s">
        <v>214</v>
      </c>
      <c r="C94" s="104">
        <v>2.0441136067708299</v>
      </c>
      <c r="D94" s="76"/>
      <c r="E94" s="76"/>
      <c r="F94" s="76"/>
    </row>
    <row r="95" spans="1:6" x14ac:dyDescent="0.25">
      <c r="A95" s="88" t="s">
        <v>920</v>
      </c>
      <c r="B95" s="89" t="s">
        <v>214</v>
      </c>
      <c r="C95" s="104">
        <v>2.17474356166294</v>
      </c>
      <c r="D95" s="76"/>
      <c r="E95" s="76"/>
      <c r="F95" s="76"/>
    </row>
    <row r="96" spans="1:6" x14ac:dyDescent="0.25">
      <c r="A96" s="88" t="s">
        <v>921</v>
      </c>
      <c r="B96" s="89" t="s">
        <v>214</v>
      </c>
      <c r="C96" s="104">
        <v>2.3215675781249998</v>
      </c>
      <c r="D96" s="76"/>
      <c r="E96" s="76"/>
      <c r="F96" s="76"/>
    </row>
    <row r="97" spans="1:6" x14ac:dyDescent="0.25">
      <c r="A97" s="88" t="s">
        <v>922</v>
      </c>
      <c r="B97" s="89" t="s">
        <v>214</v>
      </c>
      <c r="C97" s="104">
        <v>2.4580562430245498</v>
      </c>
      <c r="D97" s="76"/>
      <c r="E97" s="76"/>
      <c r="F97" s="76"/>
    </row>
    <row r="98" spans="1:6" x14ac:dyDescent="0.25">
      <c r="A98" s="88" t="s">
        <v>923</v>
      </c>
      <c r="B98" s="89" t="s">
        <v>214</v>
      </c>
      <c r="C98" s="104">
        <v>2.5877176106770801</v>
      </c>
      <c r="D98" s="76"/>
      <c r="E98" s="76"/>
      <c r="F98" s="76"/>
    </row>
    <row r="99" spans="1:6" x14ac:dyDescent="0.25">
      <c r="A99" s="88" t="s">
        <v>924</v>
      </c>
      <c r="B99" s="89" t="s">
        <v>214</v>
      </c>
      <c r="C99" s="104">
        <v>2.70566388346354</v>
      </c>
      <c r="D99" s="76"/>
      <c r="E99" s="76"/>
      <c r="F99" s="76"/>
    </row>
    <row r="100" spans="1:6" x14ac:dyDescent="0.25">
      <c r="A100" s="88" t="s">
        <v>925</v>
      </c>
      <c r="B100" s="89" t="s">
        <v>214</v>
      </c>
      <c r="C100" s="104">
        <v>2.8153463727678498</v>
      </c>
      <c r="D100" s="76"/>
      <c r="E100" s="76"/>
      <c r="F100" s="76"/>
    </row>
    <row r="101" spans="1:6" x14ac:dyDescent="0.25">
      <c r="A101" s="88" t="s">
        <v>926</v>
      </c>
      <c r="B101" s="89" t="s">
        <v>214</v>
      </c>
      <c r="C101" s="104">
        <v>2.9140549316406199</v>
      </c>
      <c r="D101" s="76"/>
      <c r="E101" s="76"/>
      <c r="F101" s="76"/>
    </row>
    <row r="102" spans="1:6" x14ac:dyDescent="0.25">
      <c r="A102" s="88" t="s">
        <v>927</v>
      </c>
      <c r="B102" s="89" t="s">
        <v>214</v>
      </c>
      <c r="C102" s="104">
        <v>3.00299970703125</v>
      </c>
      <c r="D102" s="76"/>
      <c r="E102" s="76"/>
      <c r="F102" s="76"/>
    </row>
    <row r="103" spans="1:6" x14ac:dyDescent="0.25">
      <c r="A103" s="88" t="s">
        <v>928</v>
      </c>
      <c r="B103" s="89" t="s">
        <v>214</v>
      </c>
      <c r="C103" s="104">
        <v>3.0788580810546802</v>
      </c>
      <c r="D103" s="76"/>
      <c r="E103" s="76"/>
      <c r="F103" s="76"/>
    </row>
    <row r="104" spans="1:6" x14ac:dyDescent="0.25">
      <c r="A104" s="88" t="s">
        <v>929</v>
      </c>
      <c r="B104" s="89" t="s">
        <v>214</v>
      </c>
      <c r="C104" s="104">
        <v>3.1429917410714201</v>
      </c>
      <c r="D104" s="76"/>
      <c r="E104" s="76"/>
      <c r="F104" s="76"/>
    </row>
    <row r="105" spans="1:6" x14ac:dyDescent="0.25">
      <c r="A105" s="88" t="s">
        <v>930</v>
      </c>
      <c r="B105" s="89" t="s">
        <v>214</v>
      </c>
      <c r="C105" s="104">
        <v>3.1934992106119702</v>
      </c>
      <c r="D105" s="76"/>
      <c r="E105" s="76"/>
      <c r="F105" s="76"/>
    </row>
    <row r="106" spans="1:6" x14ac:dyDescent="0.25">
      <c r="A106" s="88" t="s">
        <v>931</v>
      </c>
      <c r="B106" s="89" t="s">
        <v>214</v>
      </c>
      <c r="C106" s="104">
        <v>3.2292422851562499</v>
      </c>
      <c r="D106" s="76"/>
      <c r="E106" s="76"/>
      <c r="F106" s="76"/>
    </row>
    <row r="107" spans="1:6" x14ac:dyDescent="0.25">
      <c r="A107" s="88" t="s">
        <v>932</v>
      </c>
      <c r="B107" s="89" t="s">
        <v>214</v>
      </c>
      <c r="C107" s="104">
        <v>3.2292422851562499</v>
      </c>
      <c r="D107" s="76"/>
      <c r="E107" s="76"/>
      <c r="F107" s="76"/>
    </row>
  </sheetData>
  <mergeCells count="2">
    <mergeCell ref="A1:F1"/>
    <mergeCell ref="A55:F5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0" t="s">
        <v>686</v>
      </c>
      <c r="D1" s="110"/>
      <c r="E1" s="110"/>
      <c r="F1" s="110"/>
      <c r="G1" s="110"/>
      <c r="H1" s="110"/>
      <c r="I1" s="110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1" t="s">
        <v>194</v>
      </c>
      <c r="D3" s="111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688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685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687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689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685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689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5"/>
  <sheetViews>
    <sheetView tabSelected="1" zoomScale="85" zoomScaleNormal="85" workbookViewId="0">
      <pane ySplit="5" topLeftCell="A144" activePane="bottomLeft" state="frozen"/>
      <selection activeCell="A285" sqref="A285"/>
      <selection pane="bottomLeft" activeCell="B165" sqref="B165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0" t="s">
        <v>606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1" t="s">
        <v>194</v>
      </c>
      <c r="C3" s="111"/>
      <c r="D3" s="24">
        <f>SUM(D7:D1605)</f>
        <v>532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7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9" t="str">
        <f>IF(I8&lt;&gt;"",MAX(A$1:A7)+1,"")</f>
        <v/>
      </c>
      <c r="B8" s="45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90" si="0">IF(G8&lt;&gt;"",HEX2DEC(H8),"")</f>
        <v/>
      </c>
    </row>
    <row r="9" spans="1:21" s="9" customFormat="1" ht="20.100000000000001" customHeight="1" x14ac:dyDescent="0.25">
      <c r="A9" s="79" t="str">
        <f>IF(I9&lt;&gt;"",MAX(A$1:A8)+1,"")</f>
        <v/>
      </c>
      <c r="B9" s="44" t="s">
        <v>70</v>
      </c>
      <c r="C9" s="21"/>
      <c r="D9" s="21"/>
      <c r="E9" s="21"/>
      <c r="F9" s="21"/>
      <c r="G9" s="21"/>
      <c r="H9" s="21" t="str">
        <f>IF(G9&lt;&gt;"",DEC2HEX(G9,4),"")</f>
        <v/>
      </c>
      <c r="I9" s="21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9">
        <f>IF(I10&lt;&gt;"",MAX(A$1:A9)+1,"")</f>
        <v>1</v>
      </c>
      <c r="B10" s="95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7" t="s">
        <v>469</v>
      </c>
      <c r="G10" s="9">
        <f>ROUND(( (32768 * STATOR_RESISTANCE)/BASE_Z),0)</f>
        <v>2946</v>
      </c>
      <c r="H10" s="9" t="str">
        <f>IF(G10&lt;&gt;"",IF(C10="float32",FLOAT2HEX(G10),DEC2HEX(G10,8)),"")</f>
        <v>00000B82</v>
      </c>
      <c r="I10" s="9">
        <f t="shared" si="0"/>
        <v>2946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9">
        <f>IF(I11&lt;&gt;"",MAX(A$1:A10)+1,"")</f>
        <v>2</v>
      </c>
      <c r="B11" s="47" t="s">
        <v>1095</v>
      </c>
      <c r="C11" t="s">
        <v>57</v>
      </c>
      <c r="D11">
        <f t="shared" si="1"/>
        <v>4</v>
      </c>
      <c r="E11" s="58" t="s">
        <v>1097</v>
      </c>
      <c r="G11" s="9">
        <f>ROUND(OBS_RESIS_ADAPT_LIM/100*32768,0)</f>
        <v>16384</v>
      </c>
      <c r="H11" s="9" t="str">
        <f>IF(G11&lt;&gt;"",IF(C11="float32",FLOAT2HEX(G11),DEC2HEX(G11,8)),"")</f>
        <v>00004000</v>
      </c>
      <c r="I11" s="9">
        <f>IF(G11&lt;&gt;"",HEX2DEC(H11),"")</f>
        <v>16384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9">
        <f>IF(I12&lt;&gt;"",MAX(A$1:A11)+1,"")</f>
        <v>3</v>
      </c>
      <c r="B12" s="45" t="s">
        <v>28</v>
      </c>
      <c r="C12" t="s">
        <v>57</v>
      </c>
      <c r="D12">
        <f t="shared" si="1"/>
        <v>4</v>
      </c>
      <c r="E12" s="2" t="s">
        <v>470</v>
      </c>
      <c r="F12" s="9"/>
      <c r="G12" s="9">
        <f>( ((OBSERVER_G_INTEG_GAIN * BASE_Z * OBSERVER_TS * (2^30)) / BASE_FLUX))</f>
        <v>0</v>
      </c>
      <c r="H12" s="9" t="str">
        <f>IF(G12&lt;&gt;"",IF(C12="float32",FLOAT2HEX(G12),DEC2HEX(G12,8)),"")</f>
        <v>00000000</v>
      </c>
      <c r="I12" s="9">
        <f t="shared" si="0"/>
        <v>0</v>
      </c>
    </row>
    <row r="13" spans="1:21" ht="15" customHeight="1" x14ac:dyDescent="0.25">
      <c r="A13" s="94">
        <f>IF(I13&lt;&gt;"",MAX(A$1:A12)+1,"")</f>
        <v>4</v>
      </c>
      <c r="B13" s="45" t="s">
        <v>29</v>
      </c>
      <c r="C13" t="s">
        <v>57</v>
      </c>
      <c r="D13">
        <f t="shared" si="1"/>
        <v>4</v>
      </c>
      <c r="E13" s="2" t="s">
        <v>471</v>
      </c>
      <c r="F13" s="9"/>
      <c r="G13" s="9">
        <f>ROUND((OBS_RESIS_ADAPT_CURRENT_THRES * 32768 / BASE_CURRENT),0)</f>
        <v>2790</v>
      </c>
      <c r="H13" s="9" t="str">
        <f>IF(G13&lt;&gt;"",IF(C13="float32",FLOAT2HEX(G13),DEC2HEX(G13,8)),"")</f>
        <v>00000AE6</v>
      </c>
      <c r="I13" s="9">
        <f t="shared" si="0"/>
        <v>2790</v>
      </c>
    </row>
    <row r="14" spans="1:21" ht="15" customHeight="1" x14ac:dyDescent="0.25">
      <c r="A14" s="94">
        <f>IF(I14&lt;&gt;"",MAX(A$1:A13)+1,"")</f>
        <v>5</v>
      </c>
      <c r="B14" s="45" t="s">
        <v>30</v>
      </c>
      <c r="C14" t="s">
        <v>57</v>
      </c>
      <c r="D14">
        <f t="shared" si="1"/>
        <v>4</v>
      </c>
      <c r="E14" s="2" t="s">
        <v>472</v>
      </c>
      <c r="F14" s="9"/>
      <c r="G14" s="9">
        <f>ROUND((OBS_RESIS_ADAPT_SPEED_THRES*32768/BASE_SPEED_RPM),0)</f>
        <v>1199</v>
      </c>
      <c r="H14" s="9" t="str">
        <f>IF(G14&lt;&gt;"",IF(C14="float32",FLOAT2HEX(G14),DEC2HEX(G14,8)),"")</f>
        <v>000004AF</v>
      </c>
      <c r="I14" s="9">
        <f t="shared" si="0"/>
        <v>1199</v>
      </c>
    </row>
    <row r="15" spans="1:21" s="101" customFormat="1" ht="15" customHeight="1" x14ac:dyDescent="0.25">
      <c r="A15" s="94">
        <f>IF(I15&lt;&gt;"",MAX(A$1:A14)+1,"")</f>
        <v>6</v>
      </c>
      <c r="B15" s="95" t="s">
        <v>1099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98" t="s">
        <v>1100</v>
      </c>
      <c r="F15" s="102"/>
      <c r="G15" s="99">
        <f>ROUND(PHASE_ADVANCE_COEF_FDBK * (OBSERVER_TS*32768)/BASE_TIME,0)</f>
        <v>0</v>
      </c>
      <c r="H15" s="92" t="str">
        <f>IF(G15&lt;&gt;"",IF(C15="float32",FLOAT2HEX(G15),DEC2HEX(G15,8)),"")</f>
        <v>00000000</v>
      </c>
      <c r="I15" s="92">
        <f t="shared" ref="I15" si="2">IF(G15&lt;&gt;"",HEX2DEC(H15),"")</f>
        <v>0</v>
      </c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</row>
    <row r="16" spans="1:21" ht="15" customHeight="1" x14ac:dyDescent="0.25">
      <c r="A16" s="94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473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94">
        <f>IF(I17&lt;&gt;"",MAX(A$1:A16)+1,"")</f>
        <v>8</v>
      </c>
      <c r="B17" s="95" t="s">
        <v>32</v>
      </c>
      <c r="C17" t="s">
        <v>57</v>
      </c>
      <c r="D17">
        <f t="shared" si="1"/>
        <v>4</v>
      </c>
      <c r="E17" s="60" t="s">
        <v>474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94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475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94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476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94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477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94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478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94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87" t="s">
        <v>1103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94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419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94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479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94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420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94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421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59" customFormat="1" ht="15" customHeight="1" x14ac:dyDescent="0.25">
      <c r="A27" s="94" t="str">
        <f>IF(I27&lt;&gt;"",MAX(A$1:A26)+1,"")</f>
        <v/>
      </c>
      <c r="B27" s="68"/>
      <c r="E27" s="60"/>
      <c r="G27" s="65"/>
      <c r="H27" s="64"/>
      <c r="I27" s="64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1" s="9" customFormat="1" ht="20.100000000000001" customHeight="1" x14ac:dyDescent="0.25">
      <c r="A28" s="94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94">
        <f>IF(I29&lt;&gt;"",MAX(A$1:A28)+1,"")</f>
        <v>18</v>
      </c>
      <c r="B29" s="95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8" t="s">
        <v>751</v>
      </c>
      <c r="F29" s="102"/>
      <c r="G29" s="99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94">
        <f>IF(I30&lt;&gt;"",MAX(A$1:A29)+1,"")</f>
        <v>19</v>
      </c>
      <c r="B30" s="45" t="s">
        <v>91</v>
      </c>
      <c r="C30" t="s">
        <v>63</v>
      </c>
      <c r="D30">
        <f t="shared" si="3"/>
        <v>4</v>
      </c>
      <c r="E30" s="87" t="s">
        <v>1101</v>
      </c>
      <c r="G30" s="55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94">
        <f>IF(I31&lt;&gt;"",MAX(A$1:A30)+1,"")</f>
        <v>20</v>
      </c>
      <c r="B31" s="45" t="s">
        <v>93</v>
      </c>
      <c r="C31" t="s">
        <v>57</v>
      </c>
      <c r="D31">
        <f t="shared" si="3"/>
        <v>4</v>
      </c>
      <c r="E31" s="98" t="s">
        <v>753</v>
      </c>
      <c r="F31" s="102"/>
      <c r="G31" s="99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1" customFormat="1" ht="15" customHeight="1" x14ac:dyDescent="0.25">
      <c r="A32" s="94">
        <f>IF(I32&lt;&gt;"",MAX(A$1:A31)+1,"")</f>
        <v>21</v>
      </c>
      <c r="B32" s="96" t="s">
        <v>1082</v>
      </c>
      <c r="C32" s="101" t="s">
        <v>57</v>
      </c>
      <c r="D32" s="82">
        <f>IF(OR(C32="sint64",C32="uint64",C32="double64"), 8, IF(OR(C32="sint32",C32="uint32",C32="float32"),4,IF(OR(C32="sint16",C32="uint16"),2,  IF(OR(C32="sint8",C32="uint8"),1,""))))</f>
        <v>4</v>
      </c>
      <c r="E32" s="87" t="s">
        <v>1084</v>
      </c>
      <c r="G32" s="93">
        <f>ROUND((M_INDEX_CTRL/100 * 32768),0)</f>
        <v>37683</v>
      </c>
      <c r="H32" s="92" t="str">
        <f>IF(G32&lt;&gt;"",IF(C32="float32",FLOAT2HEX(G32),DEC2HEX(G32,8)),"")</f>
        <v>00009333</v>
      </c>
      <c r="I32" s="92">
        <f t="shared" si="0"/>
        <v>37683</v>
      </c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</row>
    <row r="33" spans="1:9" ht="15" customHeight="1" x14ac:dyDescent="0.25">
      <c r="A33" s="94">
        <f>IF(I33&lt;&gt;"",MAX(A$1:A32)+1,"")</f>
        <v>22</v>
      </c>
      <c r="B33" s="45" t="s">
        <v>76</v>
      </c>
      <c r="C33" t="s">
        <v>57</v>
      </c>
      <c r="D33">
        <f t="shared" si="3"/>
        <v>4</v>
      </c>
      <c r="E33" s="2" t="s">
        <v>544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94">
        <f>IF(I34&lt;&gt;"",MAX(A$1:A33)+1,"")</f>
        <v>23</v>
      </c>
      <c r="B34" s="45" t="s">
        <v>77</v>
      </c>
      <c r="C34" t="s">
        <v>57</v>
      </c>
      <c r="D34">
        <f t="shared" si="3"/>
        <v>4</v>
      </c>
      <c r="E34" s="2" t="s">
        <v>545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94">
        <f>IF(I35&lt;&gt;"",MAX(A$1:A34)+1,"")</f>
        <v>24</v>
      </c>
      <c r="B35" s="45" t="s">
        <v>78</v>
      </c>
      <c r="C35" t="s">
        <v>57</v>
      </c>
      <c r="D35">
        <f t="shared" si="3"/>
        <v>4</v>
      </c>
      <c r="E35" s="2" t="s">
        <v>546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94">
        <f>IF(I36&lt;&gt;"",MAX(A$1:A35)+1,"")</f>
        <v>25</v>
      </c>
      <c r="B36" s="45" t="s">
        <v>79</v>
      </c>
      <c r="C36" t="s">
        <v>57</v>
      </c>
      <c r="D36">
        <f t="shared" si="3"/>
        <v>4</v>
      </c>
      <c r="E36" s="2" t="s">
        <v>547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94">
        <f>IF(I37&lt;&gt;"",MAX(A$1:A36)+1,"")</f>
        <v>26</v>
      </c>
      <c r="B37" s="45" t="s">
        <v>80</v>
      </c>
      <c r="C37" t="s">
        <v>57</v>
      </c>
      <c r="D37">
        <f t="shared" si="3"/>
        <v>4</v>
      </c>
      <c r="E37" s="2" t="s">
        <v>548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94">
        <f>IF(I38&lt;&gt;"",MAX(A$1:A37)+1,"")</f>
        <v>27</v>
      </c>
      <c r="B38" s="45" t="s">
        <v>72</v>
      </c>
      <c r="C38" t="s">
        <v>57</v>
      </c>
      <c r="D38">
        <f t="shared" si="3"/>
        <v>4</v>
      </c>
      <c r="E38" s="2" t="s">
        <v>549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94">
        <f>IF(I39&lt;&gt;"",MAX(A$1:A38)+1,"")</f>
        <v>28</v>
      </c>
      <c r="B39" s="45" t="s">
        <v>81</v>
      </c>
      <c r="C39" t="s">
        <v>57</v>
      </c>
      <c r="D39">
        <f t="shared" si="3"/>
        <v>4</v>
      </c>
      <c r="E39" s="2" t="s">
        <v>550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94">
        <f>IF(I40&lt;&gt;"",MAX(A$1:A39)+1,"")</f>
        <v>29</v>
      </c>
      <c r="B40" s="45" t="s">
        <v>82</v>
      </c>
      <c r="C40" t="s">
        <v>57</v>
      </c>
      <c r="D40">
        <f t="shared" si="3"/>
        <v>4</v>
      </c>
      <c r="E40" s="2" t="s">
        <v>551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94">
        <f>IF(I41&lt;&gt;"",MAX(A$1:A40)+1,"")</f>
        <v>30</v>
      </c>
      <c r="B41" s="45" t="s">
        <v>83</v>
      </c>
      <c r="C41" t="s">
        <v>57</v>
      </c>
      <c r="D41">
        <f t="shared" si="3"/>
        <v>4</v>
      </c>
      <c r="E41" s="2" t="s">
        <v>552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94">
        <f>IF(I42&lt;&gt;"",MAX(A$1:A41)+1,"")</f>
        <v>31</v>
      </c>
      <c r="B42" s="45" t="s">
        <v>84</v>
      </c>
      <c r="C42" t="s">
        <v>57</v>
      </c>
      <c r="D42">
        <f t="shared" si="3"/>
        <v>4</v>
      </c>
      <c r="E42" s="2" t="s">
        <v>553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94">
        <f>IF(I43&lt;&gt;"",MAX(A$1:A42)+1,"")</f>
        <v>32</v>
      </c>
      <c r="B43" s="45" t="s">
        <v>85</v>
      </c>
      <c r="C43" t="s">
        <v>57</v>
      </c>
      <c r="D43">
        <f t="shared" si="3"/>
        <v>4</v>
      </c>
      <c r="E43" s="2" t="s">
        <v>554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94">
        <f>IF(I44&lt;&gt;"",MAX(A$1:A43)+1,"")</f>
        <v>33</v>
      </c>
      <c r="B44" s="45" t="s">
        <v>73</v>
      </c>
      <c r="C44" t="s">
        <v>57</v>
      </c>
      <c r="D44">
        <f t="shared" si="3"/>
        <v>4</v>
      </c>
      <c r="E44" s="2" t="s">
        <v>555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94">
        <f>IF(I45&lt;&gt;"",MAX(A$1:A44)+1,"")</f>
        <v>34</v>
      </c>
      <c r="B45" s="45" t="s">
        <v>86</v>
      </c>
      <c r="C45" t="s">
        <v>57</v>
      </c>
      <c r="D45">
        <f t="shared" si="3"/>
        <v>4</v>
      </c>
      <c r="E45" s="60" t="s">
        <v>556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94">
        <f>IF(I46&lt;&gt;"",MAX(A$1:A45)+1,"")</f>
        <v>35</v>
      </c>
      <c r="B46" s="45" t="s">
        <v>87</v>
      </c>
      <c r="C46" t="s">
        <v>57</v>
      </c>
      <c r="D46">
        <f t="shared" si="3"/>
        <v>4</v>
      </c>
      <c r="E46" s="2" t="s">
        <v>557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94">
        <f>IF(I47&lt;&gt;"",MAX(A$1:A46)+1,"")</f>
        <v>36</v>
      </c>
      <c r="B47" s="45" t="s">
        <v>88</v>
      </c>
      <c r="C47" t="s">
        <v>57</v>
      </c>
      <c r="D47">
        <f t="shared" si="3"/>
        <v>4</v>
      </c>
      <c r="E47" s="2" t="s">
        <v>558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94">
        <f>IF(I48&lt;&gt;"",MAX(A$1:A47)+1,"")</f>
        <v>37</v>
      </c>
      <c r="B48" s="45" t="s">
        <v>89</v>
      </c>
      <c r="C48" t="s">
        <v>57</v>
      </c>
      <c r="D48">
        <f t="shared" si="3"/>
        <v>4</v>
      </c>
      <c r="E48" s="2" t="s">
        <v>559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94">
        <f>IF(I49&lt;&gt;"",MAX(A$1:A48)+1,"")</f>
        <v>38</v>
      </c>
      <c r="B49" s="45" t="s">
        <v>90</v>
      </c>
      <c r="C49" t="s">
        <v>57</v>
      </c>
      <c r="D49">
        <f t="shared" si="3"/>
        <v>4</v>
      </c>
      <c r="E49" s="2" t="s">
        <v>560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94">
        <f>IF(I50&lt;&gt;"",MAX(A$1:A49)+1,"")</f>
        <v>39</v>
      </c>
      <c r="B50" s="45" t="s">
        <v>74</v>
      </c>
      <c r="C50" t="s">
        <v>57</v>
      </c>
      <c r="D50">
        <f t="shared" si="3"/>
        <v>4</v>
      </c>
      <c r="E50" s="2" t="s">
        <v>561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94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94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94">
        <f>IF(I53&lt;&gt;"",MAX(A$1:A52)+1,"")</f>
        <v>40</v>
      </c>
      <c r="B53" s="45" t="s">
        <v>96</v>
      </c>
      <c r="C53" t="s">
        <v>57</v>
      </c>
      <c r="D53">
        <f t="shared" ref="D53:D63" si="4">IF(OR(C53="sint64",C53="uint64",C53="double64"), 8, IF(OR(C53="sint32",C53="uint32",C53="float32"),4,IF(OR(C53="sint16",C53="uint16"),2,  IF(OR(C53="sint8",C53="uint8"),1,""))))</f>
        <v>4</v>
      </c>
      <c r="E53" s="2" t="s">
        <v>473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4">
        <f>IF(I54&lt;&gt;"",MAX(A$1:A53)+1,"")</f>
        <v>41</v>
      </c>
      <c r="B54" s="45" t="s">
        <v>97</v>
      </c>
      <c r="C54" t="s">
        <v>57</v>
      </c>
      <c r="D54">
        <f t="shared" si="4"/>
        <v>4</v>
      </c>
      <c r="E54" s="2" t="s">
        <v>562</v>
      </c>
      <c r="G54" s="11">
        <f>ROUND((DQ_CONTROLLER_MAX_FLUX/100*32768),0)</f>
        <v>31130</v>
      </c>
      <c r="H54" s="92" t="str">
        <f>IF(G54&lt;&gt;"",IF(C54="float32",FLOAT2HEX(G54),DEC2HEX(G54,8)),"")</f>
        <v>0000799A</v>
      </c>
      <c r="I54" s="92">
        <f t="shared" si="0"/>
        <v>31130</v>
      </c>
    </row>
    <row r="55" spans="1:21" ht="15" customHeight="1" x14ac:dyDescent="0.25">
      <c r="A55" s="94">
        <f>IF(I55&lt;&gt;"",MAX(A$1:A54)+1,"")</f>
        <v>42</v>
      </c>
      <c r="B55" s="45" t="s">
        <v>98</v>
      </c>
      <c r="C55" t="s">
        <v>63</v>
      </c>
      <c r="D55">
        <f t="shared" si="4"/>
        <v>4</v>
      </c>
      <c r="E55" s="87" t="s">
        <v>1102</v>
      </c>
      <c r="G55" s="11">
        <f>((DQ_STARTING_TIME * 1000))</f>
        <v>1000</v>
      </c>
      <c r="H55" s="92" t="str">
        <f>IF(G55&lt;&gt;"",IF(C55="float32",FLOAT2HEX(G55),DEC2HEX(G55,8)),"")</f>
        <v>000003E8</v>
      </c>
      <c r="I55" s="92">
        <f t="shared" si="0"/>
        <v>1000</v>
      </c>
    </row>
    <row r="56" spans="1:21" ht="15" customHeight="1" x14ac:dyDescent="0.25">
      <c r="A56" s="94">
        <f>IF(I56&lt;&gt;"",MAX(A$1:A55)+1,"")</f>
        <v>43</v>
      </c>
      <c r="B56" s="45" t="s">
        <v>95</v>
      </c>
      <c r="C56" s="59" t="s">
        <v>63</v>
      </c>
      <c r="D56">
        <f t="shared" si="4"/>
        <v>4</v>
      </c>
      <c r="E56" s="87" t="s">
        <v>563</v>
      </c>
      <c r="G56" s="11">
        <f>(DQ_CONTROLLER_OVER_FLUX_DECREMENT/BASE_FLUX*32768)</f>
        <v>2</v>
      </c>
      <c r="H56" s="92" t="str">
        <f>IF(G56&lt;&gt;"",IF(C56="float32",FLOAT2HEX(G56),DEC2HEX(G56,8)),"")</f>
        <v>00000002</v>
      </c>
      <c r="I56" s="92">
        <f t="shared" si="0"/>
        <v>2</v>
      </c>
    </row>
    <row r="57" spans="1:21" s="73" customFormat="1" ht="15" customHeight="1" x14ac:dyDescent="0.25">
      <c r="A57" s="94">
        <f>IF(I57&lt;&gt;"",MAX(A$1:A56)+1,"")</f>
        <v>44</v>
      </c>
      <c r="B57" s="83" t="s">
        <v>725</v>
      </c>
      <c r="C57" s="81" t="s">
        <v>57</v>
      </c>
      <c r="D57" s="73">
        <f t="shared" si="4"/>
        <v>4</v>
      </c>
      <c r="E57" s="87" t="s">
        <v>731</v>
      </c>
      <c r="G57" s="75">
        <f>ROUND(SPEED_OVERFLUX_THRESHOLD * 32768/BASE_SPEED_RPM,0)</f>
        <v>525</v>
      </c>
      <c r="H57" s="92" t="str">
        <f>IF(G57&lt;&gt;"",IF(C57="float32",FLOAT2HEX(G57),DEC2HEX(G57,8)),"")</f>
        <v>0000020D</v>
      </c>
      <c r="I57" s="92">
        <f t="shared" si="0"/>
        <v>525</v>
      </c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1:21" s="73" customFormat="1" ht="15" customHeight="1" x14ac:dyDescent="0.25">
      <c r="A58" s="94">
        <f>IF(I58&lt;&gt;"",MAX(A$1:A57)+1,"")</f>
        <v>45</v>
      </c>
      <c r="B58" s="84" t="s">
        <v>726</v>
      </c>
      <c r="C58" s="81" t="s">
        <v>57</v>
      </c>
      <c r="D58" s="73">
        <f t="shared" si="4"/>
        <v>4</v>
      </c>
      <c r="E58" s="87" t="s">
        <v>734</v>
      </c>
      <c r="G58" s="75">
        <f>ROUND(OVERFLUX_FACTOR/100 * 32768,0)</f>
        <v>36700</v>
      </c>
      <c r="H58" s="92" t="str">
        <f>IF(G58&lt;&gt;"",IF(C58="float32",FLOAT2HEX(G58),DEC2HEX(G58,8)),"")</f>
        <v>00008F5C</v>
      </c>
      <c r="I58" s="92">
        <f t="shared" si="0"/>
        <v>36700</v>
      </c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1:21" ht="15" customHeight="1" x14ac:dyDescent="0.25">
      <c r="A59" s="94">
        <f>IF(I59&lt;&gt;"",MAX(A$1:A58)+1,"")</f>
        <v>46</v>
      </c>
      <c r="B59" s="71" t="s">
        <v>99</v>
      </c>
      <c r="C59" t="s">
        <v>57</v>
      </c>
      <c r="D59">
        <f t="shared" si="4"/>
        <v>4</v>
      </c>
      <c r="E59" s="60" t="s">
        <v>564</v>
      </c>
      <c r="G59" s="11">
        <f>ROUND((DQ_CONTROLLER_MAX_INPUT_VOLT_FACTOR/100*32768),0)</f>
        <v>30802</v>
      </c>
      <c r="H59" s="92" t="str">
        <f>IF(G59&lt;&gt;"",IF(C59="float32",FLOAT2HEX(G59),DEC2HEX(G59,8)),"")</f>
        <v>00007852</v>
      </c>
      <c r="I59" s="92">
        <f t="shared" si="0"/>
        <v>30802</v>
      </c>
    </row>
    <row r="60" spans="1:21" s="86" customFormat="1" ht="15" customHeight="1" x14ac:dyDescent="0.25">
      <c r="A60" s="94">
        <f>IF(I60&lt;&gt;"",MAX(A$1:A59)+1,"")</f>
        <v>47</v>
      </c>
      <c r="B60" s="95" t="s">
        <v>738</v>
      </c>
      <c r="C60" s="86" t="s">
        <v>57</v>
      </c>
      <c r="D60" s="86">
        <f t="shared" si="4"/>
        <v>4</v>
      </c>
      <c r="E60" s="87" t="s">
        <v>740</v>
      </c>
      <c r="G60" s="93">
        <f>ROUND(DQREF_MAX_SPEED_DROP_FACTOR,0)</f>
        <v>15490</v>
      </c>
      <c r="H60" s="92" t="str">
        <f>IF(G60&lt;&gt;"",IF(C60="float32",FLOAT2HEX(G60),DEC2HEX(G60,8)),"")</f>
        <v>00003C82</v>
      </c>
      <c r="I60" s="92">
        <f t="shared" ref="I60:I71" si="5">IF(G60&lt;&gt;"",HEX2DEC(H60),"")</f>
        <v>15490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</row>
    <row r="61" spans="1:21" s="86" customFormat="1" ht="15" customHeight="1" x14ac:dyDescent="0.25">
      <c r="A61" s="94">
        <f>IF(I61&lt;&gt;"",MAX(A$1:A60)+1,"")</f>
        <v>48</v>
      </c>
      <c r="B61" s="95" t="s">
        <v>739</v>
      </c>
      <c r="C61" s="86" t="s">
        <v>57</v>
      </c>
      <c r="D61" s="86">
        <f t="shared" si="4"/>
        <v>4</v>
      </c>
      <c r="E61" s="87" t="s">
        <v>744</v>
      </c>
      <c r="G61" s="93">
        <f>ROUND(DQREF_MIN_AVAILABLE_VOLT_FACTOR/100*32768,0)</f>
        <v>30802</v>
      </c>
      <c r="H61" s="92" t="str">
        <f>IF(G61&lt;&gt;"",IF(C61="float32",FLOAT2HEX(G61),DEC2HEX(G61,8)),"")</f>
        <v>00007852</v>
      </c>
      <c r="I61" s="92">
        <f t="shared" si="5"/>
        <v>30802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</row>
    <row r="62" spans="1:21" s="73" customFormat="1" ht="15" customHeight="1" x14ac:dyDescent="0.25">
      <c r="A62" s="94">
        <f>IF(I62&lt;&gt;"",MAX(A$1:A61)+1,"")</f>
        <v>49</v>
      </c>
      <c r="B62" s="85" t="s">
        <v>727</v>
      </c>
      <c r="C62" s="81" t="s">
        <v>57</v>
      </c>
      <c r="D62" s="73">
        <f t="shared" si="4"/>
        <v>4</v>
      </c>
      <c r="E62" s="87" t="s">
        <v>745</v>
      </c>
      <c r="G62" s="75">
        <f>ROUND(DQREF_SPEED_DROP_FACTOR,0)</f>
        <v>15488</v>
      </c>
      <c r="H62" s="92" t="str">
        <f>IF(G62&lt;&gt;"",IF(C62="float32",FLOAT2HEX(G62),DEC2HEX(G62,8)),"")</f>
        <v>00003C80</v>
      </c>
      <c r="I62" s="92">
        <f t="shared" si="5"/>
        <v>15488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1:21" ht="15" customHeight="1" x14ac:dyDescent="0.25">
      <c r="A63" s="94">
        <f>IF(I63&lt;&gt;"",MAX(A$1:A62)+1,"")</f>
        <v>50</v>
      </c>
      <c r="B63" s="71" t="s">
        <v>702</v>
      </c>
      <c r="C63" t="s">
        <v>57</v>
      </c>
      <c r="D63" s="20">
        <f t="shared" si="4"/>
        <v>4</v>
      </c>
      <c r="E63" s="2" t="s">
        <v>473</v>
      </c>
      <c r="G63" s="11">
        <f>ROUND((((ROTOR_LAMBDAM * 32768)/BASE_FLUX)),0)</f>
        <v>9907</v>
      </c>
      <c r="H63" s="92" t="str">
        <f>IF(G63&lt;&gt;"",IF(C63="float32",FLOAT2HEX(G63),DEC2HEX(G63,8)),"")</f>
        <v>000026B3</v>
      </c>
      <c r="I63" s="92">
        <f t="shared" si="5"/>
        <v>9907</v>
      </c>
    </row>
    <row r="64" spans="1:21" s="59" customFormat="1" ht="15" customHeight="1" x14ac:dyDescent="0.25">
      <c r="A64" s="94">
        <f>IF(I64&lt;&gt;"",MAX(A$1:A63)+1,"")</f>
        <v>51</v>
      </c>
      <c r="B64" s="71" t="s">
        <v>705</v>
      </c>
      <c r="C64" s="59" t="s">
        <v>57</v>
      </c>
      <c r="D64" s="67">
        <f t="shared" ref="D64:D70" si="6">IF(OR(C64="sint64",C64="uint64",C64="double64"), 8, IF(OR(C64="sint32",C64="uint32",C64="float32"),4,IF(OR(C64="sint16",C64="uint16"),2,  IF(OR(C64="sint8",C64="uint8"),1,""))))</f>
        <v>4</v>
      </c>
      <c r="E64" s="60" t="s">
        <v>706</v>
      </c>
      <c r="G64" s="65">
        <f>ROUND((1/OBSERVER_TS)*FLUX_REF_SCALE_TIME,0)</f>
        <v>12000</v>
      </c>
      <c r="H64" s="92" t="str">
        <f>IF(G64&lt;&gt;"",IF(C64="float32",FLOAT2HEX(G64),DEC2HEX(G64,8)),"")</f>
        <v>00002EE0</v>
      </c>
      <c r="I64" s="92">
        <f t="shared" si="5"/>
        <v>12000</v>
      </c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</row>
    <row r="65" spans="1:21" s="73" customFormat="1" ht="15" customHeight="1" x14ac:dyDescent="0.25">
      <c r="A65" s="94">
        <f>IF(I65&lt;&gt;"",MAX(A$1:A64)+1,"")</f>
        <v>52</v>
      </c>
      <c r="B65" s="96" t="s">
        <v>728</v>
      </c>
      <c r="C65" s="81" t="s">
        <v>57</v>
      </c>
      <c r="D65" s="82">
        <f t="shared" si="6"/>
        <v>4</v>
      </c>
      <c r="E65" s="87" t="s">
        <v>735</v>
      </c>
      <c r="F65" s="86"/>
      <c r="G65" s="93">
        <f>ROUND(SBPM_SPEED_OVERFULX_THRESHOLD * 32768 / BASE_SPEED_RPM,0)</f>
        <v>5620</v>
      </c>
      <c r="H65" s="92" t="str">
        <f>IF(G65&lt;&gt;"",IF(C65="float32",FLOAT2HEX(G65),DEC2HEX(G65,8)),"")</f>
        <v>000015F4</v>
      </c>
      <c r="I65" s="92">
        <f t="shared" si="5"/>
        <v>5620</v>
      </c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s="73" customFormat="1" ht="15" customHeight="1" x14ac:dyDescent="0.25">
      <c r="A66" s="94">
        <f>IF(I66&lt;&gt;"",MAX(A$1:A65)+1,"")</f>
        <v>53</v>
      </c>
      <c r="B66" s="96" t="s">
        <v>729</v>
      </c>
      <c r="C66" s="81" t="s">
        <v>57</v>
      </c>
      <c r="D66" s="82">
        <f t="shared" si="6"/>
        <v>4</v>
      </c>
      <c r="E66" s="87" t="s">
        <v>736</v>
      </c>
      <c r="F66" s="86"/>
      <c r="G66" s="93">
        <f>ROUND(SBPM_OVERFLUX_FACTOR/100 * 32768,0)</f>
        <v>3277</v>
      </c>
      <c r="H66" s="92" t="str">
        <f>IF(G66&lt;&gt;"",IF(C66="float32",FLOAT2HEX(G66),DEC2HEX(G66,8)),"")</f>
        <v>00000CCD</v>
      </c>
      <c r="I66" s="92">
        <f t="shared" si="5"/>
        <v>3277</v>
      </c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spans="1:21" s="73" customFormat="1" ht="15" customHeight="1" x14ac:dyDescent="0.25">
      <c r="A67" s="94">
        <f>IF(I67&lt;&gt;"",MAX(A$1:A66)+1,"")</f>
        <v>54</v>
      </c>
      <c r="B67" s="96" t="s">
        <v>730</v>
      </c>
      <c r="C67" s="81" t="s">
        <v>57</v>
      </c>
      <c r="D67" s="82">
        <f t="shared" si="6"/>
        <v>4</v>
      </c>
      <c r="E67" s="87" t="s">
        <v>737</v>
      </c>
      <c r="G67" s="75">
        <f>ROUND((SBPM_MIN_OVERFLUX_FACTOR/100 * 32768),0)</f>
        <v>3277</v>
      </c>
      <c r="H67" s="92" t="str">
        <f>IF(G67&lt;&gt;"",IF(C67="float32",FLOAT2HEX(G67),DEC2HEX(G67,8)),"")</f>
        <v>00000CCD</v>
      </c>
      <c r="I67" s="92">
        <f t="shared" si="5"/>
        <v>3277</v>
      </c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</row>
    <row r="68" spans="1:21" s="101" customFormat="1" ht="15" customHeight="1" x14ac:dyDescent="0.25">
      <c r="A68" s="94">
        <f>IF(I68&lt;&gt;"",MAX(A$1:A67)+1,"")</f>
        <v>55</v>
      </c>
      <c r="B68" s="96" t="s">
        <v>1089</v>
      </c>
      <c r="C68" s="101" t="s">
        <v>57</v>
      </c>
      <c r="D68" s="82">
        <f t="shared" si="6"/>
        <v>4</v>
      </c>
      <c r="E68" s="87" t="s">
        <v>1092</v>
      </c>
      <c r="G68" s="93">
        <f>ROUND((K_TORQUE_ERROR * BASE_TORQ * 32768),0)</f>
        <v>261989</v>
      </c>
      <c r="H68" s="92" t="str">
        <f>IF(G68&lt;&gt;"",IF(C68="float32",FLOAT2HEX(G68),DEC2HEX(G68,8)),"")</f>
        <v>0003FF65</v>
      </c>
      <c r="I68" s="92">
        <f t="shared" ref="I68" si="7">IF(G68&lt;&gt;"",HEX2DEC(H68),"")</f>
        <v>261989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</row>
    <row r="69" spans="1:21" s="101" customFormat="1" ht="15" customHeight="1" x14ac:dyDescent="0.25">
      <c r="A69" s="94">
        <f>IF(I69&lt;&gt;"",MAX(A$1:A68)+1,"")</f>
        <v>56</v>
      </c>
      <c r="B69" s="96" t="s">
        <v>1090</v>
      </c>
      <c r="C69" s="101" t="s">
        <v>57</v>
      </c>
      <c r="D69" s="82">
        <f t="shared" si="6"/>
        <v>4</v>
      </c>
      <c r="E69" s="87" t="s">
        <v>1091</v>
      </c>
      <c r="G69" s="93">
        <f>ROUND((TORQUE_ERROR_SAT * 32768),0)</f>
        <v>16384</v>
      </c>
      <c r="H69" s="92" t="str">
        <f>IF(G69&lt;&gt;"",IF(C69="float32",FLOAT2HEX(G69),DEC2HEX(G69,8)),"")</f>
        <v>00004000</v>
      </c>
      <c r="I69" s="92">
        <f t="shared" ref="I69:I70" si="8">IF(G69&lt;&gt;"",HEX2DEC(H69),"")</f>
        <v>16384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</row>
    <row r="70" spans="1:21" s="101" customFormat="1" ht="15" customHeight="1" x14ac:dyDescent="0.25">
      <c r="A70" s="94">
        <f>IF(I70&lt;&gt;"",MAX(A$1:A69)+1,"")</f>
        <v>57</v>
      </c>
      <c r="B70" s="96" t="s">
        <v>1082</v>
      </c>
      <c r="C70" s="101" t="s">
        <v>57</v>
      </c>
      <c r="D70" s="82">
        <f t="shared" si="6"/>
        <v>4</v>
      </c>
      <c r="E70" s="87" t="s">
        <v>1083</v>
      </c>
      <c r="G70" s="93">
        <f>ROUND((M_INDEX_REF/100 * 32768),0)</f>
        <v>32113</v>
      </c>
      <c r="H70" s="92" t="str">
        <f>IF(G70&lt;&gt;"",IF(C70="float32",FLOAT2HEX(G70),DEC2HEX(G70,8)),"")</f>
        <v>00007D71</v>
      </c>
      <c r="I70" s="92">
        <f t="shared" si="8"/>
        <v>32113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</row>
    <row r="71" spans="1:21" ht="15" customHeight="1" x14ac:dyDescent="0.25">
      <c r="A71" s="94" t="str">
        <f>IF(I71&lt;&gt;"",MAX(A$1:A70)+1,"")</f>
        <v/>
      </c>
      <c r="B71" s="45"/>
      <c r="G71" s="11"/>
      <c r="H71" s="92" t="str">
        <f>IF(G71&lt;&gt;"",IF(C71="float32",FLOAT2HEX(G71),DEC2HEX(G71,8)),"")</f>
        <v/>
      </c>
      <c r="I71" s="92" t="str">
        <f t="shared" si="5"/>
        <v/>
      </c>
    </row>
    <row r="72" spans="1:21" s="9" customFormat="1" ht="20.100000000000001" customHeight="1" x14ac:dyDescent="0.25">
      <c r="A72" s="94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4">
        <f>IF(I73&lt;&gt;"",MAX(A$1:A72)+1,"")</f>
        <v>58</v>
      </c>
      <c r="B73" s="46" t="s">
        <v>429</v>
      </c>
      <c r="C73" t="s">
        <v>57</v>
      </c>
      <c r="D73">
        <f t="shared" ref="D73:D80" si="9">IF(OR(C73="sint64",C73="uint64",C73="double64"), 8, IF(OR(C73="sint32",C73="uint32",C73="float32"),4,IF(OR(C73="sint16",C73="uint16"),2,  IF(OR(C73="sint8",C73="uint8"),1,""))))</f>
        <v>4</v>
      </c>
      <c r="E73" s="2" t="s">
        <v>565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4">
        <f>IF(I74&lt;&gt;"",MAX(A$1:A73)+1,"")</f>
        <v>59</v>
      </c>
      <c r="B74" s="46" t="s">
        <v>430</v>
      </c>
      <c r="C74" t="s">
        <v>57</v>
      </c>
      <c r="D74">
        <f t="shared" si="9"/>
        <v>4</v>
      </c>
      <c r="E74" s="2" t="s">
        <v>566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4">
        <f>IF(I75&lt;&gt;"",MAX(A$1:A74)+1,"")</f>
        <v>60</v>
      </c>
      <c r="B75" s="45" t="s">
        <v>431</v>
      </c>
      <c r="C75" t="s">
        <v>63</v>
      </c>
      <c r="D75">
        <f t="shared" si="9"/>
        <v>4</v>
      </c>
      <c r="E75" s="2" t="s">
        <v>567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4">
        <f>IF(I76&lt;&gt;"",MAX(A$1:A75)+1,"")</f>
        <v>61</v>
      </c>
      <c r="B76" s="45" t="s">
        <v>432</v>
      </c>
      <c r="C76" t="s">
        <v>63</v>
      </c>
      <c r="D76">
        <f t="shared" si="9"/>
        <v>4</v>
      </c>
      <c r="E76" s="87" t="s">
        <v>568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59" customFormat="1" ht="15" customHeight="1" x14ac:dyDescent="0.25">
      <c r="A77" s="94">
        <f>IF(I77&lt;&gt;"",MAX(A$1:A76)+1,"")</f>
        <v>62</v>
      </c>
      <c r="B77" s="68" t="s">
        <v>708</v>
      </c>
      <c r="C77" s="59" t="s">
        <v>63</v>
      </c>
      <c r="D77" s="59">
        <f t="shared" si="9"/>
        <v>4</v>
      </c>
      <c r="E77" s="87" t="s">
        <v>1106</v>
      </c>
      <c r="G77" s="65">
        <f>ROUND((ALGO_RUNNING_LOCKED_ROTOR_START_OR_RUNNING * 1000), 0)</f>
        <v>4000</v>
      </c>
      <c r="H77" s="64" t="str">
        <f>IF(G77&lt;&gt;"",IF(C77="float32",FLOAT2HEX(G77),DEC2HEX(G77,8)),"")</f>
        <v>00000FA0</v>
      </c>
      <c r="I77" s="64">
        <f t="shared" ref="I77:I80" si="10">IF(G77&lt;&gt;"",HEX2DEC(H77),"")</f>
        <v>4000</v>
      </c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</row>
    <row r="78" spans="1:21" s="59" customFormat="1" ht="15" customHeight="1" x14ac:dyDescent="0.25">
      <c r="A78" s="94">
        <f>IF(I78&lt;&gt;"",MAX(A$1:A77)+1,"")</f>
        <v>63</v>
      </c>
      <c r="B78" s="68" t="s">
        <v>709</v>
      </c>
      <c r="C78" s="59" t="s">
        <v>63</v>
      </c>
      <c r="D78" s="59">
        <f t="shared" si="9"/>
        <v>4</v>
      </c>
      <c r="E78" s="60" t="s">
        <v>720</v>
      </c>
      <c r="G78" s="65">
        <f>ROUND((ALGO_RUNNING_LOCKED_ROTOR_STARTING_THRESHOLD / 0.005), 0)</f>
        <v>600</v>
      </c>
      <c r="H78" s="64" t="str">
        <f>IF(G78&lt;&gt;"",IF(C78="float32",FLOAT2HEX(G78),DEC2HEX(G78,8)),"")</f>
        <v>00000258</v>
      </c>
      <c r="I78" s="64">
        <f t="shared" si="10"/>
        <v>600</v>
      </c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</row>
    <row r="79" spans="1:21" s="59" customFormat="1" ht="15" customHeight="1" x14ac:dyDescent="0.25">
      <c r="A79" s="94">
        <f>IF(I79&lt;&gt;"",MAX(A$1:A78)+1,"")</f>
        <v>64</v>
      </c>
      <c r="B79" s="68" t="s">
        <v>710</v>
      </c>
      <c r="C79" s="59" t="s">
        <v>63</v>
      </c>
      <c r="D79" s="59">
        <f t="shared" si="9"/>
        <v>4</v>
      </c>
      <c r="E79" s="60" t="s">
        <v>721</v>
      </c>
      <c r="G79" s="65">
        <f>ROUND((ALGO_RUNNING_LOCKED_ROTOR_RUNNING_THRESHOLD / 0.005), 0)</f>
        <v>2000</v>
      </c>
      <c r="H79" s="64" t="str">
        <f>IF(G79&lt;&gt;"",IF(C79="float32",FLOAT2HEX(G79),DEC2HEX(G79,8)),"")</f>
        <v>000007D0</v>
      </c>
      <c r="I79" s="64">
        <f t="shared" si="10"/>
        <v>2000</v>
      </c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</row>
    <row r="80" spans="1:21" s="59" customFormat="1" ht="15" customHeight="1" x14ac:dyDescent="0.25">
      <c r="A80" s="94">
        <f>IF(I80&lt;&gt;"",MAX(A$1:A79)+1,"")</f>
        <v>65</v>
      </c>
      <c r="B80" s="68" t="s">
        <v>711</v>
      </c>
      <c r="C80" s="59" t="s">
        <v>57</v>
      </c>
      <c r="D80" s="59">
        <f t="shared" si="9"/>
        <v>4</v>
      </c>
      <c r="E80" s="87" t="s">
        <v>1074</v>
      </c>
      <c r="G80" s="65">
        <f>ROUND(((ALGO_RUNNING_LOCKED_ROTOR_CURRENT_THRESHOLD*ALGO_RUNNING_LOCKED_ROTOR_CURRENT_THRESHOLD*32768*32768)/(BASE_CURRENT*BASE_CURRENT))*3/2, 0)</f>
        <v>1168001966</v>
      </c>
      <c r="H80" s="64" t="str">
        <f>IF(G80&lt;&gt;"",IF(C80="float32",FLOAT2HEX(G80),DEC2HEX(G80,8)),"")</f>
        <v>459E4BAE</v>
      </c>
      <c r="I80" s="64">
        <f t="shared" si="10"/>
        <v>1168001966</v>
      </c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</row>
    <row r="81" spans="1:21" ht="15" customHeight="1" x14ac:dyDescent="0.25">
      <c r="A81" s="94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94" t="str">
        <f>IF(I82&lt;&gt;"",MAX(A$1:A81)+1,"")</f>
        <v/>
      </c>
      <c r="B82" s="44" t="s">
        <v>424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94">
        <f>IF(I83&lt;&gt;"",MAX(A$1:A82)+1,"")</f>
        <v>66</v>
      </c>
      <c r="B83" s="45" t="s">
        <v>426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7" t="s">
        <v>569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94">
        <f>IF(I84&lt;&gt;"",MAX(A$1:A83)+1,"")</f>
        <v>67</v>
      </c>
      <c r="B84" s="45" t="s">
        <v>427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570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4">
        <f>IF(I85&lt;&gt;"",MAX(A$1:A84)+1,"")</f>
        <v>68</v>
      </c>
      <c r="B85" s="45" t="s">
        <v>425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571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4">
        <f>IF(I86&lt;&gt;"",MAX(A$1:A85)+1,"")</f>
        <v>69</v>
      </c>
      <c r="B86" s="45" t="s">
        <v>428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572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4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94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94">
        <f>IF(I89&lt;&gt;"",MAX(A$1:A88)+1,"")</f>
        <v>70</v>
      </c>
      <c r="B89" s="45" t="s">
        <v>105</v>
      </c>
      <c r="C89" t="s">
        <v>57</v>
      </c>
      <c r="D89">
        <f t="shared" ref="D89:D118" si="11">IF(OR(C89="sint64",C89="uint64",C89="double64"), 8, IF(OR(C89="sint32",C89="uint32",C89="float32"),4,IF(OR(C89="sint16",C89="uint16"),2,  IF(OR(C89="sint8",C89="uint8"),1,""))))</f>
        <v>4</v>
      </c>
      <c r="E89" s="87" t="s">
        <v>573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94">
        <f>IF(I90&lt;&gt;"",MAX(A$1:A89)+1,"")</f>
        <v>71</v>
      </c>
      <c r="B90" s="45" t="s">
        <v>106</v>
      </c>
      <c r="C90" t="s">
        <v>57</v>
      </c>
      <c r="D90">
        <f t="shared" si="11"/>
        <v>4</v>
      </c>
      <c r="E90" s="2" t="s">
        <v>574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94">
        <f>IF(I91&lt;&gt;"",MAX(A$1:A90)+1,"")</f>
        <v>72</v>
      </c>
      <c r="B91" s="45" t="s">
        <v>107</v>
      </c>
      <c r="C91" t="s">
        <v>57</v>
      </c>
      <c r="D91">
        <f t="shared" si="11"/>
        <v>4</v>
      </c>
      <c r="E91" s="2" t="s">
        <v>575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2">IF(G91&lt;&gt;"",HEX2DEC(H91),"")</f>
        <v>19932</v>
      </c>
    </row>
    <row r="92" spans="1:21" ht="15" customHeight="1" x14ac:dyDescent="0.25">
      <c r="A92" s="94">
        <f>IF(I92&lt;&gt;"",MAX(A$1:A91)+1,"")</f>
        <v>73</v>
      </c>
      <c r="B92" s="45" t="s">
        <v>108</v>
      </c>
      <c r="C92" t="s">
        <v>57</v>
      </c>
      <c r="D92">
        <f t="shared" si="11"/>
        <v>4</v>
      </c>
      <c r="E92" s="2" t="s">
        <v>576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2"/>
        <v>3986</v>
      </c>
    </row>
    <row r="93" spans="1:21" ht="15" customHeight="1" x14ac:dyDescent="0.25">
      <c r="A93" s="94">
        <f>IF(I93&lt;&gt;"",MAX(A$1:A92)+1,"")</f>
        <v>74</v>
      </c>
      <c r="B93" s="45" t="s">
        <v>109</v>
      </c>
      <c r="C93" t="s">
        <v>57</v>
      </c>
      <c r="D93">
        <f t="shared" si="11"/>
        <v>4</v>
      </c>
      <c r="E93" s="2" t="s">
        <v>577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2"/>
        <v>600</v>
      </c>
    </row>
    <row r="94" spans="1:21" ht="15" customHeight="1" x14ac:dyDescent="0.25">
      <c r="A94" s="94">
        <f>IF(I94&lt;&gt;"",MAX(A$1:A93)+1,"")</f>
        <v>75</v>
      </c>
      <c r="B94" s="45" t="s">
        <v>110</v>
      </c>
      <c r="C94" t="s">
        <v>57</v>
      </c>
      <c r="D94">
        <f t="shared" si="11"/>
        <v>4</v>
      </c>
      <c r="E94" s="2" t="s">
        <v>578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4">
        <f>IF(I95&lt;&gt;"",MAX(A$1:A94)+1,"")</f>
        <v>76</v>
      </c>
      <c r="B95" s="45" t="s">
        <v>111</v>
      </c>
      <c r="C95" t="s">
        <v>57</v>
      </c>
      <c r="D95">
        <f t="shared" si="11"/>
        <v>4</v>
      </c>
      <c r="E95" s="2" t="s">
        <v>579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2"/>
        <v>400</v>
      </c>
    </row>
    <row r="96" spans="1:21" ht="15" customHeight="1" x14ac:dyDescent="0.25">
      <c r="A96" s="94">
        <f>IF(I96&lt;&gt;"",MAX(A$1:A95)+1,"")</f>
        <v>77</v>
      </c>
      <c r="B96" s="45" t="s">
        <v>112</v>
      </c>
      <c r="C96" t="s">
        <v>57</v>
      </c>
      <c r="D96">
        <f t="shared" si="11"/>
        <v>4</v>
      </c>
      <c r="E96" s="2" t="s">
        <v>580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2"/>
        <v>10</v>
      </c>
    </row>
    <row r="97" spans="1:21" ht="15" customHeight="1" x14ac:dyDescent="0.25">
      <c r="A97" s="94">
        <f>IF(I97&lt;&gt;"",MAX(A$1:A96)+1,"")</f>
        <v>78</v>
      </c>
      <c r="B97" s="45" t="s">
        <v>113</v>
      </c>
      <c r="C97" t="s">
        <v>57</v>
      </c>
      <c r="D97">
        <f t="shared" si="11"/>
        <v>4</v>
      </c>
      <c r="E97" s="2" t="s">
        <v>581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4">
        <f>IF(I98&lt;&gt;"",MAX(A$1:A97)+1,"")</f>
        <v>79</v>
      </c>
      <c r="B98" s="45" t="s">
        <v>114</v>
      </c>
      <c r="C98" t="s">
        <v>57</v>
      </c>
      <c r="D98">
        <f t="shared" si="11"/>
        <v>4</v>
      </c>
      <c r="E98" s="2" t="s">
        <v>582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94">
        <f>IF(I99&lt;&gt;"",MAX(A$1:A98)+1,"")</f>
        <v>80</v>
      </c>
      <c r="B99" s="45" t="s">
        <v>115</v>
      </c>
      <c r="C99" t="s">
        <v>57</v>
      </c>
      <c r="D99">
        <f t="shared" si="11"/>
        <v>4</v>
      </c>
      <c r="E99" s="2" t="s">
        <v>583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2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4">
        <f>IF(I100&lt;&gt;"",MAX(A$1:A99)+1,"")</f>
        <v>81</v>
      </c>
      <c r="B100" s="45" t="s">
        <v>116</v>
      </c>
      <c r="C100" t="s">
        <v>57</v>
      </c>
      <c r="D100">
        <f t="shared" si="11"/>
        <v>4</v>
      </c>
      <c r="E100" s="2" t="s">
        <v>584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2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4">
        <f>IF(I101&lt;&gt;"",MAX(A$1:A100)+1,"")</f>
        <v>82</v>
      </c>
      <c r="B101" s="45" t="s">
        <v>117</v>
      </c>
      <c r="C101" t="s">
        <v>57</v>
      </c>
      <c r="D101">
        <f t="shared" si="11"/>
        <v>4</v>
      </c>
      <c r="E101" s="2" t="s">
        <v>585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2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4">
        <f>IF(I102&lt;&gt;"",MAX(A$1:A101)+1,"")</f>
        <v>83</v>
      </c>
      <c r="B102" s="45" t="s">
        <v>118</v>
      </c>
      <c r="C102" t="s">
        <v>63</v>
      </c>
      <c r="D102">
        <f t="shared" si="11"/>
        <v>4</v>
      </c>
      <c r="E102" s="2" t="s">
        <v>586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2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4">
        <f>IF(I103&lt;&gt;"",MAX(A$1:A102)+1,"")</f>
        <v>84</v>
      </c>
      <c r="B103" s="45" t="s">
        <v>119</v>
      </c>
      <c r="C103" t="s">
        <v>63</v>
      </c>
      <c r="D103">
        <f t="shared" si="11"/>
        <v>4</v>
      </c>
      <c r="E103" s="2" t="s">
        <v>587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2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4">
        <f>IF(I104&lt;&gt;"",MAX(A$1:A103)+1,"")</f>
        <v>85</v>
      </c>
      <c r="B104" s="45" t="s">
        <v>120</v>
      </c>
      <c r="C104" t="s">
        <v>57</v>
      </c>
      <c r="D104">
        <f t="shared" si="11"/>
        <v>4</v>
      </c>
      <c r="E104" s="2" t="s">
        <v>588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2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4">
        <f>IF(I105&lt;&gt;"",MAX(A$1:A104)+1,"")</f>
        <v>86</v>
      </c>
      <c r="B105" s="45" t="s">
        <v>121</v>
      </c>
      <c r="C105" t="s">
        <v>63</v>
      </c>
      <c r="D105">
        <f t="shared" si="11"/>
        <v>4</v>
      </c>
      <c r="E105" s="2" t="s">
        <v>589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2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4">
        <f>IF(I106&lt;&gt;"",MAX(A$1:A105)+1,"")</f>
        <v>87</v>
      </c>
      <c r="B106" s="45" t="s">
        <v>122</v>
      </c>
      <c r="C106" t="s">
        <v>63</v>
      </c>
      <c r="D106">
        <f t="shared" si="11"/>
        <v>4</v>
      </c>
      <c r="E106" s="87" t="s">
        <v>590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2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4">
        <f>IF(I107&lt;&gt;"",MAX(A$1:A106)+1,"")</f>
        <v>88</v>
      </c>
      <c r="B107" s="95" t="s">
        <v>123</v>
      </c>
      <c r="C107" t="s">
        <v>57</v>
      </c>
      <c r="D107">
        <f t="shared" si="11"/>
        <v>4</v>
      </c>
      <c r="E107" s="52" t="s">
        <v>703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2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4">
        <f>IF(I108&lt;&gt;"",MAX(A$1:A107)+1,"")</f>
        <v>89</v>
      </c>
      <c r="B108" s="45" t="s">
        <v>124</v>
      </c>
      <c r="C108" t="s">
        <v>63</v>
      </c>
      <c r="D108">
        <f t="shared" si="11"/>
        <v>4</v>
      </c>
      <c r="E108" s="2" t="s">
        <v>591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2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4">
        <f>IF(I109&lt;&gt;"",MAX(A$1:A108)+1,"")</f>
        <v>90</v>
      </c>
      <c r="B109" s="45" t="s">
        <v>125</v>
      </c>
      <c r="C109" t="s">
        <v>63</v>
      </c>
      <c r="D109">
        <f t="shared" si="11"/>
        <v>4</v>
      </c>
      <c r="E109" s="2" t="s">
        <v>592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2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4">
        <f>IF(I110&lt;&gt;"",MAX(A$1:A109)+1,"")</f>
        <v>91</v>
      </c>
      <c r="B110" s="57" t="s">
        <v>704</v>
      </c>
      <c r="C110" t="s">
        <v>63</v>
      </c>
      <c r="D110">
        <f t="shared" si="11"/>
        <v>4</v>
      </c>
      <c r="E110" s="87" t="s">
        <v>593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2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4">
        <f>IF(I111&lt;&gt;"",MAX(A$1:A110)+1,"")</f>
        <v>92</v>
      </c>
      <c r="B111" s="45" t="s">
        <v>126</v>
      </c>
      <c r="C111" t="s">
        <v>63</v>
      </c>
      <c r="D111">
        <f t="shared" si="11"/>
        <v>4</v>
      </c>
      <c r="E111" s="2" t="s">
        <v>594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2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79"/>
      <c r="B112" s="47"/>
      <c r="E112" s="58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79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79">
        <f>IF(I114&lt;&gt;"",MAX(A$1:A113)+1,"")</f>
        <v>93</v>
      </c>
      <c r="B114" s="45" t="s">
        <v>434</v>
      </c>
      <c r="C114" t="s">
        <v>57</v>
      </c>
      <c r="D114">
        <f t="shared" si="11"/>
        <v>4</v>
      </c>
      <c r="E114" s="2" t="s">
        <v>595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79">
        <f>IF(I115&lt;&gt;"",MAX(A$1:A114)+1,"")</f>
        <v>94</v>
      </c>
      <c r="B115" s="45" t="s">
        <v>435</v>
      </c>
      <c r="C115" t="s">
        <v>57</v>
      </c>
      <c r="D115">
        <f t="shared" si="11"/>
        <v>4</v>
      </c>
      <c r="E115" s="2" t="s">
        <v>596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2"/>
        <v>30422</v>
      </c>
    </row>
    <row r="116" spans="1:21" ht="15" customHeight="1" x14ac:dyDescent="0.25">
      <c r="A116" s="79">
        <f>IF(I116&lt;&gt;"",MAX(A$1:A115)+1,"")</f>
        <v>95</v>
      </c>
      <c r="B116" s="45" t="s">
        <v>436</v>
      </c>
      <c r="C116" t="s">
        <v>57</v>
      </c>
      <c r="D116">
        <f t="shared" si="11"/>
        <v>4</v>
      </c>
      <c r="E116" s="2" t="s">
        <v>597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2"/>
        <v>250</v>
      </c>
    </row>
    <row r="117" spans="1:21" ht="15" customHeight="1" x14ac:dyDescent="0.25">
      <c r="A117" s="79">
        <f>IF(I117&lt;&gt;"",MAX(A$1:A116)+1,"")</f>
        <v>96</v>
      </c>
      <c r="B117" s="45" t="s">
        <v>437</v>
      </c>
      <c r="C117" t="s">
        <v>57</v>
      </c>
      <c r="D117">
        <f t="shared" si="11"/>
        <v>4</v>
      </c>
      <c r="E117" s="2" t="s">
        <v>598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2"/>
        <v>25</v>
      </c>
    </row>
    <row r="118" spans="1:21" s="70" customFormat="1" ht="15" customHeight="1" x14ac:dyDescent="0.25">
      <c r="A118" s="79">
        <f>IF(I118&lt;&gt;"",MAX(A$1:A117)+1,"")</f>
        <v>97</v>
      </c>
      <c r="B118" s="68" t="s">
        <v>722</v>
      </c>
      <c r="C118" s="70" t="s">
        <v>57</v>
      </c>
      <c r="D118" s="70">
        <f t="shared" si="11"/>
        <v>4</v>
      </c>
      <c r="E118" s="60" t="s">
        <v>724</v>
      </c>
      <c r="G118" s="65">
        <f>SAMPLES_NUMBER</f>
        <v>10</v>
      </c>
      <c r="H118" s="64" t="str">
        <f>IF(G118&lt;&gt;"",IF(C118="float32",FLOAT2HEX(G118),DEC2HEX(G118,8)),"")</f>
        <v>0000000A</v>
      </c>
      <c r="I118" s="64">
        <f t="shared" ref="I118" si="13">IF(G118&lt;&gt;"",HEX2DEC(H118),"")</f>
        <v>10</v>
      </c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5" customHeight="1" x14ac:dyDescent="0.25">
      <c r="A119" s="79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2"/>
        <v/>
      </c>
    </row>
    <row r="120" spans="1:21" s="9" customFormat="1" ht="20.100000000000001" customHeight="1" x14ac:dyDescent="0.25">
      <c r="A120" s="79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79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599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2"/>
        <v>1181730279</v>
      </c>
    </row>
    <row r="122" spans="1:21" ht="15" customHeight="1" x14ac:dyDescent="0.25">
      <c r="A122" s="79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600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2"/>
        <v>1073055505</v>
      </c>
    </row>
    <row r="123" spans="1:21" ht="15" customHeight="1" x14ac:dyDescent="0.25">
      <c r="A123" s="79">
        <f>IF(I123&lt;&gt;"",MAX(A$1:A122)+1,"")</f>
        <v>100</v>
      </c>
      <c r="B123" s="47" t="s">
        <v>700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0" t="s">
        <v>718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2"/>
        <v>144</v>
      </c>
    </row>
    <row r="124" spans="1:21" ht="15" customHeight="1" x14ac:dyDescent="0.25">
      <c r="A124" s="79">
        <f>IF(I124&lt;&gt;"",MAX(A$1:A123)+1,"")</f>
        <v>101</v>
      </c>
      <c r="B124" s="47" t="s">
        <v>701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8" t="s">
        <v>719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2"/>
        <v>225</v>
      </c>
    </row>
    <row r="125" spans="1:21" ht="15" customHeight="1" x14ac:dyDescent="0.25">
      <c r="A125" s="79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2"/>
        <v/>
      </c>
    </row>
    <row r="126" spans="1:21" s="9" customFormat="1" ht="20.100000000000001" customHeight="1" x14ac:dyDescent="0.25">
      <c r="A126" s="79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79">
        <f>IF(I127&lt;&gt;"",MAX(A$1:A126)+1,"")</f>
        <v>102</v>
      </c>
      <c r="B127" s="45" t="s">
        <v>445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442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2"/>
        <v>1158195614</v>
      </c>
    </row>
    <row r="128" spans="1:21" ht="15" customHeight="1" x14ac:dyDescent="0.25">
      <c r="A128" s="94">
        <f>IF(I128&lt;&gt;"",MAX(A$1:A127)+1,"")</f>
        <v>103</v>
      </c>
      <c r="B128" s="45" t="s">
        <v>446</v>
      </c>
      <c r="C128" t="s">
        <v>65</v>
      </c>
      <c r="D128">
        <f t="shared" ref="D128:D134" si="14">IF(OR(C128="sint64",C128="uint64",C128="double64"), 8, IF(OR(C128="sint32",C128="uint32",C128="float32"),4,IF(OR(C128="sint16",C128="uint16"),2,  IF(OR(C128="sint8",C128="uint8"),1,""))))</f>
        <v>4</v>
      </c>
      <c r="E128" s="2" t="s">
        <v>443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2"/>
        <v>1078530011</v>
      </c>
    </row>
    <row r="129" spans="1:21" x14ac:dyDescent="0.25">
      <c r="A129" s="94">
        <f>IF(I129&lt;&gt;"",MAX(A$1:A128)+1,"")</f>
        <v>104</v>
      </c>
      <c r="B129" s="45" t="s">
        <v>444</v>
      </c>
      <c r="C129" t="s">
        <v>65</v>
      </c>
      <c r="D129">
        <f t="shared" si="14"/>
        <v>4</v>
      </c>
      <c r="E129" s="2" t="s">
        <v>447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2"/>
        <v>1096584989</v>
      </c>
    </row>
    <row r="130" spans="1:21" s="101" customFormat="1" x14ac:dyDescent="0.25">
      <c r="A130" s="94">
        <f>IF(I130&lt;&gt;"",MAX(A$1:A129)+1,"")</f>
        <v>105</v>
      </c>
      <c r="B130" s="95" t="s">
        <v>754</v>
      </c>
      <c r="C130" s="101" t="s">
        <v>65</v>
      </c>
      <c r="D130" s="101">
        <f t="shared" si="14"/>
        <v>4</v>
      </c>
      <c r="E130" s="87" t="s">
        <v>755</v>
      </c>
      <c r="G130" s="93">
        <f>BASE_FLUX</f>
        <v>0.27950000000000003</v>
      </c>
      <c r="H130" s="92" t="str">
        <f>IF(G130&lt;&gt;"",IF(C130="float32",FLOAT2HEX(G130),DEC2HEX(G130,8)),"")</f>
        <v>3E8F1AA0</v>
      </c>
      <c r="I130" s="92">
        <f t="shared" ref="I130" si="15">IF(G130&lt;&gt;"",HEX2DEC(H130),"")</f>
        <v>1049565856</v>
      </c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4">
        <f>IF(I131&lt;&gt;"",MAX(A$1:A130)+1,"")</f>
        <v>106</v>
      </c>
      <c r="B131" s="45" t="s">
        <v>450</v>
      </c>
      <c r="C131" t="s">
        <v>65</v>
      </c>
      <c r="D131">
        <f t="shared" si="14"/>
        <v>4</v>
      </c>
      <c r="E131" s="2" t="s">
        <v>448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2"/>
        <v>1138602967</v>
      </c>
    </row>
    <row r="132" spans="1:21" x14ac:dyDescent="0.25">
      <c r="A132" s="94">
        <f>IF(I132&lt;&gt;"",MAX(A$1:A131)+1,"")</f>
        <v>107</v>
      </c>
      <c r="B132" s="45" t="s">
        <v>449</v>
      </c>
      <c r="C132" t="s">
        <v>65</v>
      </c>
      <c r="D132">
        <f t="shared" si="14"/>
        <v>4</v>
      </c>
      <c r="E132" s="2" t="s">
        <v>451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1" customFormat="1" x14ac:dyDescent="0.25">
      <c r="A133" s="94">
        <f>IF(I133&lt;&gt;"",MAX(A$1:A132)+1,"")</f>
        <v>108</v>
      </c>
      <c r="B133" s="95" t="s">
        <v>1058</v>
      </c>
      <c r="C133" s="101" t="s">
        <v>65</v>
      </c>
      <c r="D133" s="101">
        <f t="shared" si="14"/>
        <v>4</v>
      </c>
      <c r="E133" s="87" t="s">
        <v>1059</v>
      </c>
      <c r="G133" s="93">
        <f>BASE_ANGLE</f>
        <v>180</v>
      </c>
      <c r="H133" s="92" t="str">
        <f>IF(G133&lt;&gt;"",IF(C133="float32",FLOAT2HEX(G133),DEC2HEX(G133,8)),"")</f>
        <v>43340000</v>
      </c>
      <c r="I133" s="92">
        <f>IF(G133&lt;&gt;"",HEX2DEC(H133),"")</f>
        <v>1127481344</v>
      </c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s="101" customFormat="1" x14ac:dyDescent="0.25">
      <c r="A134" s="94">
        <f>IF(I134&lt;&gt;"",MAX(A$1:A133)+1,"")</f>
        <v>109</v>
      </c>
      <c r="B134" s="95" t="s">
        <v>1060</v>
      </c>
      <c r="C134" s="101" t="s">
        <v>65</v>
      </c>
      <c r="D134" s="101">
        <f t="shared" si="14"/>
        <v>4</v>
      </c>
      <c r="E134" s="87" t="s">
        <v>1061</v>
      </c>
      <c r="G134" s="93">
        <f>BASE_IND</f>
        <v>34.002433090024326</v>
      </c>
      <c r="H134" s="92" t="str">
        <f>IF(G134&lt;&gt;"",IF(C134="float32",FLOAT2HEX(G134),DEC2HEX(G134,8)),"")</f>
        <v>4208027E</v>
      </c>
      <c r="I134" s="92">
        <f>IF(G134&lt;&gt;"",HEX2DEC(H134),"")</f>
        <v>1107821182</v>
      </c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4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59" si="16">IF(G135&lt;&gt;"",HEX2DEC(H135),"")</f>
        <v/>
      </c>
    </row>
    <row r="136" spans="1:21" ht="20.100000000000001" customHeight="1" x14ac:dyDescent="0.25">
      <c r="A136" s="94" t="str">
        <f>IF(I136&lt;&gt;"",MAX(A$1:A135)+1,"")</f>
        <v/>
      </c>
      <c r="B136" s="44" t="s">
        <v>462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4">
        <f>IF(I137&lt;&gt;"",MAX(A$1:A136)+1,"")</f>
        <v>110</v>
      </c>
      <c r="B137" s="48" t="s">
        <v>467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98" t="s">
        <v>751</v>
      </c>
      <c r="F137" s="102"/>
      <c r="G137" s="99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6"/>
        <v>21683</v>
      </c>
    </row>
    <row r="138" spans="1:21" ht="15" customHeight="1" x14ac:dyDescent="0.25">
      <c r="A138" s="94">
        <f>IF(I138&lt;&gt;"",MAX(A$1:A137)+1,"")</f>
        <v>111</v>
      </c>
      <c r="B138" s="45" t="s">
        <v>91</v>
      </c>
      <c r="C138" t="s">
        <v>63</v>
      </c>
      <c r="D138">
        <f t="shared" ref="D138:D158" si="17">IF(OR(C138="sint64",C138="uint64",C138="double64"), 8, IF(OR(C138="sint32",C138="uint32",C138="float32"),4,IF(OR(C138="sint16",C138="uint16"),2,  IF(OR(C138="sint8",C138="uint8"),1,""))))</f>
        <v>4</v>
      </c>
      <c r="E138" s="2" t="s">
        <v>699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94">
        <f>IF(I139&lt;&gt;"",MAX(A$1:A138)+1,"")</f>
        <v>112</v>
      </c>
      <c r="B139" s="45" t="s">
        <v>93</v>
      </c>
      <c r="C139" t="s">
        <v>57</v>
      </c>
      <c r="D139">
        <f t="shared" si="17"/>
        <v>4</v>
      </c>
      <c r="E139" s="2" t="s">
        <v>699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s="101" customFormat="1" ht="15" customHeight="1" x14ac:dyDescent="0.25">
      <c r="A140" s="94">
        <f>IF(I140&lt;&gt;"",MAX(A$1:A139)+1,"")</f>
        <v>113</v>
      </c>
      <c r="B140" s="96" t="s">
        <v>1082</v>
      </c>
      <c r="C140" s="101" t="s">
        <v>57</v>
      </c>
      <c r="D140" s="82">
        <f>IF(OR(C140="sint64",C140="uint64",C140="double64"), 8, IF(OR(C140="sint32",C140="uint32",C140="float32"),4,IF(OR(C140="sint16",C140="uint16"),2,  IF(OR(C140="sint8",C140="uint8"),1,""))))</f>
        <v>4</v>
      </c>
      <c r="E140" s="87" t="s">
        <v>1084</v>
      </c>
      <c r="G140" s="93">
        <f>ROUND((M_INDEX_CTRL/100 * 32768),0)</f>
        <v>37683</v>
      </c>
      <c r="H140" s="92" t="str">
        <f>IF(G140&lt;&gt;"",IF(C140="float32",FLOAT2HEX(G140),DEC2HEX(G140,8)),"")</f>
        <v>00009333</v>
      </c>
      <c r="I140" s="92">
        <f t="shared" ref="I140" si="18">IF(G140&lt;&gt;"",HEX2DEC(H140),"")</f>
        <v>37683</v>
      </c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ht="15" customHeight="1" x14ac:dyDescent="0.25">
      <c r="A141" s="94">
        <f>IF(I141&lt;&gt;"",MAX(A$1:A140)+1,"")</f>
        <v>114</v>
      </c>
      <c r="B141" s="45" t="s">
        <v>463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7" t="s">
        <v>603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6"/>
        <v>200</v>
      </c>
    </row>
    <row r="142" spans="1:21" ht="15" customHeight="1" x14ac:dyDescent="0.25">
      <c r="A142" s="94">
        <f>IF(I142&lt;&gt;"",MAX(A$1:A141)+1,"")</f>
        <v>115</v>
      </c>
      <c r="B142" s="45" t="s">
        <v>464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604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6"/>
        <v>10</v>
      </c>
    </row>
    <row r="143" spans="1:21" ht="15" customHeight="1" x14ac:dyDescent="0.25">
      <c r="A143" s="94">
        <f>IF(I143&lt;&gt;"",MAX(A$1:A142)+1,"")</f>
        <v>116</v>
      </c>
      <c r="B143" s="45" t="s">
        <v>465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601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6"/>
        <v>200</v>
      </c>
    </row>
    <row r="144" spans="1:21" ht="15" customHeight="1" x14ac:dyDescent="0.25">
      <c r="A144" s="94">
        <f>IF(I144&lt;&gt;"",MAX(A$1:A143)+1,"")</f>
        <v>117</v>
      </c>
      <c r="B144" s="45" t="s">
        <v>466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602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6"/>
        <v>10</v>
      </c>
    </row>
    <row r="145" spans="1:9" ht="15" customHeight="1" x14ac:dyDescent="0.25">
      <c r="A145" s="94">
        <f>IF(I145&lt;&gt;"",MAX(A$1:A144)+1,"")</f>
        <v>118</v>
      </c>
      <c r="B145" s="45" t="s">
        <v>80</v>
      </c>
      <c r="C145" t="s">
        <v>57</v>
      </c>
      <c r="D145">
        <f t="shared" si="17"/>
        <v>4</v>
      </c>
      <c r="E145" s="2" t="s">
        <v>699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ht="15" customHeight="1" x14ac:dyDescent="0.25">
      <c r="A146" s="94">
        <f>IF(I146&lt;&gt;"",MAX(A$1:A145)+1,"")</f>
        <v>119</v>
      </c>
      <c r="B146" s="45" t="s">
        <v>72</v>
      </c>
      <c r="C146" t="s">
        <v>57</v>
      </c>
      <c r="D146">
        <f t="shared" si="17"/>
        <v>4</v>
      </c>
      <c r="E146" s="2" t="s">
        <v>699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4">
        <f>IF(I147&lt;&gt;"",MAX(A$1:A146)+1,"")</f>
        <v>120</v>
      </c>
      <c r="B147" s="45" t="s">
        <v>81</v>
      </c>
      <c r="C147" t="s">
        <v>57</v>
      </c>
      <c r="D147">
        <f t="shared" si="17"/>
        <v>4</v>
      </c>
      <c r="E147" s="2" t="s">
        <v>699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4">
        <f>IF(I148&lt;&gt;"",MAX(A$1:A147)+1,"")</f>
        <v>121</v>
      </c>
      <c r="B148" s="45" t="s">
        <v>82</v>
      </c>
      <c r="C148" t="s">
        <v>57</v>
      </c>
      <c r="D148">
        <f t="shared" si="17"/>
        <v>4</v>
      </c>
      <c r="E148" s="2" t="s">
        <v>699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4">
        <f>IF(I149&lt;&gt;"",MAX(A$1:A148)+1,"")</f>
        <v>122</v>
      </c>
      <c r="B149" s="45" t="s">
        <v>83</v>
      </c>
      <c r="C149" t="s">
        <v>57</v>
      </c>
      <c r="D149">
        <f t="shared" si="17"/>
        <v>4</v>
      </c>
      <c r="E149" s="87" t="s">
        <v>699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4">
        <f>IF(I150&lt;&gt;"",MAX(A$1:A149)+1,"")</f>
        <v>123</v>
      </c>
      <c r="B150" s="45" t="s">
        <v>84</v>
      </c>
      <c r="C150" t="s">
        <v>57</v>
      </c>
      <c r="D150">
        <f t="shared" si="17"/>
        <v>4</v>
      </c>
      <c r="E150" s="2" t="s">
        <v>699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4">
        <f>IF(I151&lt;&gt;"",MAX(A$1:A150)+1,"")</f>
        <v>124</v>
      </c>
      <c r="B151" s="45" t="s">
        <v>85</v>
      </c>
      <c r="C151" t="s">
        <v>57</v>
      </c>
      <c r="D151">
        <f t="shared" si="17"/>
        <v>4</v>
      </c>
      <c r="E151" s="2" t="s">
        <v>699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4">
        <f>IF(I152&lt;&gt;"",MAX(A$1:A151)+1,"")</f>
        <v>125</v>
      </c>
      <c r="B152" s="45" t="s">
        <v>73</v>
      </c>
      <c r="C152" t="s">
        <v>57</v>
      </c>
      <c r="D152">
        <f t="shared" si="17"/>
        <v>4</v>
      </c>
      <c r="E152" s="2" t="s">
        <v>699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4">
        <f>IF(I153&lt;&gt;"",MAX(A$1:A152)+1,"")</f>
        <v>126</v>
      </c>
      <c r="B153" s="45" t="s">
        <v>86</v>
      </c>
      <c r="C153" t="s">
        <v>57</v>
      </c>
      <c r="D153">
        <f t="shared" si="17"/>
        <v>4</v>
      </c>
      <c r="E153" s="2" t="s">
        <v>699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4">
        <f>IF(I154&lt;&gt;"",MAX(A$1:A153)+1,"")</f>
        <v>127</v>
      </c>
      <c r="B154" s="45" t="s">
        <v>87</v>
      </c>
      <c r="C154" t="s">
        <v>57</v>
      </c>
      <c r="D154">
        <f t="shared" si="17"/>
        <v>4</v>
      </c>
      <c r="E154" s="2" t="s">
        <v>699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4">
        <f>IF(I155&lt;&gt;"",MAX(A$1:A154)+1,"")</f>
        <v>128</v>
      </c>
      <c r="B155" s="45" t="s">
        <v>88</v>
      </c>
      <c r="C155" t="s">
        <v>57</v>
      </c>
      <c r="D155">
        <f t="shared" si="17"/>
        <v>4</v>
      </c>
      <c r="E155" s="2" t="s">
        <v>699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4">
        <f>IF(I156&lt;&gt;"",MAX(A$1:A155)+1,"")</f>
        <v>129</v>
      </c>
      <c r="B156" s="45" t="s">
        <v>89</v>
      </c>
      <c r="C156" t="s">
        <v>57</v>
      </c>
      <c r="D156">
        <f t="shared" si="17"/>
        <v>4</v>
      </c>
      <c r="E156" s="2" t="s">
        <v>699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4">
        <f>IF(I157&lt;&gt;"",MAX(A$1:A156)+1,"")</f>
        <v>130</v>
      </c>
      <c r="B157" s="45" t="s">
        <v>90</v>
      </c>
      <c r="C157" t="s">
        <v>57</v>
      </c>
      <c r="D157">
        <f t="shared" si="17"/>
        <v>4</v>
      </c>
      <c r="E157" s="2" t="s">
        <v>699</v>
      </c>
      <c r="G157" s="11">
        <v>0</v>
      </c>
      <c r="H157" s="77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4">
        <f>IF(I158&lt;&gt;"",MAX(A$1:A157)+1,"")</f>
        <v>131</v>
      </c>
      <c r="B158" s="45" t="s">
        <v>74</v>
      </c>
      <c r="C158" t="s">
        <v>57</v>
      </c>
      <c r="D158">
        <f t="shared" si="17"/>
        <v>4</v>
      </c>
      <c r="E158" s="2" t="s">
        <v>699</v>
      </c>
      <c r="G158" s="11">
        <v>0</v>
      </c>
      <c r="H158" s="77" t="str">
        <f>IF(G158&lt;&gt;"",IF(C158="float32",FLOAT2HEX(G158),DEC2HEX(G158,8)),"")</f>
        <v>00000000</v>
      </c>
      <c r="I158" s="9">
        <f t="shared" si="16"/>
        <v>0</v>
      </c>
    </row>
    <row r="159" spans="1:9" x14ac:dyDescent="0.25">
      <c r="A159" s="94" t="str">
        <f>IF(I159&lt;&gt;"",MAX(A$1:A158)+1,"")</f>
        <v/>
      </c>
      <c r="C159" s="51"/>
      <c r="D159" s="51"/>
      <c r="E159" s="52"/>
      <c r="F159" s="51"/>
      <c r="G159" s="55"/>
      <c r="H159" s="77" t="str">
        <f>IF(G159&lt;&gt;"",IF(C159="float32",FLOAT2HEX(G159),DEC2HEX(G159,8)),"")</f>
        <v/>
      </c>
      <c r="I159" s="77" t="str">
        <f t="shared" si="16"/>
        <v/>
      </c>
    </row>
    <row r="160" spans="1:9" ht="26.25" x14ac:dyDescent="0.25">
      <c r="A160" s="94" t="str">
        <f>IF(I160&lt;&gt;"",MAX(A$1:A159)+1,"")</f>
        <v/>
      </c>
      <c r="B160" s="80" t="s">
        <v>682</v>
      </c>
      <c r="C160" s="78"/>
      <c r="D160" s="78"/>
      <c r="E160" s="78"/>
      <c r="F160" s="78"/>
      <c r="G160" s="78" t="str">
        <f>IF(F160&lt;&gt;"",DEC2HEX(F160,4),"")</f>
        <v/>
      </c>
      <c r="H160" s="78"/>
      <c r="I160" s="78"/>
    </row>
    <row r="161" spans="1:9" x14ac:dyDescent="0.25">
      <c r="A161" s="94">
        <f>IF(I161&lt;&gt;"",MAX(A$1:A160)+1,"")</f>
        <v>132</v>
      </c>
      <c r="B161" s="95" t="s">
        <v>683</v>
      </c>
      <c r="C161" s="101" t="s">
        <v>57</v>
      </c>
      <c r="D161" s="101">
        <v>4</v>
      </c>
      <c r="E161" s="87" t="s">
        <v>684</v>
      </c>
      <c r="G161" s="101">
        <f>ROUND((PWM_SPEED_THRESHOLD_PWM_COMP * (32768/BASE_SPEED_RPM)),0)</f>
        <v>89915</v>
      </c>
      <c r="H161" s="92" t="str">
        <f>IF(G161&lt;&gt;"",IF(C161="float32",FLOAT2HEX(G161),DEC2HEX(G161,8)),"")</f>
        <v>00015F3B</v>
      </c>
      <c r="I161" s="92">
        <f t="shared" ref="I161" si="19">IF(G161&lt;&gt;"",HEX2DEC(H161),"")</f>
        <v>89915</v>
      </c>
    </row>
    <row r="162" spans="1:9" x14ac:dyDescent="0.25">
      <c r="H162" s="9" t="str">
        <f>IF(G162&lt;&gt;"",IF(C162="float32",FLOAT2HEX(G162),DEC2HEX(G162,8)),"")</f>
        <v/>
      </c>
      <c r="I162" s="9" t="str">
        <f t="shared" ref="I160:I187" si="20">IF(G162&lt;&gt;"",HEX2DEC(H162),"")</f>
        <v/>
      </c>
    </row>
    <row r="163" spans="1:9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1:9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20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20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20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20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20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20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20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20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20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20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20"/>
        <v/>
      </c>
    </row>
    <row r="188" spans="8:9" x14ac:dyDescent="0.25">
      <c r="H188" s="9" t="str">
        <f>IF(G188&lt;&gt;"",IF(C188="float32",FLOAT2HEX(G188),DEC2HEX(G188,8)),"")</f>
        <v/>
      </c>
      <c r="I188" s="9"/>
    </row>
    <row r="189" spans="8:9" x14ac:dyDescent="0.25">
      <c r="H189" s="9" t="str">
        <f>IF(G189&lt;&gt;"",IF(C189="float32",FLOAT2HEX(G189),DEC2HEX(G189,8)),"")</f>
        <v/>
      </c>
      <c r="I189" s="9"/>
    </row>
    <row r="190" spans="8:9" x14ac:dyDescent="0.25">
      <c r="H190" s="9" t="str">
        <f>IF(G190&lt;&gt;"",IF(C190="float32",FLOAT2HEX(G190),DEC2HEX(G190,8)),"")</f>
        <v/>
      </c>
    </row>
    <row r="191" spans="8:9" x14ac:dyDescent="0.25">
      <c r="H191" s="9" t="str">
        <f>IF(G191&lt;&gt;"",IF(C191="float32",FLOAT2HEX(G191),DEC2HEX(G191,8)),"")</f>
        <v/>
      </c>
    </row>
    <row r="192" spans="8:9" x14ac:dyDescent="0.25">
      <c r="H192" s="9" t="str">
        <f>IF(G192&lt;&gt;"",IF(C192="float32",FLOAT2HEX(G192),DEC2HEX(G192,8)),"")</f>
        <v/>
      </c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53:C71 C73:C81 C137:C159 C121:C125 C29:C51 C10:C27 C7:C8 C16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1" t="s">
        <v>194</v>
      </c>
      <c r="C3" s="111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608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480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496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481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497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482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498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483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499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484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500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485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501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486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502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487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503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488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504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0" t="s">
        <v>489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505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490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506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491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507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492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508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493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509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494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510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495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511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7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512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528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513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529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514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530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515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531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516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532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517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533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518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534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519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535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520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536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521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537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522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538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523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539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524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540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525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541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526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542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527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543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4">
        <f>IF(I72&lt;&gt;"",MAX(A$1:A71)+1,"")</f>
        <v>64</v>
      </c>
      <c r="B72" s="95" t="s">
        <v>1077</v>
      </c>
      <c r="C72" s="101" t="s">
        <v>57</v>
      </c>
      <c r="D72" s="101">
        <f t="shared" ref="D72" si="3">IF(OR(C72="sint64",C72="uint64",C72="double64"), 8, IF(OR(C72="sint32",C72="uint32",C72="float32"),4,IF(OR(C72="sint16",C72="uint16"),2,  IF(OR(C72="sint8",C72="uint8"),1,""))))</f>
        <v>4</v>
      </c>
      <c r="E72" s="87" t="s">
        <v>1078</v>
      </c>
      <c r="F72" s="101"/>
      <c r="G72" s="93">
        <f>(A71+1)/4-1</f>
        <v>15</v>
      </c>
      <c r="H72" s="92" t="str">
        <f>IF(G72&lt;&gt;"",IF(C72="float32",FLOAT2HEX(G72),DEC2HEX(G72,8)),"")</f>
        <v>0000000F</v>
      </c>
      <c r="I72" s="92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0" t="s">
        <v>681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1" t="s">
        <v>194</v>
      </c>
      <c r="C3" s="111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609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610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611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612</v>
      </c>
      <c r="C8" t="s">
        <v>57</v>
      </c>
      <c r="D8">
        <f t="shared" si="0"/>
        <v>4</v>
      </c>
      <c r="E8" s="2" t="s">
        <v>613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5" t="s">
        <v>614</v>
      </c>
      <c r="C9" t="s">
        <v>57</v>
      </c>
      <c r="D9">
        <f t="shared" si="0"/>
        <v>4</v>
      </c>
      <c r="E9" s="2" t="s">
        <v>615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616</v>
      </c>
      <c r="C10" t="s">
        <v>63</v>
      </c>
      <c r="D10">
        <f t="shared" si="0"/>
        <v>4</v>
      </c>
      <c r="E10" s="87" t="s">
        <v>1104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617</v>
      </c>
      <c r="C11" t="s">
        <v>57</v>
      </c>
      <c r="D11">
        <f t="shared" si="0"/>
        <v>4</v>
      </c>
      <c r="E11" s="2" t="s">
        <v>473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618</v>
      </c>
      <c r="C12" t="s">
        <v>57</v>
      </c>
      <c r="D12">
        <f t="shared" si="0"/>
        <v>4</v>
      </c>
      <c r="E12" s="2" t="s">
        <v>619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620</v>
      </c>
      <c r="C13" t="s">
        <v>57</v>
      </c>
      <c r="D13">
        <f t="shared" si="0"/>
        <v>4</v>
      </c>
      <c r="E13" s="2" t="s">
        <v>621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622</v>
      </c>
      <c r="C14" t="s">
        <v>57</v>
      </c>
      <c r="D14">
        <f t="shared" si="0"/>
        <v>4</v>
      </c>
      <c r="E14" s="2" t="s">
        <v>623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624</v>
      </c>
      <c r="C15" t="s">
        <v>57</v>
      </c>
      <c r="D15">
        <f t="shared" si="0"/>
        <v>4</v>
      </c>
      <c r="E15" s="2" t="s">
        <v>625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626</v>
      </c>
      <c r="C16" t="s">
        <v>63</v>
      </c>
      <c r="D16">
        <f t="shared" si="0"/>
        <v>4</v>
      </c>
      <c r="E16" s="87" t="s">
        <v>1105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627</v>
      </c>
      <c r="C17" t="s">
        <v>57</v>
      </c>
      <c r="D17">
        <f t="shared" si="0"/>
        <v>4</v>
      </c>
      <c r="E17" s="2" t="s">
        <v>628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629</v>
      </c>
      <c r="C18" t="s">
        <v>57</v>
      </c>
      <c r="D18">
        <f t="shared" si="0"/>
        <v>4</v>
      </c>
      <c r="E18" s="2" t="s">
        <v>630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631</v>
      </c>
      <c r="C19" t="s">
        <v>57</v>
      </c>
      <c r="D19">
        <f t="shared" si="0"/>
        <v>4</v>
      </c>
      <c r="E19" s="2" t="s">
        <v>632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633</v>
      </c>
      <c r="C20" t="s">
        <v>63</v>
      </c>
      <c r="D20">
        <f t="shared" si="0"/>
        <v>4</v>
      </c>
      <c r="E20" s="2" t="s">
        <v>634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635</v>
      </c>
      <c r="C21" t="s">
        <v>57</v>
      </c>
      <c r="D21">
        <f t="shared" si="0"/>
        <v>4</v>
      </c>
      <c r="E21" s="2" t="s">
        <v>623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636</v>
      </c>
      <c r="C22" t="s">
        <v>57</v>
      </c>
      <c r="D22">
        <f t="shared" si="0"/>
        <v>4</v>
      </c>
      <c r="E22" s="2" t="s">
        <v>625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637</v>
      </c>
      <c r="C23" t="s">
        <v>57</v>
      </c>
      <c r="D23">
        <f t="shared" si="0"/>
        <v>4</v>
      </c>
      <c r="E23" s="2" t="s">
        <v>638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639</v>
      </c>
      <c r="C24" t="s">
        <v>57</v>
      </c>
      <c r="D24">
        <f t="shared" si="0"/>
        <v>4</v>
      </c>
      <c r="E24" s="2" t="s">
        <v>640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641</v>
      </c>
      <c r="C25" t="s">
        <v>57</v>
      </c>
      <c r="D25">
        <f t="shared" si="0"/>
        <v>4</v>
      </c>
      <c r="E25" s="2" t="s">
        <v>642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643</v>
      </c>
      <c r="C26" t="s">
        <v>57</v>
      </c>
      <c r="D26">
        <f t="shared" si="0"/>
        <v>4</v>
      </c>
      <c r="E26" s="2" t="s">
        <v>644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645</v>
      </c>
      <c r="C27" t="s">
        <v>57</v>
      </c>
      <c r="D27">
        <f t="shared" si="0"/>
        <v>4</v>
      </c>
      <c r="E27" s="2" t="s">
        <v>646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647</v>
      </c>
      <c r="C28" t="s">
        <v>57</v>
      </c>
      <c r="D28">
        <f t="shared" si="0"/>
        <v>4</v>
      </c>
      <c r="E28" s="2" t="s">
        <v>648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649</v>
      </c>
      <c r="C29" t="s">
        <v>57</v>
      </c>
      <c r="D29">
        <f t="shared" si="0"/>
        <v>4</v>
      </c>
      <c r="E29" s="2" t="s">
        <v>650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651</v>
      </c>
      <c r="C30" t="s">
        <v>57</v>
      </c>
      <c r="D30">
        <f t="shared" si="0"/>
        <v>4</v>
      </c>
      <c r="E30" s="2" t="s">
        <v>652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653</v>
      </c>
      <c r="C31" t="s">
        <v>57</v>
      </c>
      <c r="D31">
        <f t="shared" si="0"/>
        <v>4</v>
      </c>
      <c r="E31" s="2" t="s">
        <v>654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655</v>
      </c>
      <c r="C32" t="s">
        <v>57</v>
      </c>
      <c r="D32">
        <f t="shared" si="0"/>
        <v>4</v>
      </c>
      <c r="E32" s="2" t="s">
        <v>656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657</v>
      </c>
      <c r="C33" t="s">
        <v>57</v>
      </c>
      <c r="D33">
        <f t="shared" si="0"/>
        <v>4</v>
      </c>
      <c r="E33" s="2" t="s">
        <v>658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659</v>
      </c>
      <c r="C34" t="s">
        <v>57</v>
      </c>
      <c r="D34">
        <f t="shared" si="0"/>
        <v>4</v>
      </c>
      <c r="E34" s="2" t="s">
        <v>660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661</v>
      </c>
      <c r="C35" t="s">
        <v>57</v>
      </c>
      <c r="D35">
        <f t="shared" si="0"/>
        <v>4</v>
      </c>
      <c r="E35" s="2" t="s">
        <v>662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663</v>
      </c>
      <c r="C36" t="s">
        <v>57</v>
      </c>
      <c r="D36">
        <f t="shared" si="0"/>
        <v>4</v>
      </c>
      <c r="E36" s="2" t="s">
        <v>664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665</v>
      </c>
      <c r="C37" t="s">
        <v>57</v>
      </c>
      <c r="D37">
        <f t="shared" si="0"/>
        <v>4</v>
      </c>
      <c r="E37" s="2" t="s">
        <v>666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667</v>
      </c>
      <c r="C38" t="s">
        <v>57</v>
      </c>
      <c r="D38">
        <f t="shared" si="0"/>
        <v>4</v>
      </c>
      <c r="E38" s="2" t="s">
        <v>668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669</v>
      </c>
      <c r="C39" t="s">
        <v>57</v>
      </c>
      <c r="D39">
        <f t="shared" si="0"/>
        <v>4</v>
      </c>
      <c r="E39" s="2" t="s">
        <v>670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671</v>
      </c>
      <c r="C40" t="s">
        <v>57</v>
      </c>
      <c r="D40">
        <f t="shared" si="0"/>
        <v>4</v>
      </c>
      <c r="E40" s="2" t="s">
        <v>672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673</v>
      </c>
      <c r="C41" t="s">
        <v>57</v>
      </c>
      <c r="D41">
        <f t="shared" si="0"/>
        <v>4</v>
      </c>
      <c r="E41" s="2" t="s">
        <v>674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5" t="s">
        <v>675</v>
      </c>
      <c r="C42" t="s">
        <v>57</v>
      </c>
      <c r="D42">
        <f t="shared" si="0"/>
        <v>4</v>
      </c>
      <c r="E42" s="2" t="s">
        <v>676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677</v>
      </c>
      <c r="C43" t="s">
        <v>57</v>
      </c>
      <c r="D43">
        <f t="shared" si="0"/>
        <v>4</v>
      </c>
      <c r="E43" s="2" t="s">
        <v>678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679</v>
      </c>
      <c r="C44" t="s">
        <v>65</v>
      </c>
      <c r="D44">
        <f t="shared" si="0"/>
        <v>4</v>
      </c>
      <c r="E44" s="2" t="s">
        <v>680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4">
        <f>IF(I45&lt;&gt;"",MAX(A$1:A44)+1,"")</f>
        <v>38</v>
      </c>
      <c r="B45" s="95" t="s">
        <v>1067</v>
      </c>
      <c r="C45" s="101" t="s">
        <v>57</v>
      </c>
      <c r="D45" s="101">
        <f t="shared" ref="D45:D46" si="2">IF(OR(C45="sint64",C45="uint64",C45="double64"), 8, IF(OR(C45="sint32",C45="uint32",C45="float32"),4,IF(OR(C45="sint16",C45="uint16"),2,  IF(OR(C45="sint8",C45="uint8"),1,""))))</f>
        <v>4</v>
      </c>
      <c r="E45" s="87" t="s">
        <v>1065</v>
      </c>
      <c r="F45" s="101"/>
      <c r="G45" s="93">
        <f>ROUND(((MAX_PHASE_CURRENT_HIGH_SPEED*MAX_PHASE_CURRENT_HIGH_SPEED  * 32768* 32768)/(BASE_CURRENT * BASE_CURRENT)),0)</f>
        <v>267130790</v>
      </c>
      <c r="H45" s="92" t="str">
        <f>IF(G45&lt;&gt;"",IF(C45="float32",FLOAT2HEX(G45),DEC2HEX(G45,8)),"")</f>
        <v>0FEC17A6</v>
      </c>
      <c r="I45" s="92">
        <f>IF(G45&lt;&gt;"",HEX2DEC(H45),"")</f>
        <v>267130790</v>
      </c>
    </row>
    <row r="46" spans="1:9" x14ac:dyDescent="0.25">
      <c r="A46" s="94">
        <f>IF(I46&lt;&gt;"",MAX(A$1:A45)+1,"")</f>
        <v>39</v>
      </c>
      <c r="B46" s="95" t="s">
        <v>1064</v>
      </c>
      <c r="C46" s="101" t="s">
        <v>57</v>
      </c>
      <c r="D46" s="101">
        <f t="shared" si="2"/>
        <v>4</v>
      </c>
      <c r="E46" s="87" t="s">
        <v>1066</v>
      </c>
      <c r="F46" s="101"/>
      <c r="G46" s="93">
        <f>ROUND((SPEED_THRESHOLD_MAX_PHASE_CURRENT * (32768/BASE_SPEED_RPM)),0)</f>
        <v>89915</v>
      </c>
      <c r="H46" s="92" t="str">
        <f>IF(G46&lt;&gt;"",IF(C46="float32",FLOAT2HEX(G46),DEC2HEX(G46,8)),"")</f>
        <v>00015F3B</v>
      </c>
      <c r="I46" s="92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B27" sqref="B27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1" width="9.140625" style="93"/>
    <col min="22" max="16384" width="9.140625" style="101"/>
  </cols>
  <sheetData>
    <row r="1" spans="1:21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2" customFormat="1" ht="19.5" customHeight="1" x14ac:dyDescent="0.3">
      <c r="A3" s="23"/>
      <c r="B3" s="111" t="s">
        <v>194</v>
      </c>
      <c r="C3" s="111"/>
      <c r="D3" s="24">
        <f>SUM(D9:D1373)</f>
        <v>200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2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2" customFormat="1" ht="20.25" customHeight="1" x14ac:dyDescent="0.25">
      <c r="A6" s="94"/>
      <c r="B6" s="80" t="s">
        <v>756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4">
        <v>0</v>
      </c>
      <c r="B7" s="95" t="s">
        <v>1075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1076</v>
      </c>
      <c r="G7" s="101">
        <f>SIZE_MTPA-1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1070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1071</v>
      </c>
      <c r="G8" s="101">
        <f>ROUND(BASE_TORQ/(MTPATorque_1-MTPATorque_0),0)</f>
        <v>95</v>
      </c>
      <c r="H8" s="92" t="str">
        <f>IF(G8&lt;&gt;"",IF(C8="float32",FLOAT2HEX(G8),DEC2HEX(G8,8)),"")</f>
        <v>0000005F</v>
      </c>
      <c r="I8" s="92">
        <f t="shared" ref="I8" si="1">IF(G8&lt;&gt;"",HEX2DEC(H8),"")</f>
        <v>95</v>
      </c>
    </row>
    <row r="9" spans="1:21" s="93" customFormat="1" ht="15" customHeight="1" x14ac:dyDescent="0.25">
      <c r="A9" s="94">
        <f>IF(I9&lt;&gt;"",MAX(A$1:A8)+1,"")</f>
        <v>2</v>
      </c>
      <c r="B9" s="95" t="s">
        <v>807</v>
      </c>
      <c r="C9" s="101" t="s">
        <v>57</v>
      </c>
      <c r="D9" s="101">
        <f t="shared" ref="D9:D40" si="2">IF(OR(C9="sint64",C9="uint64",C9="double64"), 8, IF(OR(C9="sint32",C9="uint32",C9="float32"),4,IF(OR(C9="sint16",C9="uint16"),2,  IF(OR(C9="sint8",C9="uint8"),1,""))))</f>
        <v>4</v>
      </c>
      <c r="E9" s="87" t="s">
        <v>857</v>
      </c>
      <c r="F9" s="101"/>
      <c r="G9" s="93">
        <f>ROUND((32768/BASE_TORQ) * MTPATorque_0,0)</f>
        <v>2</v>
      </c>
      <c r="H9" s="92" t="str">
        <f>IF(G9&lt;&gt;"",IF(C9="float32",FLOAT2HEX(G9),DEC2HEX(G9,8)),"")</f>
        <v>00000002</v>
      </c>
      <c r="I9" s="92">
        <f>IF(AND(G9&lt;&gt;"",(ROW()-8)&lt;(($G$7+1)*2+1)),HEX2DEC(H9),"")</f>
        <v>2</v>
      </c>
    </row>
    <row r="10" spans="1:21" s="93" customFormat="1" ht="15" customHeight="1" x14ac:dyDescent="0.25">
      <c r="A10" s="94">
        <f>IF(I10&lt;&gt;"",MAX(A$1:A9)+1,"")</f>
        <v>3</v>
      </c>
      <c r="B10" s="72" t="s">
        <v>832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858</v>
      </c>
      <c r="F10" s="101"/>
      <c r="G10" s="93">
        <f>ROUND((32768/BASE_FLUX) * MTPAFlux_0,0)</f>
        <v>10458</v>
      </c>
      <c r="H10" s="92" t="str">
        <f>IF(G10&lt;&gt;"",IF(C10="float32",FLOAT2HEX(G10),DEC2HEX(G10,8)),"")</f>
        <v>000028DA</v>
      </c>
      <c r="I10" s="92">
        <f t="shared" ref="I10:I58" si="3">IF(AND(G10&lt;&gt;"",(ROW()-8)&lt;(($G$7+1)*2+1)),HEX2DEC(H10),"")</f>
        <v>10458</v>
      </c>
    </row>
    <row r="11" spans="1:21" s="93" customFormat="1" ht="15" customHeight="1" x14ac:dyDescent="0.25">
      <c r="A11" s="94">
        <f>IF(I11&lt;&gt;"",MAX(A$1:A10)+1,"")</f>
        <v>4</v>
      </c>
      <c r="B11" s="95" t="s">
        <v>808</v>
      </c>
      <c r="C11" s="101" t="s">
        <v>57</v>
      </c>
      <c r="D11" s="101">
        <f t="shared" si="2"/>
        <v>4</v>
      </c>
      <c r="E11" s="87" t="s">
        <v>859</v>
      </c>
      <c r="F11" s="101"/>
      <c r="G11" s="93">
        <f>ROUND((32768/BASE_TORQ) * MTPATorque_1,0)</f>
        <v>348</v>
      </c>
      <c r="H11" s="92" t="str">
        <f>IF(G11&lt;&gt;"",IF(C11="float32",FLOAT2HEX(G11),DEC2HEX(G11,8)),"")</f>
        <v>0000015C</v>
      </c>
      <c r="I11" s="92">
        <f t="shared" si="3"/>
        <v>348</v>
      </c>
    </row>
    <row r="12" spans="1:21" s="93" customFormat="1" ht="15" customHeight="1" x14ac:dyDescent="0.25">
      <c r="A12" s="94">
        <f>IF(I12&lt;&gt;"",MAX(A$1:A11)+1,"")</f>
        <v>5</v>
      </c>
      <c r="B12" s="72" t="s">
        <v>833</v>
      </c>
      <c r="C12" s="101" t="s">
        <v>57</v>
      </c>
      <c r="D12" s="101">
        <f>IF(OR(C12="sint64",C12="uint64",C12="double64"), 8, IF(OR(C12="sint32",C12="uint32",C12="float32"),4,IF(OR(C12="sint16",C12="uint16"),2,  IF(OR(C12="sint8",C12="uint8"),1,""))))</f>
        <v>4</v>
      </c>
      <c r="E12" s="87" t="s">
        <v>860</v>
      </c>
      <c r="F12" s="101"/>
      <c r="G12" s="93">
        <f>ROUND((32768/BASE_FLUX) * MTPAFlux_1,0)</f>
        <v>10485</v>
      </c>
      <c r="H12" s="92" t="str">
        <f>IF(G12&lt;&gt;"",IF(C12="float32",FLOAT2HEX(G12),DEC2HEX(G12,8)),"")</f>
        <v>000028F5</v>
      </c>
      <c r="I12" s="92">
        <f t="shared" si="3"/>
        <v>10485</v>
      </c>
    </row>
    <row r="13" spans="1:21" s="93" customFormat="1" ht="15" customHeight="1" x14ac:dyDescent="0.25">
      <c r="A13" s="94">
        <f>IF(I13&lt;&gt;"",MAX(A$1:A12)+1,"")</f>
        <v>6</v>
      </c>
      <c r="B13" s="95" t="s">
        <v>809</v>
      </c>
      <c r="C13" s="101" t="s">
        <v>57</v>
      </c>
      <c r="D13" s="101">
        <f t="shared" si="2"/>
        <v>4</v>
      </c>
      <c r="E13" s="87" t="s">
        <v>861</v>
      </c>
      <c r="F13" s="101"/>
      <c r="G13" s="93">
        <f>ROUND((32768/BASE_TORQ) * MTPATorque_2,0)</f>
        <v>694</v>
      </c>
      <c r="H13" s="92" t="str">
        <f>IF(G13&lt;&gt;"",IF(C13="float32",FLOAT2HEX(G13),DEC2HEX(G13,8)),"")</f>
        <v>000002B6</v>
      </c>
      <c r="I13" s="92">
        <f t="shared" si="3"/>
        <v>694</v>
      </c>
    </row>
    <row r="14" spans="1:21" s="93" customFormat="1" ht="15" customHeight="1" x14ac:dyDescent="0.25">
      <c r="A14" s="94">
        <f>IF(I14&lt;&gt;"",MAX(A$1:A13)+1,"")</f>
        <v>7</v>
      </c>
      <c r="B14" s="72" t="s">
        <v>834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862</v>
      </c>
      <c r="F14" s="101"/>
      <c r="G14" s="93">
        <f>ROUND((32768/BASE_FLUX) * MTPAFlux_2,0)</f>
        <v>10558</v>
      </c>
      <c r="H14" s="92" t="str">
        <f>IF(G14&lt;&gt;"",IF(C14="float32",FLOAT2HEX(G14),DEC2HEX(G14,8)),"")</f>
        <v>0000293E</v>
      </c>
      <c r="I14" s="92">
        <f t="shared" si="3"/>
        <v>10558</v>
      </c>
    </row>
    <row r="15" spans="1:21" s="93" customFormat="1" ht="15" customHeight="1" x14ac:dyDescent="0.25">
      <c r="A15" s="94">
        <f>IF(I15&lt;&gt;"",MAX(A$1:A14)+1,"")</f>
        <v>8</v>
      </c>
      <c r="B15" s="95" t="s">
        <v>810</v>
      </c>
      <c r="C15" s="101" t="s">
        <v>57</v>
      </c>
      <c r="D15" s="101">
        <f t="shared" si="2"/>
        <v>4</v>
      </c>
      <c r="E15" s="87" t="s">
        <v>863</v>
      </c>
      <c r="F15" s="101"/>
      <c r="G15" s="93">
        <f>ROUND((32768/BASE_TORQ) * MTPATorque_3,0)</f>
        <v>1040</v>
      </c>
      <c r="H15" s="92" t="str">
        <f>IF(G15&lt;&gt;"",IF(C15="float32",FLOAT2HEX(G15),DEC2HEX(G15,8)),"")</f>
        <v>00000410</v>
      </c>
      <c r="I15" s="92">
        <f t="shared" si="3"/>
        <v>1040</v>
      </c>
    </row>
    <row r="16" spans="1:21" s="93" customFormat="1" ht="15" customHeight="1" x14ac:dyDescent="0.25">
      <c r="A16" s="94">
        <f>IF(I16&lt;&gt;"",MAX(A$1:A15)+1,"")</f>
        <v>9</v>
      </c>
      <c r="B16" s="72" t="s">
        <v>835</v>
      </c>
      <c r="C16" s="101" t="s">
        <v>57</v>
      </c>
      <c r="D16" s="101">
        <f>IF(OR(C16="sint64",C16="uint64",C16="double64"), 8, IF(OR(C16="sint32",C16="uint32",C16="float32"),4,IF(OR(C16="sint16",C16="uint16"),2,  IF(OR(C16="sint8",C16="uint8"),1,""))))</f>
        <v>4</v>
      </c>
      <c r="E16" s="87" t="s">
        <v>864</v>
      </c>
      <c r="F16" s="101"/>
      <c r="G16" s="93">
        <f>ROUND((32768/BASE_FLUX) * MTPAFlux_3,0)</f>
        <v>10677</v>
      </c>
      <c r="H16" s="92" t="str">
        <f>IF(G16&lt;&gt;"",IF(C16="float32",FLOAT2HEX(G16),DEC2HEX(G16,8)),"")</f>
        <v>000029B5</v>
      </c>
      <c r="I16" s="92">
        <f t="shared" si="3"/>
        <v>10677</v>
      </c>
    </row>
    <row r="17" spans="1:9" s="93" customFormat="1" ht="15" customHeight="1" x14ac:dyDescent="0.25">
      <c r="A17" s="94">
        <f>IF(I17&lt;&gt;"",MAX(A$1:A16)+1,"")</f>
        <v>10</v>
      </c>
      <c r="B17" s="95" t="s">
        <v>811</v>
      </c>
      <c r="C17" s="101" t="s">
        <v>57</v>
      </c>
      <c r="D17" s="101">
        <f t="shared" si="2"/>
        <v>4</v>
      </c>
      <c r="E17" s="87" t="s">
        <v>865</v>
      </c>
      <c r="F17" s="101"/>
      <c r="G17" s="93">
        <f>ROUND((32768/BASE_TORQ) * MTPATorque_4,0)</f>
        <v>1386</v>
      </c>
      <c r="H17" s="92" t="str">
        <f>IF(G17&lt;&gt;"",IF(C17="float32",FLOAT2HEX(G17),DEC2HEX(G17,8)),"")</f>
        <v>0000056A</v>
      </c>
      <c r="I17" s="92">
        <f t="shared" si="3"/>
        <v>1386</v>
      </c>
    </row>
    <row r="18" spans="1:9" s="93" customFormat="1" ht="15" customHeight="1" x14ac:dyDescent="0.25">
      <c r="A18" s="94">
        <f>IF(I18&lt;&gt;"",MAX(A$1:A17)+1,"")</f>
        <v>11</v>
      </c>
      <c r="B18" s="72" t="s">
        <v>836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866</v>
      </c>
      <c r="F18" s="101"/>
      <c r="G18" s="93">
        <f>ROUND((32768/BASE_FLUX) * MTPAFlux_4,0)</f>
        <v>10843</v>
      </c>
      <c r="H18" s="92" t="str">
        <f>IF(G18&lt;&gt;"",IF(C18="float32",FLOAT2HEX(G18),DEC2HEX(G18,8)),"")</f>
        <v>00002A5B</v>
      </c>
      <c r="I18" s="92">
        <f t="shared" si="3"/>
        <v>10843</v>
      </c>
    </row>
    <row r="19" spans="1:9" s="93" customFormat="1" ht="15" customHeight="1" x14ac:dyDescent="0.25">
      <c r="A19" s="94">
        <f>IF(I19&lt;&gt;"",MAX(A$1:A18)+1,"")</f>
        <v>12</v>
      </c>
      <c r="B19" s="95" t="s">
        <v>812</v>
      </c>
      <c r="C19" s="101" t="s">
        <v>57</v>
      </c>
      <c r="D19" s="101">
        <f t="shared" si="2"/>
        <v>4</v>
      </c>
      <c r="E19" s="87" t="s">
        <v>867</v>
      </c>
      <c r="F19" s="101"/>
      <c r="G19" s="93">
        <f>ROUND((32768/BASE_TORQ) * MTPATorque_5,0)</f>
        <v>1732</v>
      </c>
      <c r="H19" s="92" t="str">
        <f>IF(G19&lt;&gt;"",IF(C19="float32",FLOAT2HEX(G19),DEC2HEX(G19,8)),"")</f>
        <v>000006C4</v>
      </c>
      <c r="I19" s="92">
        <f t="shared" si="3"/>
        <v>1732</v>
      </c>
    </row>
    <row r="20" spans="1:9" s="93" customFormat="1" ht="15" customHeight="1" x14ac:dyDescent="0.25">
      <c r="A20" s="94">
        <f>IF(I20&lt;&gt;"",MAX(A$1:A19)+1,"")</f>
        <v>13</v>
      </c>
      <c r="B20" s="72" t="s">
        <v>837</v>
      </c>
      <c r="C20" s="101" t="s">
        <v>57</v>
      </c>
      <c r="D20" s="101">
        <f>IF(OR(C20="sint64",C20="uint64",C20="double64"), 8, IF(OR(C20="sint32",C20="uint32",C20="float32"),4,IF(OR(C20="sint16",C20="uint16"),2,  IF(OR(C20="sint8",C20="uint8"),1,""))))</f>
        <v>4</v>
      </c>
      <c r="E20" s="87" t="s">
        <v>868</v>
      </c>
      <c r="F20" s="101"/>
      <c r="G20" s="93">
        <f>ROUND((32768/BASE_FLUX) * MTPAFlux_5,0)</f>
        <v>11056</v>
      </c>
      <c r="H20" s="92" t="str">
        <f>IF(G20&lt;&gt;"",IF(C20="float32",FLOAT2HEX(G20),DEC2HEX(G20,8)),"")</f>
        <v>00002B30</v>
      </c>
      <c r="I20" s="92">
        <f t="shared" si="3"/>
        <v>11056</v>
      </c>
    </row>
    <row r="21" spans="1:9" s="93" customFormat="1" ht="15" customHeight="1" x14ac:dyDescent="0.25">
      <c r="A21" s="94">
        <f>IF(I21&lt;&gt;"",MAX(A$1:A20)+1,"")</f>
        <v>14</v>
      </c>
      <c r="B21" s="95" t="s">
        <v>813</v>
      </c>
      <c r="C21" s="101" t="s">
        <v>57</v>
      </c>
      <c r="D21" s="101">
        <f t="shared" si="2"/>
        <v>4</v>
      </c>
      <c r="E21" s="87" t="s">
        <v>869</v>
      </c>
      <c r="F21" s="101"/>
      <c r="G21" s="93">
        <f>ROUND((32768/BASE_TORQ) * MTPATorque_6,0)</f>
        <v>2078</v>
      </c>
      <c r="H21" s="92" t="str">
        <f>IF(G21&lt;&gt;"",IF(C21="float32",FLOAT2HEX(G21),DEC2HEX(G21,8)),"")</f>
        <v>0000081E</v>
      </c>
      <c r="I21" s="92">
        <f t="shared" si="3"/>
        <v>2078</v>
      </c>
    </row>
    <row r="22" spans="1:9" s="93" customFormat="1" ht="15" customHeight="1" x14ac:dyDescent="0.25">
      <c r="A22" s="94">
        <f>IF(I22&lt;&gt;"",MAX(A$1:A21)+1,"")</f>
        <v>15</v>
      </c>
      <c r="B22" s="72" t="s">
        <v>838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870</v>
      </c>
      <c r="F22" s="101"/>
      <c r="G22" s="93">
        <f>ROUND((32768/BASE_FLUX) * MTPAFlux_6,0)</f>
        <v>11312</v>
      </c>
      <c r="H22" s="92" t="str">
        <f>IF(G22&lt;&gt;"",IF(C22="float32",FLOAT2HEX(G22),DEC2HEX(G22,8)),"")</f>
        <v>00002C30</v>
      </c>
      <c r="I22" s="92">
        <f t="shared" si="3"/>
        <v>11312</v>
      </c>
    </row>
    <row r="23" spans="1:9" s="93" customFormat="1" ht="15" customHeight="1" x14ac:dyDescent="0.25">
      <c r="A23" s="94">
        <f>IF(I23&lt;&gt;"",MAX(A$1:A22)+1,"")</f>
        <v>16</v>
      </c>
      <c r="B23" s="95" t="s">
        <v>814</v>
      </c>
      <c r="C23" s="101" t="s">
        <v>57</v>
      </c>
      <c r="D23" s="101">
        <f t="shared" si="2"/>
        <v>4</v>
      </c>
      <c r="E23" s="87" t="s">
        <v>871</v>
      </c>
      <c r="F23" s="101"/>
      <c r="G23" s="93">
        <f>ROUND((32768/BASE_TORQ) * MTPATorque_7,0)</f>
        <v>2424</v>
      </c>
      <c r="H23" s="92" t="str">
        <f>IF(G23&lt;&gt;"",IF(C23="float32",FLOAT2HEX(G23),DEC2HEX(G23,8)),"")</f>
        <v>00000978</v>
      </c>
      <c r="I23" s="92">
        <f t="shared" si="3"/>
        <v>2424</v>
      </c>
    </row>
    <row r="24" spans="1:9" s="93" customFormat="1" ht="15" customHeight="1" x14ac:dyDescent="0.25">
      <c r="A24" s="94">
        <f>IF(I24&lt;&gt;"",MAX(A$1:A23)+1,"")</f>
        <v>17</v>
      </c>
      <c r="B24" s="72" t="s">
        <v>839</v>
      </c>
      <c r="C24" s="101" t="s">
        <v>57</v>
      </c>
      <c r="D24" s="101">
        <f>IF(OR(C24="sint64",C24="uint64",C24="double64"), 8, IF(OR(C24="sint32",C24="uint32",C24="float32"),4,IF(OR(C24="sint16",C24="uint16"),2,  IF(OR(C24="sint8",C24="uint8"),1,""))))</f>
        <v>4</v>
      </c>
      <c r="E24" s="87" t="s">
        <v>872</v>
      </c>
      <c r="F24" s="101"/>
      <c r="G24" s="93">
        <f>ROUND((32768/BASE_FLUX) * MTPAFlux_7,0)</f>
        <v>11603</v>
      </c>
      <c r="H24" s="92" t="str">
        <f>IF(G24&lt;&gt;"",IF(C24="float32",FLOAT2HEX(G24),DEC2HEX(G24,8)),"")</f>
        <v>00002D53</v>
      </c>
      <c r="I24" s="92">
        <f t="shared" si="3"/>
        <v>11603</v>
      </c>
    </row>
    <row r="25" spans="1:9" s="93" customFormat="1" ht="15" customHeight="1" x14ac:dyDescent="0.25">
      <c r="A25" s="94">
        <f>IF(I25&lt;&gt;"",MAX(A$1:A24)+1,"")</f>
        <v>18</v>
      </c>
      <c r="B25" s="95" t="s">
        <v>815</v>
      </c>
      <c r="C25" s="101" t="s">
        <v>57</v>
      </c>
      <c r="D25" s="101">
        <f t="shared" si="2"/>
        <v>4</v>
      </c>
      <c r="E25" s="87" t="s">
        <v>873</v>
      </c>
      <c r="F25" s="101"/>
      <c r="G25" s="93">
        <f>ROUND((32768/BASE_TORQ) * MTPATorque_8,0)</f>
        <v>2770</v>
      </c>
      <c r="H25" s="92" t="str">
        <f>IF(G25&lt;&gt;"",IF(C25="float32",FLOAT2HEX(G25),DEC2HEX(G25,8)),"")</f>
        <v>00000AD2</v>
      </c>
      <c r="I25" s="92">
        <f t="shared" si="3"/>
        <v>2770</v>
      </c>
    </row>
    <row r="26" spans="1:9" s="93" customFormat="1" ht="15" customHeight="1" x14ac:dyDescent="0.25">
      <c r="A26" s="94">
        <f>IF(I26&lt;&gt;"",MAX(A$1:A25)+1,"")</f>
        <v>19</v>
      </c>
      <c r="B26" s="72" t="s">
        <v>840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874</v>
      </c>
      <c r="F26" s="101"/>
      <c r="G26" s="93">
        <f>ROUND((32768/BASE_FLUX) * MTPAFlux_8,0)</f>
        <v>11923</v>
      </c>
      <c r="H26" s="92" t="str">
        <f>IF(G26&lt;&gt;"",IF(C26="float32",FLOAT2HEX(G26),DEC2HEX(G26,8)),"")</f>
        <v>00002E93</v>
      </c>
      <c r="I26" s="92">
        <f t="shared" si="3"/>
        <v>11923</v>
      </c>
    </row>
    <row r="27" spans="1:9" s="93" customFormat="1" ht="15" customHeight="1" x14ac:dyDescent="0.25">
      <c r="A27" s="94">
        <f>IF(I27&lt;&gt;"",MAX(A$1:A26)+1,"")</f>
        <v>20</v>
      </c>
      <c r="B27" s="95" t="s">
        <v>816</v>
      </c>
      <c r="C27" s="101" t="s">
        <v>57</v>
      </c>
      <c r="D27" s="101">
        <f t="shared" si="2"/>
        <v>4</v>
      </c>
      <c r="E27" s="87" t="s">
        <v>875</v>
      </c>
      <c r="F27" s="101"/>
      <c r="G27" s="93">
        <f>ROUND((32768/BASE_TORQ) * MTPATorque_9,0)</f>
        <v>3116</v>
      </c>
      <c r="H27" s="92" t="str">
        <f>IF(G27&lt;&gt;"",IF(C27="float32",FLOAT2HEX(G27),DEC2HEX(G27,8)),"")</f>
        <v>00000C2C</v>
      </c>
      <c r="I27" s="92">
        <f t="shared" si="3"/>
        <v>3116</v>
      </c>
    </row>
    <row r="28" spans="1:9" s="93" customFormat="1" ht="15" customHeight="1" x14ac:dyDescent="0.25">
      <c r="A28" s="94">
        <f>IF(I28&lt;&gt;"",MAX(A$1:A27)+1,"")</f>
        <v>21</v>
      </c>
      <c r="B28" s="72" t="s">
        <v>841</v>
      </c>
      <c r="C28" s="101" t="s">
        <v>57</v>
      </c>
      <c r="D28" s="101">
        <f>IF(OR(C28="sint64",C28="uint64",C28="double64"), 8, IF(OR(C28="sint32",C28="uint32",C28="float32"),4,IF(OR(C28="sint16",C28="uint16"),2,  IF(OR(C28="sint8",C28="uint8"),1,""))))</f>
        <v>4</v>
      </c>
      <c r="E28" s="87" t="s">
        <v>876</v>
      </c>
      <c r="F28" s="101"/>
      <c r="G28" s="93">
        <f>ROUND((32768/BASE_FLUX) * MTPAFlux_9,0)</f>
        <v>12276</v>
      </c>
      <c r="H28" s="92" t="str">
        <f>IF(G28&lt;&gt;"",IF(C28="float32",FLOAT2HEX(G28),DEC2HEX(G28,8)),"")</f>
        <v>00002FF4</v>
      </c>
      <c r="I28" s="92">
        <f t="shared" si="3"/>
        <v>12276</v>
      </c>
    </row>
    <row r="29" spans="1:9" s="93" customFormat="1" ht="15" customHeight="1" x14ac:dyDescent="0.25">
      <c r="A29" s="94">
        <f>IF(I29&lt;&gt;"",MAX(A$1:A28)+1,"")</f>
        <v>22</v>
      </c>
      <c r="B29" s="95" t="s">
        <v>817</v>
      </c>
      <c r="C29" s="101" t="s">
        <v>57</v>
      </c>
      <c r="D29" s="101">
        <f t="shared" si="2"/>
        <v>4</v>
      </c>
      <c r="E29" s="87" t="s">
        <v>877</v>
      </c>
      <c r="F29" s="101"/>
      <c r="G29" s="93">
        <f>ROUND((32768/BASE_TORQ) * MTPATorque_10,0)</f>
        <v>3462</v>
      </c>
      <c r="H29" s="92" t="str">
        <f>IF(G29&lt;&gt;"",IF(C29="float32",FLOAT2HEX(G29),DEC2HEX(G29,8)),"")</f>
        <v>00000D86</v>
      </c>
      <c r="I29" s="92">
        <f t="shared" si="3"/>
        <v>3462</v>
      </c>
    </row>
    <row r="30" spans="1:9" s="93" customFormat="1" ht="15" customHeight="1" x14ac:dyDescent="0.25">
      <c r="A30" s="94">
        <f>IF(I30&lt;&gt;"",MAX(A$1:A29)+1,"")</f>
        <v>23</v>
      </c>
      <c r="B30" s="72" t="s">
        <v>842</v>
      </c>
      <c r="C30" s="101" t="s">
        <v>57</v>
      </c>
      <c r="D30" s="101">
        <f>IF(OR(C30="sint64",C30="uint64",C30="double64"), 8, IF(OR(C30="sint32",C30="uint32",C30="float32"),4,IF(OR(C30="sint16",C30="uint16"),2,  IF(OR(C30="sint8",C30="uint8"),1,""))))</f>
        <v>4</v>
      </c>
      <c r="E30" s="87" t="s">
        <v>878</v>
      </c>
      <c r="F30" s="101"/>
      <c r="G30" s="93">
        <f>ROUND((32768/BASE_FLUX) * MTPAFlux_10,0)</f>
        <v>12653</v>
      </c>
      <c r="H30" s="92" t="str">
        <f>IF(G30&lt;&gt;"",IF(C30="float32",FLOAT2HEX(G30),DEC2HEX(G30,8)),"")</f>
        <v>0000316D</v>
      </c>
      <c r="I30" s="92">
        <f t="shared" si="3"/>
        <v>12653</v>
      </c>
    </row>
    <row r="31" spans="1:9" s="93" customFormat="1" ht="15" customHeight="1" x14ac:dyDescent="0.25">
      <c r="A31" s="94">
        <f>IF(I31&lt;&gt;"",MAX(A$1:A30)+1,"")</f>
        <v>24</v>
      </c>
      <c r="B31" s="95" t="s">
        <v>818</v>
      </c>
      <c r="C31" s="101" t="s">
        <v>57</v>
      </c>
      <c r="D31" s="101">
        <f t="shared" si="2"/>
        <v>4</v>
      </c>
      <c r="E31" s="87" t="s">
        <v>879</v>
      </c>
      <c r="F31" s="101"/>
      <c r="G31" s="93">
        <f>ROUND((32768/BASE_TORQ) * MTPATorque_11,0)</f>
        <v>3808</v>
      </c>
      <c r="H31" s="92" t="str">
        <f>IF(G31&lt;&gt;"",IF(C31="float32",FLOAT2HEX(G31),DEC2HEX(G31,8)),"")</f>
        <v>00000EE0</v>
      </c>
      <c r="I31" s="92">
        <f t="shared" si="3"/>
        <v>3808</v>
      </c>
    </row>
    <row r="32" spans="1:9" s="93" customFormat="1" ht="15" customHeight="1" x14ac:dyDescent="0.25">
      <c r="A32" s="94">
        <f>IF(I32&lt;&gt;"",MAX(A$1:A31)+1,"")</f>
        <v>25</v>
      </c>
      <c r="B32" s="72" t="s">
        <v>843</v>
      </c>
      <c r="C32" s="101" t="s">
        <v>57</v>
      </c>
      <c r="D32" s="101">
        <f>IF(OR(C32="sint64",C32="uint64",C32="double64"), 8, IF(OR(C32="sint32",C32="uint32",C32="float32"),4,IF(OR(C32="sint16",C32="uint16"),2,  IF(OR(C32="sint8",C32="uint8"),1,""))))</f>
        <v>4</v>
      </c>
      <c r="E32" s="87" t="s">
        <v>880</v>
      </c>
      <c r="F32" s="101"/>
      <c r="G32" s="93">
        <f>ROUND((32768/BASE_FLUX) * MTPAFlux_11,0)</f>
        <v>13045</v>
      </c>
      <c r="H32" s="92" t="str">
        <f>IF(G32&lt;&gt;"",IF(C32="float32",FLOAT2HEX(G32),DEC2HEX(G32,8)),"")</f>
        <v>000032F5</v>
      </c>
      <c r="I32" s="92">
        <f t="shared" si="3"/>
        <v>13045</v>
      </c>
    </row>
    <row r="33" spans="1:9" s="93" customFormat="1" ht="15" customHeight="1" x14ac:dyDescent="0.25">
      <c r="A33" s="94">
        <f>IF(I33&lt;&gt;"",MAX(A$1:A32)+1,"")</f>
        <v>26</v>
      </c>
      <c r="B33" s="95" t="s">
        <v>819</v>
      </c>
      <c r="C33" s="101" t="s">
        <v>57</v>
      </c>
      <c r="D33" s="101">
        <f t="shared" si="2"/>
        <v>4</v>
      </c>
      <c r="E33" s="87" t="s">
        <v>881</v>
      </c>
      <c r="F33" s="101"/>
      <c r="G33" s="93">
        <f>ROUND((32768/BASE_TORQ) * MTPATorque_12,0)</f>
        <v>4154</v>
      </c>
      <c r="H33" s="92" t="str">
        <f>IF(G33&lt;&gt;"",IF(C33="float32",FLOAT2HEX(G33),DEC2HEX(G33,8)),"")</f>
        <v>0000103A</v>
      </c>
      <c r="I33" s="92">
        <f t="shared" si="3"/>
        <v>4154</v>
      </c>
    </row>
    <row r="34" spans="1:9" s="93" customFormat="1" ht="15" customHeight="1" x14ac:dyDescent="0.25">
      <c r="A34" s="94">
        <f>IF(I34&lt;&gt;"",MAX(A$1:A33)+1,"")</f>
        <v>27</v>
      </c>
      <c r="B34" s="72" t="s">
        <v>844</v>
      </c>
      <c r="C34" s="101" t="s">
        <v>57</v>
      </c>
      <c r="D34" s="101">
        <f>IF(OR(C34="sint64",C34="uint64",C34="double64"), 8, IF(OR(C34="sint32",C34="uint32",C34="float32"),4,IF(OR(C34="sint16",C34="uint16"),2,  IF(OR(C34="sint8",C34="uint8"),1,""))))</f>
        <v>4</v>
      </c>
      <c r="E34" s="87" t="s">
        <v>882</v>
      </c>
      <c r="F34" s="101"/>
      <c r="G34" s="93">
        <f>ROUND((32768/BASE_FLUX) * MTPAFlux_12,0)</f>
        <v>13468</v>
      </c>
      <c r="H34" s="92" t="str">
        <f>IF(G34&lt;&gt;"",IF(C34="float32",FLOAT2HEX(G34),DEC2HEX(G34,8)),"")</f>
        <v>0000349C</v>
      </c>
      <c r="I34" s="92">
        <f t="shared" si="3"/>
        <v>13468</v>
      </c>
    </row>
    <row r="35" spans="1:9" s="93" customFormat="1" ht="15" customHeight="1" x14ac:dyDescent="0.25">
      <c r="A35" s="94">
        <f>IF(I35&lt;&gt;"",MAX(A$1:A34)+1,"")</f>
        <v>28</v>
      </c>
      <c r="B35" s="95" t="s">
        <v>820</v>
      </c>
      <c r="C35" s="101" t="s">
        <v>57</v>
      </c>
      <c r="D35" s="101">
        <f t="shared" si="2"/>
        <v>4</v>
      </c>
      <c r="E35" s="87" t="s">
        <v>883</v>
      </c>
      <c r="F35" s="101"/>
      <c r="G35" s="93">
        <f>ROUND((32768/BASE_TORQ) * MTPATorque_13,0)</f>
        <v>4500</v>
      </c>
      <c r="H35" s="92" t="str">
        <f>IF(G35&lt;&gt;"",IF(C35="float32",FLOAT2HEX(G35),DEC2HEX(G35,8)),"")</f>
        <v>00001194</v>
      </c>
      <c r="I35" s="92">
        <f t="shared" si="3"/>
        <v>4500</v>
      </c>
    </row>
    <row r="36" spans="1:9" s="93" customFormat="1" ht="15" customHeight="1" x14ac:dyDescent="0.25">
      <c r="A36" s="94">
        <f>IF(I36&lt;&gt;"",MAX(A$1:A35)+1,"")</f>
        <v>29</v>
      </c>
      <c r="B36" s="72" t="s">
        <v>845</v>
      </c>
      <c r="C36" s="101" t="s">
        <v>57</v>
      </c>
      <c r="D36" s="101">
        <f>IF(OR(C36="sint64",C36="uint64",C36="double64"), 8, IF(OR(C36="sint32",C36="uint32",C36="float32"),4,IF(OR(C36="sint16",C36="uint16"),2,  IF(OR(C36="sint8",C36="uint8"),1,""))))</f>
        <v>4</v>
      </c>
      <c r="E36" s="87" t="s">
        <v>884</v>
      </c>
      <c r="F36" s="101"/>
      <c r="G36" s="93">
        <f>ROUND((32768/BASE_FLUX) * MTPAFlux_13,0)</f>
        <v>13898</v>
      </c>
      <c r="H36" s="92" t="str">
        <f>IF(G36&lt;&gt;"",IF(C36="float32",FLOAT2HEX(G36),DEC2HEX(G36,8)),"")</f>
        <v>0000364A</v>
      </c>
      <c r="I36" s="92">
        <f t="shared" si="3"/>
        <v>13898</v>
      </c>
    </row>
    <row r="37" spans="1:9" s="93" customFormat="1" ht="15" customHeight="1" x14ac:dyDescent="0.25">
      <c r="A37" s="94">
        <f>IF(I37&lt;&gt;"",MAX(A$1:A36)+1,"")</f>
        <v>30</v>
      </c>
      <c r="B37" s="95" t="s">
        <v>821</v>
      </c>
      <c r="C37" s="101" t="s">
        <v>57</v>
      </c>
      <c r="D37" s="101">
        <f t="shared" si="2"/>
        <v>4</v>
      </c>
      <c r="E37" s="87" t="s">
        <v>885</v>
      </c>
      <c r="F37" s="101"/>
      <c r="G37" s="93">
        <f>ROUND((32768/BASE_TORQ) * MTPATorque_14,0)</f>
        <v>4846</v>
      </c>
      <c r="H37" s="92" t="str">
        <f>IF(G37&lt;&gt;"",IF(C37="float32",FLOAT2HEX(G37),DEC2HEX(G37,8)),"")</f>
        <v>000012EE</v>
      </c>
      <c r="I37" s="92">
        <f t="shared" si="3"/>
        <v>4846</v>
      </c>
    </row>
    <row r="38" spans="1:9" s="93" customFormat="1" ht="15" customHeight="1" x14ac:dyDescent="0.25">
      <c r="A38" s="94">
        <f>IF(I38&lt;&gt;"",MAX(A$1:A37)+1,"")</f>
        <v>31</v>
      </c>
      <c r="B38" s="72" t="s">
        <v>846</v>
      </c>
      <c r="C38" s="101" t="s">
        <v>57</v>
      </c>
      <c r="D38" s="101">
        <f>IF(OR(C38="sint64",C38="uint64",C38="double64"), 8, IF(OR(C38="sint32",C38="uint32",C38="float32"),4,IF(OR(C38="sint16",C38="uint16"),2,  IF(OR(C38="sint8",C38="uint8"),1,""))))</f>
        <v>4</v>
      </c>
      <c r="E38" s="87" t="s">
        <v>886</v>
      </c>
      <c r="F38" s="101"/>
      <c r="G38" s="93">
        <f>ROUND((32768/BASE_FLUX) * MTPAFlux_14,0)</f>
        <v>14344</v>
      </c>
      <c r="H38" s="92" t="str">
        <f>IF(G38&lt;&gt;"",IF(C38="float32",FLOAT2HEX(G38),DEC2HEX(G38,8)),"")</f>
        <v>00003808</v>
      </c>
      <c r="I38" s="92">
        <f t="shared" si="3"/>
        <v>14344</v>
      </c>
    </row>
    <row r="39" spans="1:9" s="93" customFormat="1" ht="15" customHeight="1" x14ac:dyDescent="0.25">
      <c r="A39" s="94">
        <f>IF(I39&lt;&gt;"",MAX(A$1:A38)+1,"")</f>
        <v>32</v>
      </c>
      <c r="B39" s="95" t="s">
        <v>822</v>
      </c>
      <c r="C39" s="101" t="s">
        <v>57</v>
      </c>
      <c r="D39" s="101">
        <f t="shared" si="2"/>
        <v>4</v>
      </c>
      <c r="E39" s="87" t="s">
        <v>887</v>
      </c>
      <c r="F39" s="101"/>
      <c r="G39" s="93">
        <f>ROUND((32768/BASE_TORQ) * MTPATorque_15,0)</f>
        <v>5192</v>
      </c>
      <c r="H39" s="92" t="str">
        <f>IF(G39&lt;&gt;"",IF(C39="float32",FLOAT2HEX(G39),DEC2HEX(G39,8)),"")</f>
        <v>00001448</v>
      </c>
      <c r="I39" s="92">
        <f t="shared" si="3"/>
        <v>5192</v>
      </c>
    </row>
    <row r="40" spans="1:9" s="93" customFormat="1" ht="15" customHeight="1" x14ac:dyDescent="0.25">
      <c r="A40" s="94">
        <f>IF(I40&lt;&gt;"",MAX(A$1:A39)+1,"")</f>
        <v>33</v>
      </c>
      <c r="B40" s="72" t="s">
        <v>847</v>
      </c>
      <c r="C40" s="101" t="s">
        <v>57</v>
      </c>
      <c r="D40" s="101">
        <f t="shared" si="2"/>
        <v>4</v>
      </c>
      <c r="E40" s="87" t="s">
        <v>888</v>
      </c>
      <c r="F40" s="101"/>
      <c r="G40" s="93">
        <f>ROUND((32768/BASE_FLUX) * MTPAFlux_15,0)</f>
        <v>14807</v>
      </c>
      <c r="H40" s="92" t="str">
        <f>IF(G40&lt;&gt;"",IF(C40="float32",FLOAT2HEX(G40),DEC2HEX(G40,8)),"")</f>
        <v>000039D7</v>
      </c>
      <c r="I40" s="92">
        <f t="shared" si="3"/>
        <v>14807</v>
      </c>
    </row>
    <row r="41" spans="1:9" s="93" customFormat="1" ht="15" customHeight="1" x14ac:dyDescent="0.25">
      <c r="A41" s="94">
        <f>IF(I41&lt;&gt;"",MAX(A$1:A40)+1,"")</f>
        <v>34</v>
      </c>
      <c r="B41" s="95" t="s">
        <v>823</v>
      </c>
      <c r="C41" s="101" t="s">
        <v>57</v>
      </c>
      <c r="D41" s="101">
        <f t="shared" ref="D41:D58" si="4">IF(OR(C41="sint64",C41="uint64",C41="double64"), 8, IF(OR(C41="sint32",C41="uint32",C41="float32"),4,IF(OR(C41="sint16",C41="uint16"),2,  IF(OR(C41="sint8",C41="uint8"),1,""))))</f>
        <v>4</v>
      </c>
      <c r="E41" s="87" t="s">
        <v>889</v>
      </c>
      <c r="F41" s="101"/>
      <c r="G41" s="93">
        <f>ROUND((32768/BASE_TORQ) * MTPATorque_16,0)</f>
        <v>5538</v>
      </c>
      <c r="H41" s="92" t="str">
        <f>IF(G41&lt;&gt;"",IF(C41="float32",FLOAT2HEX(G41),DEC2HEX(G41,8)),"")</f>
        <v>000015A2</v>
      </c>
      <c r="I41" s="92">
        <f t="shared" si="3"/>
        <v>5538</v>
      </c>
    </row>
    <row r="42" spans="1:9" x14ac:dyDescent="0.25">
      <c r="A42" s="94">
        <f>IF(I42&lt;&gt;"",MAX(A$1:A41)+1,"")</f>
        <v>35</v>
      </c>
      <c r="B42" s="72" t="s">
        <v>848</v>
      </c>
      <c r="C42" s="101" t="s">
        <v>57</v>
      </c>
      <c r="D42" s="101">
        <f t="shared" si="4"/>
        <v>4</v>
      </c>
      <c r="E42" s="87" t="s">
        <v>890</v>
      </c>
      <c r="G42" s="101">
        <f>ROUND((32768/BASE_FLUX) * MTPAFlux_16,0)</f>
        <v>15283</v>
      </c>
      <c r="H42" s="92" t="str">
        <f>IF(G42&lt;&gt;"",IF(C42="float32",FLOAT2HEX(G42),DEC2HEX(G42,8)),"")</f>
        <v>00003BB3</v>
      </c>
      <c r="I42" s="92">
        <f t="shared" si="3"/>
        <v>15283</v>
      </c>
    </row>
    <row r="43" spans="1:9" x14ac:dyDescent="0.25">
      <c r="A43" s="94">
        <f>IF(I43&lt;&gt;"",MAX(A$1:A42)+1,"")</f>
        <v>36</v>
      </c>
      <c r="B43" s="95" t="s">
        <v>824</v>
      </c>
      <c r="C43" s="101" t="s">
        <v>57</v>
      </c>
      <c r="D43" s="101">
        <f t="shared" si="4"/>
        <v>4</v>
      </c>
      <c r="E43" s="87" t="s">
        <v>891</v>
      </c>
      <c r="G43" s="101">
        <f>ROUND((32768/BASE_TORQ) * MTPATorque_17,0)</f>
        <v>5884</v>
      </c>
      <c r="H43" s="92" t="str">
        <f>IF(G43&lt;&gt;"",IF(C43="float32",FLOAT2HEX(G43),DEC2HEX(G43,8)),"")</f>
        <v>000016FC</v>
      </c>
      <c r="I43" s="92">
        <f t="shared" si="3"/>
        <v>5884</v>
      </c>
    </row>
    <row r="44" spans="1:9" x14ac:dyDescent="0.25">
      <c r="A44" s="94">
        <f>IF(I44&lt;&gt;"",MAX(A$1:A43)+1,"")</f>
        <v>37</v>
      </c>
      <c r="B44" s="72" t="s">
        <v>849</v>
      </c>
      <c r="C44" s="101" t="s">
        <v>57</v>
      </c>
      <c r="D44" s="101">
        <f t="shared" si="4"/>
        <v>4</v>
      </c>
      <c r="E44" s="87" t="s">
        <v>892</v>
      </c>
      <c r="G44" s="101">
        <f>ROUND((32768/BASE_FLUX) * MTPAFlux_17,0)</f>
        <v>15776</v>
      </c>
      <c r="H44" s="92" t="str">
        <f>IF(G44&lt;&gt;"",IF(C44="float32",FLOAT2HEX(G44),DEC2HEX(G44,8)),"")</f>
        <v>00003DA0</v>
      </c>
      <c r="I44" s="92">
        <f t="shared" si="3"/>
        <v>15776</v>
      </c>
    </row>
    <row r="45" spans="1:9" x14ac:dyDescent="0.25">
      <c r="A45" s="94">
        <f>IF(I45&lt;&gt;"",MAX(A$1:A44)+1,"")</f>
        <v>38</v>
      </c>
      <c r="B45" s="95" t="s">
        <v>825</v>
      </c>
      <c r="C45" s="101" t="s">
        <v>57</v>
      </c>
      <c r="D45" s="101">
        <f t="shared" si="4"/>
        <v>4</v>
      </c>
      <c r="E45" s="87" t="s">
        <v>893</v>
      </c>
      <c r="G45" s="101">
        <f>ROUND((32768/BASE_TORQ) * MTPATorque_18,0)</f>
        <v>6230</v>
      </c>
      <c r="H45" s="92" t="str">
        <f>IF(G45&lt;&gt;"",IF(C45="float32",FLOAT2HEX(G45),DEC2HEX(G45,8)),"")</f>
        <v>00001856</v>
      </c>
      <c r="I45" s="92">
        <f t="shared" si="3"/>
        <v>6230</v>
      </c>
    </row>
    <row r="46" spans="1:9" x14ac:dyDescent="0.25">
      <c r="A46" s="94">
        <f>IF(I46&lt;&gt;"",MAX(A$1:A45)+1,"")</f>
        <v>39</v>
      </c>
      <c r="B46" s="72" t="s">
        <v>850</v>
      </c>
      <c r="C46" s="101" t="s">
        <v>57</v>
      </c>
      <c r="D46" s="101">
        <f t="shared" si="4"/>
        <v>4</v>
      </c>
      <c r="E46" s="87" t="s">
        <v>894</v>
      </c>
      <c r="G46" s="101">
        <f>ROUND((32768/BASE_FLUX) * MTPAFlux_18,0)</f>
        <v>16274</v>
      </c>
      <c r="H46" s="92" t="str">
        <f>IF(G46&lt;&gt;"",IF(C46="float32",FLOAT2HEX(G46),DEC2HEX(G46,8)),"")</f>
        <v>00003F92</v>
      </c>
      <c r="I46" s="92">
        <f t="shared" si="3"/>
        <v>16274</v>
      </c>
    </row>
    <row r="47" spans="1:9" x14ac:dyDescent="0.25">
      <c r="A47" s="94">
        <f>IF(I47&lt;&gt;"",MAX(A$1:A46)+1,"")</f>
        <v>40</v>
      </c>
      <c r="B47" s="95" t="s">
        <v>826</v>
      </c>
      <c r="C47" s="101" t="s">
        <v>57</v>
      </c>
      <c r="D47" s="101">
        <f t="shared" si="4"/>
        <v>4</v>
      </c>
      <c r="E47" s="87" t="s">
        <v>895</v>
      </c>
      <c r="G47" s="101">
        <f>ROUND((32768/BASE_TORQ) * MTPATorque_19,0)</f>
        <v>6576</v>
      </c>
      <c r="H47" s="92" t="str">
        <f>IF(G47&lt;&gt;"",IF(C47="float32",FLOAT2HEX(G47),DEC2HEX(G47,8)),"")</f>
        <v>000019B0</v>
      </c>
      <c r="I47" s="92">
        <f t="shared" si="3"/>
        <v>6576</v>
      </c>
    </row>
    <row r="48" spans="1:9" x14ac:dyDescent="0.25">
      <c r="A48" s="94">
        <f>IF(I48&lt;&gt;"",MAX(A$1:A47)+1,"")</f>
        <v>41</v>
      </c>
      <c r="B48" s="72" t="s">
        <v>851</v>
      </c>
      <c r="C48" s="101" t="s">
        <v>57</v>
      </c>
      <c r="D48" s="101">
        <f t="shared" si="4"/>
        <v>4</v>
      </c>
      <c r="E48" s="87" t="s">
        <v>896</v>
      </c>
      <c r="G48" s="101">
        <f>ROUND((32768/BASE_FLUX) * MTPAFlux_19,0)</f>
        <v>16794</v>
      </c>
      <c r="H48" s="92" t="str">
        <f>IF(G48&lt;&gt;"",IF(C48="float32",FLOAT2HEX(G48),DEC2HEX(G48,8)),"")</f>
        <v>0000419A</v>
      </c>
      <c r="I48" s="92">
        <f t="shared" si="3"/>
        <v>16794</v>
      </c>
    </row>
    <row r="49" spans="1:9" x14ac:dyDescent="0.25">
      <c r="A49" s="94">
        <f>IF(I49&lt;&gt;"",MAX(A$1:A48)+1,"")</f>
        <v>42</v>
      </c>
      <c r="B49" s="95" t="s">
        <v>827</v>
      </c>
      <c r="C49" s="101" t="s">
        <v>57</v>
      </c>
      <c r="D49" s="101">
        <f t="shared" si="4"/>
        <v>4</v>
      </c>
      <c r="E49" s="87" t="s">
        <v>897</v>
      </c>
      <c r="G49" s="101">
        <f>ROUND((32768/BASE_TORQ) * MTPATorque_20,0)</f>
        <v>6922</v>
      </c>
      <c r="H49" s="92" t="str">
        <f>IF(G49&lt;&gt;"",IF(C49="float32",FLOAT2HEX(G49),DEC2HEX(G49,8)),"")</f>
        <v>00001B0A</v>
      </c>
      <c r="I49" s="92">
        <f t="shared" si="3"/>
        <v>6922</v>
      </c>
    </row>
    <row r="50" spans="1:9" x14ac:dyDescent="0.25">
      <c r="A50" s="94">
        <f>IF(I50&lt;&gt;"",MAX(A$1:A49)+1,"")</f>
        <v>43</v>
      </c>
      <c r="B50" s="72" t="s">
        <v>852</v>
      </c>
      <c r="C50" s="101" t="s">
        <v>57</v>
      </c>
      <c r="D50" s="101">
        <f t="shared" si="4"/>
        <v>4</v>
      </c>
      <c r="E50" s="87" t="s">
        <v>898</v>
      </c>
      <c r="G50" s="101">
        <f>ROUND((32768/BASE_FLUX) * MTPAFlux_20,0)</f>
        <v>17324</v>
      </c>
      <c r="H50" s="92" t="str">
        <f>IF(G50&lt;&gt;"",IF(C50="float32",FLOAT2HEX(G50),DEC2HEX(G50,8)),"")</f>
        <v>000043AC</v>
      </c>
      <c r="I50" s="92">
        <f t="shared" si="3"/>
        <v>17324</v>
      </c>
    </row>
    <row r="51" spans="1:9" x14ac:dyDescent="0.25">
      <c r="A51" s="94">
        <f>IF(I51&lt;&gt;"",MAX(A$1:A50)+1,"")</f>
        <v>44</v>
      </c>
      <c r="B51" s="95" t="s">
        <v>828</v>
      </c>
      <c r="C51" s="101" t="s">
        <v>57</v>
      </c>
      <c r="D51" s="101">
        <f t="shared" si="4"/>
        <v>4</v>
      </c>
      <c r="E51" s="87" t="s">
        <v>899</v>
      </c>
      <c r="G51" s="101">
        <f>ROUND((32768/BASE_TORQ) * MTPATorque_21,0)</f>
        <v>7268</v>
      </c>
      <c r="H51" s="92" t="str">
        <f>IF(G51&lt;&gt;"",IF(C51="float32",FLOAT2HEX(G51),DEC2HEX(G51,8)),"")</f>
        <v>00001C64</v>
      </c>
      <c r="I51" s="92">
        <f t="shared" si="3"/>
        <v>7268</v>
      </c>
    </row>
    <row r="52" spans="1:9" x14ac:dyDescent="0.25">
      <c r="A52" s="94">
        <f>IF(I52&lt;&gt;"",MAX(A$1:A51)+1,"")</f>
        <v>45</v>
      </c>
      <c r="B52" s="72" t="s">
        <v>853</v>
      </c>
      <c r="C52" s="101" t="s">
        <v>57</v>
      </c>
      <c r="D52" s="101">
        <f t="shared" si="4"/>
        <v>4</v>
      </c>
      <c r="E52" s="87" t="s">
        <v>900</v>
      </c>
      <c r="G52" s="101">
        <f>ROUND((32768/BASE_FLUX) * MTPAFlux_21,0)</f>
        <v>17868</v>
      </c>
      <c r="H52" s="92" t="str">
        <f>IF(G52&lt;&gt;"",IF(C52="float32",FLOAT2HEX(G52),DEC2HEX(G52,8)),"")</f>
        <v>000045CC</v>
      </c>
      <c r="I52" s="92">
        <f t="shared" si="3"/>
        <v>17868</v>
      </c>
    </row>
    <row r="53" spans="1:9" x14ac:dyDescent="0.25">
      <c r="A53" s="94">
        <f>IF(I53&lt;&gt;"",MAX(A$1:A52)+1,"")</f>
        <v>46</v>
      </c>
      <c r="B53" s="95" t="s">
        <v>829</v>
      </c>
      <c r="C53" s="101" t="s">
        <v>57</v>
      </c>
      <c r="D53" s="101">
        <f t="shared" si="4"/>
        <v>4</v>
      </c>
      <c r="E53" s="87" t="s">
        <v>901</v>
      </c>
      <c r="G53" s="101">
        <f>ROUND((32768/BASE_TORQ) * MTPATorque_22,0)</f>
        <v>7614</v>
      </c>
      <c r="H53" s="92" t="str">
        <f>IF(G53&lt;&gt;"",IF(C53="float32",FLOAT2HEX(G53),DEC2HEX(G53,8)),"")</f>
        <v>00001DBE</v>
      </c>
      <c r="I53" s="92">
        <f t="shared" si="3"/>
        <v>7614</v>
      </c>
    </row>
    <row r="54" spans="1:9" x14ac:dyDescent="0.25">
      <c r="A54" s="94">
        <f>IF(I54&lt;&gt;"",MAX(A$1:A53)+1,"")</f>
        <v>47</v>
      </c>
      <c r="B54" s="72" t="s">
        <v>854</v>
      </c>
      <c r="C54" s="101" t="s">
        <v>57</v>
      </c>
      <c r="D54" s="101">
        <f t="shared" si="4"/>
        <v>4</v>
      </c>
      <c r="E54" s="87" t="s">
        <v>902</v>
      </c>
      <c r="G54" s="101">
        <f>ROUND((32768/BASE_FLUX) * MTPAFlux_22,0)</f>
        <v>18423</v>
      </c>
      <c r="H54" s="92" t="str">
        <f>IF(G54&lt;&gt;"",IF(C54="float32",FLOAT2HEX(G54),DEC2HEX(G54,8)),"")</f>
        <v>000047F7</v>
      </c>
      <c r="I54" s="92">
        <f t="shared" si="3"/>
        <v>18423</v>
      </c>
    </row>
    <row r="55" spans="1:9" x14ac:dyDescent="0.25">
      <c r="A55" s="94">
        <f>IF(I55&lt;&gt;"",MAX(A$1:A54)+1,"")</f>
        <v>48</v>
      </c>
      <c r="B55" s="95" t="s">
        <v>830</v>
      </c>
      <c r="C55" s="101" t="s">
        <v>57</v>
      </c>
      <c r="D55" s="101">
        <f t="shared" si="4"/>
        <v>4</v>
      </c>
      <c r="E55" s="87" t="s">
        <v>903</v>
      </c>
      <c r="G55" s="101">
        <f>ROUND((32768/BASE_TORQ) * MTPATorque_23,0)</f>
        <v>7960</v>
      </c>
      <c r="H55" s="92" t="str">
        <f>IF(G55&lt;&gt;"",IF(C55="float32",FLOAT2HEX(G55),DEC2HEX(G55,8)),"")</f>
        <v>00001F18</v>
      </c>
      <c r="I55" s="92">
        <f t="shared" si="3"/>
        <v>7960</v>
      </c>
    </row>
    <row r="56" spans="1:9" x14ac:dyDescent="0.25">
      <c r="A56" s="94">
        <f>IF(I56&lt;&gt;"",MAX(A$1:A55)+1,"")</f>
        <v>49</v>
      </c>
      <c r="B56" s="72" t="s">
        <v>855</v>
      </c>
      <c r="C56" s="101" t="s">
        <v>57</v>
      </c>
      <c r="D56" s="101">
        <f t="shared" si="4"/>
        <v>4</v>
      </c>
      <c r="E56" s="87" t="s">
        <v>904</v>
      </c>
      <c r="G56" s="101">
        <f>ROUND((32768/BASE_FLUX) * MTPAFlux_23,0)</f>
        <v>18978</v>
      </c>
      <c r="H56" s="92" t="str">
        <f>IF(G56&lt;&gt;"",IF(C56="float32",FLOAT2HEX(G56),DEC2HEX(G56,8)),"")</f>
        <v>00004A22</v>
      </c>
      <c r="I56" s="92">
        <f t="shared" si="3"/>
        <v>18978</v>
      </c>
    </row>
    <row r="57" spans="1:9" x14ac:dyDescent="0.25">
      <c r="A57" s="94">
        <f>IF(I57&lt;&gt;"",MAX(A$1:A56)+1,"")</f>
        <v>50</v>
      </c>
      <c r="B57" s="95" t="s">
        <v>831</v>
      </c>
      <c r="C57" s="101" t="s">
        <v>57</v>
      </c>
      <c r="D57" s="101">
        <f t="shared" si="4"/>
        <v>4</v>
      </c>
      <c r="E57" s="87" t="s">
        <v>905</v>
      </c>
      <c r="G57" s="101">
        <f>ROUND((32768/BASE_TORQ) * MTPATorque_24,0)</f>
        <v>7960</v>
      </c>
      <c r="H57" s="92" t="str">
        <f>IF(G57&lt;&gt;"",IF(C57="float32",FLOAT2HEX(G57),DEC2HEX(G57,8)),"")</f>
        <v>00001F18</v>
      </c>
      <c r="I57" s="92">
        <f t="shared" si="3"/>
        <v>7960</v>
      </c>
    </row>
    <row r="58" spans="1:9" x14ac:dyDescent="0.25">
      <c r="A58" s="94">
        <f>IF(I58&lt;&gt;"",MAX(A$1:A57)+1,"")</f>
        <v>51</v>
      </c>
      <c r="B58" s="72" t="s">
        <v>856</v>
      </c>
      <c r="C58" s="101" t="s">
        <v>57</v>
      </c>
      <c r="D58" s="101">
        <f t="shared" si="4"/>
        <v>4</v>
      </c>
      <c r="E58" s="87" t="s">
        <v>906</v>
      </c>
      <c r="G58" s="101">
        <f>ROUND((32768/BASE_FLUX) * MTPAFlux_24,0)</f>
        <v>18978</v>
      </c>
      <c r="H58" s="92" t="str">
        <f>IF(G58&lt;&gt;"",IF(C58="float32",FLOAT2HEX(G58),DEC2HEX(G58,8)),"")</f>
        <v>00004A22</v>
      </c>
      <c r="I58" s="92">
        <f t="shared" si="3"/>
        <v>18978</v>
      </c>
    </row>
  </sheetData>
  <mergeCells count="2">
    <mergeCell ref="B1:H1"/>
    <mergeCell ref="B3:C3"/>
  </mergeCells>
  <dataValidations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0" width="9.140625" style="93"/>
    <col min="21" max="16384" width="9.140625" style="101"/>
  </cols>
  <sheetData>
    <row r="1" spans="1:21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2" customFormat="1" ht="19.5" customHeight="1" x14ac:dyDescent="0.3">
      <c r="A3" s="23"/>
      <c r="B3" s="111" t="s">
        <v>194</v>
      </c>
      <c r="C3" s="111"/>
      <c r="D3" s="24">
        <f>SUM(D9:D1008)</f>
        <v>200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2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2" customFormat="1" ht="20.25" customHeight="1" x14ac:dyDescent="0.25">
      <c r="A6" s="94"/>
      <c r="B6" s="80" t="s">
        <v>907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4">
        <v>0</v>
      </c>
      <c r="B7" s="95" t="s">
        <v>1079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1080</v>
      </c>
      <c r="G7" s="101">
        <f>SIZE_MTPV-1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1072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1073</v>
      </c>
      <c r="G8" s="101">
        <f>ROUND(BASE_FLUX/(MTPVFlux_1-MTPVFlux_0),0)</f>
        <v>50</v>
      </c>
      <c r="H8" s="92" t="str">
        <f>IF(G8&lt;&gt;"",IF(C8="float32",FLOAT2HEX(G8),DEC2HEX(G8,8)),"")</f>
        <v>00000032</v>
      </c>
      <c r="I8" s="92">
        <f>IF(G8&lt;&gt;"",HEX2DEC(H8),"")</f>
        <v>50</v>
      </c>
      <c r="U8" s="93"/>
    </row>
    <row r="9" spans="1:21" s="93" customFormat="1" ht="15" customHeight="1" x14ac:dyDescent="0.25">
      <c r="A9" s="94">
        <f>IF(I9&lt;&gt;"",MAX(A$1:A8)+1,"")</f>
        <v>2</v>
      </c>
      <c r="B9" s="95" t="s">
        <v>958</v>
      </c>
      <c r="C9" s="101" t="s">
        <v>57</v>
      </c>
      <c r="D9" s="101">
        <f t="shared" ref="D9:D51" si="1">IF(OR(C9="sint64",C9="uint64",C9="double64"), 8, IF(OR(C9="sint32",C9="uint32",C9="float32"),4,IF(OR(C9="sint16",C9="uint16"),2,  IF(OR(C9="sint8",C9="uint8"),1,""))))</f>
        <v>4</v>
      </c>
      <c r="E9" s="87" t="s">
        <v>1008</v>
      </c>
      <c r="F9" s="101"/>
      <c r="G9" s="93">
        <f>ROUND((32768/BASE_FLUX) * MTPVFlux_0,0)</f>
        <v>2415</v>
      </c>
      <c r="H9" s="92" t="str">
        <f>IF(G9&lt;&gt;"",IF(C9="float32",FLOAT2HEX(G9),DEC2HEX(G9,8)),"")</f>
        <v>0000096F</v>
      </c>
      <c r="I9" s="92">
        <f>IF(AND(G9&lt;&gt;"",(ROW()-8)&lt;(($G$7+1)*3+1)),HEX2DEC(H9),"")</f>
        <v>2415</v>
      </c>
    </row>
    <row r="10" spans="1:21" s="93" customFormat="1" ht="15" customHeight="1" x14ac:dyDescent="0.25">
      <c r="A10" s="94">
        <f>IF(I10&lt;&gt;"",MAX(A$1:A9)+1,"")</f>
        <v>3</v>
      </c>
      <c r="B10" s="72" t="s">
        <v>959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1009</v>
      </c>
      <c r="F10" s="101"/>
      <c r="G10" s="93">
        <f>ROUND((32768/BASE_TORQ) * MTPVTorque_0,0)</f>
        <v>1207</v>
      </c>
      <c r="H10" s="92" t="str">
        <f>IF(G10&lt;&gt;"",IF(C10="float32",FLOAT2HEX(G10),DEC2HEX(G10,8)),"")</f>
        <v>000004B7</v>
      </c>
      <c r="I10" s="92">
        <f t="shared" ref="I10:I52" si="2">IF(AND(G10&lt;&gt;"",(ROW()-8)&lt;(($G$7+1)*3+1)),HEX2DEC(H10),"")</f>
        <v>1207</v>
      </c>
    </row>
    <row r="11" spans="1:21" s="93" customFormat="1" ht="15" customHeight="1" x14ac:dyDescent="0.25">
      <c r="A11" s="94">
        <f>IF(I11&lt;&gt;"",MAX(A$1:A10)+1,"")</f>
        <v>4</v>
      </c>
      <c r="B11" s="95" t="s">
        <v>960</v>
      </c>
      <c r="C11" s="101" t="s">
        <v>57</v>
      </c>
      <c r="D11" s="101">
        <f>IF(OR(C11="sint64",C11="uint64",C11="double64"), 8, IF(OR(C11="sint32",C11="uint32",C11="float32"),4,IF(OR(C11="sint16",C11="uint16"),2,  IF(OR(C11="sint8",C11="uint8"),1,""))))</f>
        <v>4</v>
      </c>
      <c r="E11" s="87" t="s">
        <v>1010</v>
      </c>
      <c r="F11" s="101"/>
      <c r="G11" s="93">
        <f>ROUND((32768/BASE_FLUX) * MTPVFlux_1,0)</f>
        <v>3073</v>
      </c>
      <c r="H11" s="92" t="str">
        <f>IF(G11&lt;&gt;"",IF(C11="float32",FLOAT2HEX(G11),DEC2HEX(G11,8)),"")</f>
        <v>00000C01</v>
      </c>
      <c r="I11" s="92">
        <f t="shared" si="2"/>
        <v>3073</v>
      </c>
    </row>
    <row r="12" spans="1:21" s="93" customFormat="1" ht="15" customHeight="1" x14ac:dyDescent="0.25">
      <c r="A12" s="94">
        <f>IF(I12&lt;&gt;"",MAX(A$1:A11)+1,"")</f>
        <v>5</v>
      </c>
      <c r="B12" s="72" t="s">
        <v>961</v>
      </c>
      <c r="C12" s="101" t="s">
        <v>57</v>
      </c>
      <c r="D12" s="101">
        <f t="shared" si="1"/>
        <v>4</v>
      </c>
      <c r="E12" s="87" t="s">
        <v>1011</v>
      </c>
      <c r="F12" s="101"/>
      <c r="G12" s="93">
        <f>ROUND((32768/BASE_TORQ) * MTPVTorque_1,0)</f>
        <v>1538</v>
      </c>
      <c r="H12" s="92" t="str">
        <f>IF(G12&lt;&gt;"",IF(C12="float32",FLOAT2HEX(G12),DEC2HEX(G12,8)),"")</f>
        <v>00000602</v>
      </c>
      <c r="I12" s="92">
        <f t="shared" si="2"/>
        <v>1538</v>
      </c>
    </row>
    <row r="13" spans="1:21" s="93" customFormat="1" ht="15" customHeight="1" x14ac:dyDescent="0.25">
      <c r="A13" s="94">
        <f>IF(I13&lt;&gt;"",MAX(A$1:A12)+1,"")</f>
        <v>6</v>
      </c>
      <c r="B13" s="95" t="s">
        <v>962</v>
      </c>
      <c r="C13" s="101" t="s">
        <v>57</v>
      </c>
      <c r="D13" s="101">
        <f t="shared" si="1"/>
        <v>4</v>
      </c>
      <c r="E13" s="87" t="s">
        <v>1012</v>
      </c>
      <c r="F13" s="101"/>
      <c r="G13" s="93">
        <f>ROUND((32768/BASE_FLUX) * MTPVFlux_2,0)</f>
        <v>3732</v>
      </c>
      <c r="H13" s="92" t="str">
        <f>IF(G13&lt;&gt;"",IF(C13="float32",FLOAT2HEX(G13),DEC2HEX(G13,8)),"")</f>
        <v>00000E94</v>
      </c>
      <c r="I13" s="92">
        <f t="shared" si="2"/>
        <v>3732</v>
      </c>
    </row>
    <row r="14" spans="1:21" s="93" customFormat="1" ht="15" customHeight="1" x14ac:dyDescent="0.25">
      <c r="A14" s="94">
        <f>IF(I14&lt;&gt;"",MAX(A$1:A13)+1,"")</f>
        <v>7</v>
      </c>
      <c r="B14" s="72" t="s">
        <v>963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1013</v>
      </c>
      <c r="F14" s="101"/>
      <c r="G14" s="93">
        <f>ROUND((32768/BASE_TORQ) * MTPVTorque_2,0)</f>
        <v>1868</v>
      </c>
      <c r="H14" s="92" t="str">
        <f>IF(G14&lt;&gt;"",IF(C14="float32",FLOAT2HEX(G14),DEC2HEX(G14,8)),"")</f>
        <v>0000074C</v>
      </c>
      <c r="I14" s="92">
        <f t="shared" si="2"/>
        <v>1868</v>
      </c>
    </row>
    <row r="15" spans="1:21" s="93" customFormat="1" ht="15" customHeight="1" x14ac:dyDescent="0.25">
      <c r="A15" s="94">
        <f>IF(I15&lt;&gt;"",MAX(A$1:A14)+1,"")</f>
        <v>8</v>
      </c>
      <c r="B15" s="95" t="s">
        <v>964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87" t="s">
        <v>1014</v>
      </c>
      <c r="F15" s="101"/>
      <c r="G15" s="93">
        <f>ROUND((32768/BASE_FLUX) * MTPVFlux_3,0)</f>
        <v>4390</v>
      </c>
      <c r="H15" s="92" t="str">
        <f>IF(G15&lt;&gt;"",IF(C15="float32",FLOAT2HEX(G15),DEC2HEX(G15,8)),"")</f>
        <v>00001126</v>
      </c>
      <c r="I15" s="92">
        <f t="shared" si="2"/>
        <v>4390</v>
      </c>
    </row>
    <row r="16" spans="1:21" s="93" customFormat="1" ht="15" customHeight="1" x14ac:dyDescent="0.25">
      <c r="A16" s="94">
        <f>IF(I16&lt;&gt;"",MAX(A$1:A15)+1,"")</f>
        <v>9</v>
      </c>
      <c r="B16" s="72" t="s">
        <v>965</v>
      </c>
      <c r="C16" s="101" t="s">
        <v>57</v>
      </c>
      <c r="D16" s="101">
        <f t="shared" si="1"/>
        <v>4</v>
      </c>
      <c r="E16" s="87" t="s">
        <v>1015</v>
      </c>
      <c r="F16" s="101"/>
      <c r="G16" s="93">
        <f>ROUND((32768/BASE_TORQ) * MTPVTorque_3,0)</f>
        <v>2201</v>
      </c>
      <c r="H16" s="92" t="str">
        <f>IF(G16&lt;&gt;"",IF(C16="float32",FLOAT2HEX(G16),DEC2HEX(G16,8)),"")</f>
        <v>00000899</v>
      </c>
      <c r="I16" s="92">
        <f t="shared" si="2"/>
        <v>2201</v>
      </c>
    </row>
    <row r="17" spans="1:9" s="93" customFormat="1" ht="15" customHeight="1" x14ac:dyDescent="0.25">
      <c r="A17" s="94">
        <f>IF(I17&lt;&gt;"",MAX(A$1:A16)+1,"")</f>
        <v>10</v>
      </c>
      <c r="B17" s="95" t="s">
        <v>966</v>
      </c>
      <c r="C17" s="101" t="s">
        <v>57</v>
      </c>
      <c r="D17" s="101">
        <f t="shared" si="1"/>
        <v>4</v>
      </c>
      <c r="E17" s="87" t="s">
        <v>1016</v>
      </c>
      <c r="F17" s="101"/>
      <c r="G17" s="93">
        <f>ROUND((32768/BASE_FLUX) * MTPVFlux_4,0)</f>
        <v>5048</v>
      </c>
      <c r="H17" s="92" t="str">
        <f>IF(G17&lt;&gt;"",IF(C17="float32",FLOAT2HEX(G17),DEC2HEX(G17,8)),"")</f>
        <v>000013B8</v>
      </c>
      <c r="I17" s="92">
        <f t="shared" si="2"/>
        <v>5048</v>
      </c>
    </row>
    <row r="18" spans="1:9" s="93" customFormat="1" ht="15" customHeight="1" x14ac:dyDescent="0.25">
      <c r="A18" s="94">
        <f>IF(I18&lt;&gt;"",MAX(A$1:A17)+1,"")</f>
        <v>11</v>
      </c>
      <c r="B18" s="72" t="s">
        <v>967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1017</v>
      </c>
      <c r="F18" s="101"/>
      <c r="G18" s="93">
        <f>ROUND((32768/BASE_TORQ) * MTPVTorque_4,0)</f>
        <v>2533</v>
      </c>
      <c r="H18" s="92" t="str">
        <f>IF(G18&lt;&gt;"",IF(C18="float32",FLOAT2HEX(G18),DEC2HEX(G18,8)),"")</f>
        <v>000009E5</v>
      </c>
      <c r="I18" s="92">
        <f t="shared" si="2"/>
        <v>2533</v>
      </c>
    </row>
    <row r="19" spans="1:9" s="93" customFormat="1" ht="15" customHeight="1" x14ac:dyDescent="0.25">
      <c r="A19" s="94">
        <f>IF(I19&lt;&gt;"",MAX(A$1:A18)+1,"")</f>
        <v>12</v>
      </c>
      <c r="B19" s="95" t="s">
        <v>968</v>
      </c>
      <c r="C19" s="101" t="s">
        <v>57</v>
      </c>
      <c r="D19" s="101">
        <f>IF(OR(C19="sint64",C19="uint64",C19="double64"), 8, IF(OR(C19="sint32",C19="uint32",C19="float32"),4,IF(OR(C19="sint16",C19="uint16"),2,  IF(OR(C19="sint8",C19="uint8"),1,""))))</f>
        <v>4</v>
      </c>
      <c r="E19" s="87" t="s">
        <v>1018</v>
      </c>
      <c r="F19" s="101"/>
      <c r="G19" s="93">
        <f>ROUND((32768/BASE_FLUX) * MTPVFlux_5,0)</f>
        <v>5706</v>
      </c>
      <c r="H19" s="92" t="str">
        <f>IF(G19&lt;&gt;"",IF(C19="float32",FLOAT2HEX(G19),DEC2HEX(G19,8)),"")</f>
        <v>0000164A</v>
      </c>
      <c r="I19" s="92">
        <f t="shared" si="2"/>
        <v>5706</v>
      </c>
    </row>
    <row r="20" spans="1:9" s="93" customFormat="1" ht="15" customHeight="1" x14ac:dyDescent="0.25">
      <c r="A20" s="94">
        <f>IF(I20&lt;&gt;"",MAX(A$1:A19)+1,"")</f>
        <v>13</v>
      </c>
      <c r="B20" s="72" t="s">
        <v>969</v>
      </c>
      <c r="C20" s="101" t="s">
        <v>57</v>
      </c>
      <c r="D20" s="101">
        <f t="shared" si="1"/>
        <v>4</v>
      </c>
      <c r="E20" s="87" t="s">
        <v>1019</v>
      </c>
      <c r="F20" s="101"/>
      <c r="G20" s="93">
        <f>ROUND((32768/BASE_TORQ) * MTPVTorque_5,0)</f>
        <v>2865</v>
      </c>
      <c r="H20" s="92" t="str">
        <f>IF(G20&lt;&gt;"",IF(C20="float32",FLOAT2HEX(G20),DEC2HEX(G20,8)),"")</f>
        <v>00000B31</v>
      </c>
      <c r="I20" s="92">
        <f t="shared" si="2"/>
        <v>2865</v>
      </c>
    </row>
    <row r="21" spans="1:9" s="93" customFormat="1" ht="15" customHeight="1" x14ac:dyDescent="0.25">
      <c r="A21" s="94">
        <f>IF(I21&lt;&gt;"",MAX(A$1:A20)+1,"")</f>
        <v>14</v>
      </c>
      <c r="B21" s="95" t="s">
        <v>970</v>
      </c>
      <c r="C21" s="101" t="s">
        <v>57</v>
      </c>
      <c r="D21" s="101">
        <f t="shared" si="1"/>
        <v>4</v>
      </c>
      <c r="E21" s="87" t="s">
        <v>1020</v>
      </c>
      <c r="F21" s="101"/>
      <c r="G21" s="93">
        <f>ROUND((32768/BASE_FLUX) * MTPVFlux_6,0)</f>
        <v>6364</v>
      </c>
      <c r="H21" s="92" t="str">
        <f>IF(G21&lt;&gt;"",IF(C21="float32",FLOAT2HEX(G21),DEC2HEX(G21,8)),"")</f>
        <v>000018DC</v>
      </c>
      <c r="I21" s="92">
        <f t="shared" si="2"/>
        <v>6364</v>
      </c>
    </row>
    <row r="22" spans="1:9" s="93" customFormat="1" ht="15" customHeight="1" x14ac:dyDescent="0.25">
      <c r="A22" s="94">
        <f>IF(I22&lt;&gt;"",MAX(A$1:A21)+1,"")</f>
        <v>15</v>
      </c>
      <c r="B22" s="72" t="s">
        <v>971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1021</v>
      </c>
      <c r="F22" s="101"/>
      <c r="G22" s="93">
        <f>ROUND((32768/BASE_TORQ) * MTPVTorque_6,0)</f>
        <v>3195</v>
      </c>
      <c r="H22" s="92" t="str">
        <f>IF(G22&lt;&gt;"",IF(C22="float32",FLOAT2HEX(G22),DEC2HEX(G22,8)),"")</f>
        <v>00000C7B</v>
      </c>
      <c r="I22" s="92">
        <f t="shared" si="2"/>
        <v>3195</v>
      </c>
    </row>
    <row r="23" spans="1:9" s="93" customFormat="1" ht="15" customHeight="1" x14ac:dyDescent="0.25">
      <c r="A23" s="94">
        <f>IF(I23&lt;&gt;"",MAX(A$1:A22)+1,"")</f>
        <v>16</v>
      </c>
      <c r="B23" s="95" t="s">
        <v>972</v>
      </c>
      <c r="C23" s="101" t="s">
        <v>57</v>
      </c>
      <c r="D23" s="101">
        <f>IF(OR(C23="sint64",C23="uint64",C23="double64"), 8, IF(OR(C23="sint32",C23="uint32",C23="float32"),4,IF(OR(C23="sint16",C23="uint16"),2,  IF(OR(C23="sint8",C23="uint8"),1,""))))</f>
        <v>4</v>
      </c>
      <c r="E23" s="87" t="s">
        <v>1022</v>
      </c>
      <c r="F23" s="101"/>
      <c r="G23" s="93">
        <f>ROUND((32768/BASE_FLUX) * MTPVFlux_7,0)</f>
        <v>7023</v>
      </c>
      <c r="H23" s="92" t="str">
        <f>IF(G23&lt;&gt;"",IF(C23="float32",FLOAT2HEX(G23),DEC2HEX(G23,8)),"")</f>
        <v>00001B6F</v>
      </c>
      <c r="I23" s="92">
        <f t="shared" si="2"/>
        <v>7023</v>
      </c>
    </row>
    <row r="24" spans="1:9" s="93" customFormat="1" ht="15" customHeight="1" x14ac:dyDescent="0.25">
      <c r="A24" s="94">
        <f>IF(I24&lt;&gt;"",MAX(A$1:A23)+1,"")</f>
        <v>17</v>
      </c>
      <c r="B24" s="72" t="s">
        <v>973</v>
      </c>
      <c r="C24" s="101" t="s">
        <v>57</v>
      </c>
      <c r="D24" s="101">
        <f t="shared" si="1"/>
        <v>4</v>
      </c>
      <c r="E24" s="87" t="s">
        <v>1023</v>
      </c>
      <c r="F24" s="101"/>
      <c r="G24" s="93">
        <f>ROUND((32768/BASE_TORQ) * MTPVTorque_7,0)</f>
        <v>3531</v>
      </c>
      <c r="H24" s="92" t="str">
        <f>IF(G24&lt;&gt;"",IF(C24="float32",FLOAT2HEX(G24),DEC2HEX(G24,8)),"")</f>
        <v>00000DCB</v>
      </c>
      <c r="I24" s="92">
        <f t="shared" si="2"/>
        <v>3531</v>
      </c>
    </row>
    <row r="25" spans="1:9" s="93" customFormat="1" ht="15" customHeight="1" x14ac:dyDescent="0.25">
      <c r="A25" s="94">
        <f>IF(I25&lt;&gt;"",MAX(A$1:A24)+1,"")</f>
        <v>18</v>
      </c>
      <c r="B25" s="95" t="s">
        <v>974</v>
      </c>
      <c r="C25" s="101" t="s">
        <v>57</v>
      </c>
      <c r="D25" s="101">
        <f t="shared" si="1"/>
        <v>4</v>
      </c>
      <c r="E25" s="87" t="s">
        <v>1024</v>
      </c>
      <c r="F25" s="101"/>
      <c r="G25" s="93">
        <f>ROUND((32768/BASE_FLUX) * MTPVFlux_8,0)</f>
        <v>7681</v>
      </c>
      <c r="H25" s="92" t="str">
        <f>IF(G25&lt;&gt;"",IF(C25="float32",FLOAT2HEX(G25),DEC2HEX(G25,8)),"")</f>
        <v>00001E01</v>
      </c>
      <c r="I25" s="92">
        <f t="shared" si="2"/>
        <v>7681</v>
      </c>
    </row>
    <row r="26" spans="1:9" s="93" customFormat="1" ht="15" customHeight="1" x14ac:dyDescent="0.25">
      <c r="A26" s="94">
        <f>IF(I26&lt;&gt;"",MAX(A$1:A25)+1,"")</f>
        <v>19</v>
      </c>
      <c r="B26" s="72" t="s">
        <v>975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1025</v>
      </c>
      <c r="F26" s="101"/>
      <c r="G26" s="93">
        <f>ROUND((32768/BASE_TORQ) * MTPVTorque_8,0)</f>
        <v>3861</v>
      </c>
      <c r="H26" s="92" t="str">
        <f>IF(G26&lt;&gt;"",IF(C26="float32",FLOAT2HEX(G26),DEC2HEX(G26,8)),"")</f>
        <v>00000F15</v>
      </c>
      <c r="I26" s="92">
        <f t="shared" si="2"/>
        <v>3861</v>
      </c>
    </row>
    <row r="27" spans="1:9" s="93" customFormat="1" ht="15" customHeight="1" x14ac:dyDescent="0.25">
      <c r="A27" s="94">
        <f>IF(I27&lt;&gt;"",MAX(A$1:A26)+1,"")</f>
        <v>20</v>
      </c>
      <c r="B27" s="95" t="s">
        <v>976</v>
      </c>
      <c r="C27" s="101" t="s">
        <v>57</v>
      </c>
      <c r="D27" s="101">
        <f>IF(OR(C27="sint64",C27="uint64",C27="double64"), 8, IF(OR(C27="sint32",C27="uint32",C27="float32"),4,IF(OR(C27="sint16",C27="uint16"),2,  IF(OR(C27="sint8",C27="uint8"),1,""))))</f>
        <v>4</v>
      </c>
      <c r="E27" s="87" t="s">
        <v>1026</v>
      </c>
      <c r="F27" s="101"/>
      <c r="G27" s="93">
        <f>ROUND((32768/BASE_FLUX) * MTPVFlux_9,0)</f>
        <v>8339</v>
      </c>
      <c r="H27" s="92" t="str">
        <f>IF(G27&lt;&gt;"",IF(C27="float32",FLOAT2HEX(G27),DEC2HEX(G27,8)),"")</f>
        <v>00002093</v>
      </c>
      <c r="I27" s="92">
        <f t="shared" si="2"/>
        <v>8339</v>
      </c>
    </row>
    <row r="28" spans="1:9" s="93" customFormat="1" ht="15" customHeight="1" x14ac:dyDescent="0.25">
      <c r="A28" s="94">
        <f>IF(I28&lt;&gt;"",MAX(A$1:A27)+1,"")</f>
        <v>21</v>
      </c>
      <c r="B28" s="72" t="s">
        <v>977</v>
      </c>
      <c r="C28" s="101" t="s">
        <v>57</v>
      </c>
      <c r="D28" s="101">
        <f t="shared" si="1"/>
        <v>4</v>
      </c>
      <c r="E28" s="87" t="s">
        <v>1027</v>
      </c>
      <c r="F28" s="101"/>
      <c r="G28" s="93">
        <f>ROUND((32768/BASE_TORQ) * MTPVTorque_9,0)</f>
        <v>4196</v>
      </c>
      <c r="H28" s="92" t="str">
        <f>IF(G28&lt;&gt;"",IF(C28="float32",FLOAT2HEX(G28),DEC2HEX(G28,8)),"")</f>
        <v>00001064</v>
      </c>
      <c r="I28" s="92">
        <f t="shared" si="2"/>
        <v>4196</v>
      </c>
    </row>
    <row r="29" spans="1:9" s="93" customFormat="1" ht="15" customHeight="1" x14ac:dyDescent="0.25">
      <c r="A29" s="94">
        <f>IF(I29&lt;&gt;"",MAX(A$1:A28)+1,"")</f>
        <v>22</v>
      </c>
      <c r="B29" s="95" t="s">
        <v>978</v>
      </c>
      <c r="C29" s="101" t="s">
        <v>57</v>
      </c>
      <c r="D29" s="101">
        <f t="shared" si="1"/>
        <v>4</v>
      </c>
      <c r="E29" s="87" t="s">
        <v>1028</v>
      </c>
      <c r="F29" s="101"/>
      <c r="G29" s="93">
        <f>ROUND((32768/BASE_FLUX) * MTPVFlux_10,0)</f>
        <v>8997</v>
      </c>
      <c r="H29" s="92" t="str">
        <f>IF(G29&lt;&gt;"",IF(C29="float32",FLOAT2HEX(G29),DEC2HEX(G29,8)),"")</f>
        <v>00002325</v>
      </c>
      <c r="I29" s="92">
        <f t="shared" si="2"/>
        <v>8997</v>
      </c>
    </row>
    <row r="30" spans="1:9" s="93" customFormat="1" ht="15" customHeight="1" x14ac:dyDescent="0.25">
      <c r="A30" s="94">
        <f>IF(I30&lt;&gt;"",MAX(A$1:A29)+1,"")</f>
        <v>23</v>
      </c>
      <c r="B30" s="72" t="s">
        <v>979</v>
      </c>
      <c r="C30" s="101" t="s">
        <v>57</v>
      </c>
      <c r="D30" s="101">
        <f t="shared" si="1"/>
        <v>4</v>
      </c>
      <c r="E30" s="87" t="s">
        <v>1029</v>
      </c>
      <c r="F30" s="101"/>
      <c r="G30" s="93">
        <f>ROUND((32768/BASE_TORQ) * MTPVTorque_10,0)</f>
        <v>4525</v>
      </c>
      <c r="H30" s="92" t="str">
        <f>IF(G30&lt;&gt;"",IF(C30="float32",FLOAT2HEX(G30),DEC2HEX(G30,8)),"")</f>
        <v>000011AD</v>
      </c>
      <c r="I30" s="92">
        <f t="shared" si="2"/>
        <v>4525</v>
      </c>
    </row>
    <row r="31" spans="1:9" x14ac:dyDescent="0.25">
      <c r="A31" s="94">
        <f>IF(I31&lt;&gt;"",MAX(A$1:A30)+1,"")</f>
        <v>24</v>
      </c>
      <c r="B31" s="95" t="s">
        <v>980</v>
      </c>
      <c r="C31" s="101" t="s">
        <v>57</v>
      </c>
      <c r="D31" s="101">
        <f t="shared" si="1"/>
        <v>4</v>
      </c>
      <c r="E31" s="87" t="s">
        <v>1030</v>
      </c>
      <c r="G31" s="101">
        <f>ROUND((32768/BASE_FLUX) * MTPVFlux_11,0)</f>
        <v>9655</v>
      </c>
      <c r="H31" s="92" t="str">
        <f>IF(G31&lt;&gt;"",IF(C31="float32",FLOAT2HEX(G31),DEC2HEX(G31,8)),"")</f>
        <v>000025B7</v>
      </c>
      <c r="I31" s="92">
        <f t="shared" si="2"/>
        <v>9655</v>
      </c>
    </row>
    <row r="32" spans="1:9" x14ac:dyDescent="0.25">
      <c r="A32" s="94">
        <f>IF(I32&lt;&gt;"",MAX(A$1:A31)+1,"")</f>
        <v>25</v>
      </c>
      <c r="B32" s="72" t="s">
        <v>981</v>
      </c>
      <c r="C32" s="101" t="s">
        <v>57</v>
      </c>
      <c r="D32" s="101">
        <f t="shared" si="1"/>
        <v>4</v>
      </c>
      <c r="E32" s="87" t="s">
        <v>1031</v>
      </c>
      <c r="G32" s="101">
        <f>ROUND((32768/BASE_TORQ) * MTPVTorque_11,0)</f>
        <v>4859</v>
      </c>
      <c r="H32" s="92" t="str">
        <f>IF(G32&lt;&gt;"",IF(C32="float32",FLOAT2HEX(G32),DEC2HEX(G32,8)),"")</f>
        <v>000012FB</v>
      </c>
      <c r="I32" s="92">
        <f t="shared" si="2"/>
        <v>4859</v>
      </c>
    </row>
    <row r="33" spans="1:9" x14ac:dyDescent="0.25">
      <c r="A33" s="94">
        <f>IF(I33&lt;&gt;"",MAX(A$1:A32)+1,"")</f>
        <v>26</v>
      </c>
      <c r="B33" s="95" t="s">
        <v>982</v>
      </c>
      <c r="C33" s="101" t="s">
        <v>57</v>
      </c>
      <c r="D33" s="101">
        <f t="shared" si="1"/>
        <v>4</v>
      </c>
      <c r="E33" s="87" t="s">
        <v>1032</v>
      </c>
      <c r="G33" s="101">
        <f>ROUND((32768/BASE_FLUX) * MTPVFlux_12,0)</f>
        <v>10313</v>
      </c>
      <c r="H33" s="92" t="str">
        <f>IF(G33&lt;&gt;"",IF(C33="float32",FLOAT2HEX(G33),DEC2HEX(G33,8)),"")</f>
        <v>00002849</v>
      </c>
      <c r="I33" s="92">
        <f t="shared" si="2"/>
        <v>10313</v>
      </c>
    </row>
    <row r="34" spans="1:9" x14ac:dyDescent="0.25">
      <c r="A34" s="94">
        <f>IF(I34&lt;&gt;"",MAX(A$1:A33)+1,"")</f>
        <v>27</v>
      </c>
      <c r="B34" s="72" t="s">
        <v>983</v>
      </c>
      <c r="C34" s="101" t="s">
        <v>57</v>
      </c>
      <c r="D34" s="101">
        <f t="shared" si="1"/>
        <v>4</v>
      </c>
      <c r="E34" s="87" t="s">
        <v>1033</v>
      </c>
      <c r="G34" s="101">
        <f>ROUND((32768/BASE_TORQ) * MTPVTorque_12,0)</f>
        <v>5170</v>
      </c>
      <c r="H34" s="92" t="str">
        <f>IF(G34&lt;&gt;"",IF(C34="float32",FLOAT2HEX(G34),DEC2HEX(G34,8)),"")</f>
        <v>00001432</v>
      </c>
      <c r="I34" s="92">
        <f t="shared" si="2"/>
        <v>5170</v>
      </c>
    </row>
    <row r="35" spans="1:9" x14ac:dyDescent="0.25">
      <c r="A35" s="94">
        <f>IF(I35&lt;&gt;"",MAX(A$1:A34)+1,"")</f>
        <v>28</v>
      </c>
      <c r="B35" s="95" t="s">
        <v>984</v>
      </c>
      <c r="C35" s="101" t="s">
        <v>57</v>
      </c>
      <c r="D35" s="101">
        <f t="shared" si="1"/>
        <v>4</v>
      </c>
      <c r="E35" s="87" t="s">
        <v>1034</v>
      </c>
      <c r="G35" s="101">
        <f>ROUND((32768/BASE_FLUX) * MTPVFlux_13,0)</f>
        <v>10972</v>
      </c>
      <c r="H35" s="92" t="str">
        <f>IF(G35&lt;&gt;"",IF(C35="float32",FLOAT2HEX(G35),DEC2HEX(G35,8)),"")</f>
        <v>00002ADC</v>
      </c>
      <c r="I35" s="92">
        <f t="shared" si="2"/>
        <v>10972</v>
      </c>
    </row>
    <row r="36" spans="1:9" x14ac:dyDescent="0.25">
      <c r="A36" s="94">
        <f>IF(I36&lt;&gt;"",MAX(A$1:A35)+1,"")</f>
        <v>29</v>
      </c>
      <c r="B36" s="72" t="s">
        <v>985</v>
      </c>
      <c r="C36" s="101" t="s">
        <v>57</v>
      </c>
      <c r="D36" s="101">
        <f t="shared" si="1"/>
        <v>4</v>
      </c>
      <c r="E36" s="87" t="s">
        <v>1035</v>
      </c>
      <c r="G36" s="101">
        <f>ROUND((32768/BASE_TORQ) * MTPVTorque_13,0)</f>
        <v>5519</v>
      </c>
      <c r="H36" s="92" t="str">
        <f>IF(G36&lt;&gt;"",IF(C36="float32",FLOAT2HEX(G36),DEC2HEX(G36,8)),"")</f>
        <v>0000158F</v>
      </c>
      <c r="I36" s="92">
        <f t="shared" si="2"/>
        <v>5519</v>
      </c>
    </row>
    <row r="37" spans="1:9" x14ac:dyDescent="0.25">
      <c r="A37" s="94">
        <f>IF(I37&lt;&gt;"",MAX(A$1:A36)+1,"")</f>
        <v>30</v>
      </c>
      <c r="B37" s="95" t="s">
        <v>986</v>
      </c>
      <c r="C37" s="101" t="s">
        <v>57</v>
      </c>
      <c r="D37" s="101">
        <f t="shared" si="1"/>
        <v>4</v>
      </c>
      <c r="E37" s="87" t="s">
        <v>1036</v>
      </c>
      <c r="G37" s="101">
        <f>ROUND((32768/BASE_FLUX) * MTPVFlux_14,0)</f>
        <v>11630</v>
      </c>
      <c r="H37" s="92" t="str">
        <f>IF(G37&lt;&gt;"",IF(C37="float32",FLOAT2HEX(G37),DEC2HEX(G37,8)),"")</f>
        <v>00002D6E</v>
      </c>
      <c r="I37" s="92">
        <f t="shared" si="2"/>
        <v>11630</v>
      </c>
    </row>
    <row r="38" spans="1:9" x14ac:dyDescent="0.25">
      <c r="A38" s="94">
        <f>IF(I38&lt;&gt;"",MAX(A$1:A37)+1,"")</f>
        <v>31</v>
      </c>
      <c r="B38" s="72" t="s">
        <v>987</v>
      </c>
      <c r="C38" s="101" t="s">
        <v>57</v>
      </c>
      <c r="D38" s="101">
        <f t="shared" si="1"/>
        <v>4</v>
      </c>
      <c r="E38" s="87" t="s">
        <v>1037</v>
      </c>
      <c r="G38" s="101">
        <f>ROUND((32768/BASE_TORQ) * MTPVTorque_14,0)</f>
        <v>5843</v>
      </c>
      <c r="H38" s="92" t="str">
        <f>IF(G38&lt;&gt;"",IF(C38="float32",FLOAT2HEX(G38),DEC2HEX(G38,8)),"")</f>
        <v>000016D3</v>
      </c>
      <c r="I38" s="92">
        <f t="shared" si="2"/>
        <v>5843</v>
      </c>
    </row>
    <row r="39" spans="1:9" x14ac:dyDescent="0.25">
      <c r="A39" s="94">
        <f>IF(I39&lt;&gt;"",MAX(A$1:A38)+1,"")</f>
        <v>32</v>
      </c>
      <c r="B39" s="95" t="s">
        <v>988</v>
      </c>
      <c r="C39" s="101" t="s">
        <v>57</v>
      </c>
      <c r="D39" s="101">
        <f t="shared" si="1"/>
        <v>4</v>
      </c>
      <c r="E39" s="87" t="s">
        <v>1038</v>
      </c>
      <c r="G39" s="101">
        <f>ROUND((32768/BASE_FLUX) * MTPVFlux_15,0)</f>
        <v>12288</v>
      </c>
      <c r="H39" s="92" t="str">
        <f>IF(G39&lt;&gt;"",IF(C39="float32",FLOAT2HEX(G39),DEC2HEX(G39,8)),"")</f>
        <v>00003000</v>
      </c>
      <c r="I39" s="92">
        <f t="shared" si="2"/>
        <v>12288</v>
      </c>
    </row>
    <row r="40" spans="1:9" x14ac:dyDescent="0.25">
      <c r="A40" s="94">
        <f>IF(I40&lt;&gt;"",MAX(A$1:A39)+1,"")</f>
        <v>33</v>
      </c>
      <c r="B40" s="72" t="s">
        <v>989</v>
      </c>
      <c r="C40" s="101" t="s">
        <v>57</v>
      </c>
      <c r="D40" s="101">
        <f t="shared" si="1"/>
        <v>4</v>
      </c>
      <c r="E40" s="87" t="s">
        <v>1039</v>
      </c>
      <c r="G40" s="101">
        <f>ROUND((32768/BASE_TORQ) * MTPVTorque_15,0)</f>
        <v>6151</v>
      </c>
      <c r="H40" s="92" t="str">
        <f>IF(G40&lt;&gt;"",IF(C40="float32",FLOAT2HEX(G40),DEC2HEX(G40,8)),"")</f>
        <v>00001807</v>
      </c>
      <c r="I40" s="92">
        <f t="shared" si="2"/>
        <v>6151</v>
      </c>
    </row>
    <row r="41" spans="1:9" x14ac:dyDescent="0.25">
      <c r="A41" s="94">
        <f>IF(I41&lt;&gt;"",MAX(A$1:A40)+1,"")</f>
        <v>34</v>
      </c>
      <c r="B41" s="95" t="s">
        <v>990</v>
      </c>
      <c r="C41" s="101" t="s">
        <v>57</v>
      </c>
      <c r="D41" s="101">
        <f t="shared" si="1"/>
        <v>4</v>
      </c>
      <c r="E41" s="87" t="s">
        <v>1040</v>
      </c>
      <c r="G41" s="101">
        <f>ROUND((32768/BASE_FLUX) * MTPVFlux_16,0)</f>
        <v>12946</v>
      </c>
      <c r="H41" s="92" t="str">
        <f>IF(G41&lt;&gt;"",IF(C41="float32",FLOAT2HEX(G41),DEC2HEX(G41,8)),"")</f>
        <v>00003292</v>
      </c>
      <c r="I41" s="92">
        <f t="shared" si="2"/>
        <v>12946</v>
      </c>
    </row>
    <row r="42" spans="1:9" x14ac:dyDescent="0.25">
      <c r="A42" s="94">
        <f>IF(I42&lt;&gt;"",MAX(A$1:A41)+1,"")</f>
        <v>35</v>
      </c>
      <c r="B42" s="72" t="s">
        <v>991</v>
      </c>
      <c r="C42" s="101" t="s">
        <v>57</v>
      </c>
      <c r="D42" s="101">
        <f t="shared" si="1"/>
        <v>4</v>
      </c>
      <c r="E42" s="87" t="s">
        <v>1041</v>
      </c>
      <c r="G42" s="101">
        <f>ROUND((32768/BASE_TORQ) * MTPVTorque_16,0)</f>
        <v>6432</v>
      </c>
      <c r="H42" s="92" t="str">
        <f>IF(G42&lt;&gt;"",IF(C42="float32",FLOAT2HEX(G42),DEC2HEX(G42,8)),"")</f>
        <v>00001920</v>
      </c>
      <c r="I42" s="92">
        <f t="shared" si="2"/>
        <v>6432</v>
      </c>
    </row>
    <row r="43" spans="1:9" x14ac:dyDescent="0.25">
      <c r="A43" s="94">
        <f>IF(I43&lt;&gt;"",MAX(A$1:A42)+1,"")</f>
        <v>36</v>
      </c>
      <c r="B43" s="95" t="s">
        <v>992</v>
      </c>
      <c r="C43" s="101" t="s">
        <v>57</v>
      </c>
      <c r="D43" s="101">
        <f t="shared" si="1"/>
        <v>4</v>
      </c>
      <c r="E43" s="87" t="s">
        <v>1042</v>
      </c>
      <c r="G43" s="101">
        <f>ROUND((32768/BASE_FLUX) * MTPVFlux_17,0)</f>
        <v>13604</v>
      </c>
      <c r="H43" s="92" t="str">
        <f>IF(G43&lt;&gt;"",IF(C43="float32",FLOAT2HEX(G43),DEC2HEX(G43,8)),"")</f>
        <v>00003524</v>
      </c>
      <c r="I43" s="92">
        <f t="shared" si="2"/>
        <v>13604</v>
      </c>
    </row>
    <row r="44" spans="1:9" x14ac:dyDescent="0.25">
      <c r="A44" s="94">
        <f>IF(I44&lt;&gt;"",MAX(A$1:A43)+1,"")</f>
        <v>37</v>
      </c>
      <c r="B44" s="72" t="s">
        <v>993</v>
      </c>
      <c r="C44" s="101" t="s">
        <v>57</v>
      </c>
      <c r="D44" s="101">
        <f t="shared" si="1"/>
        <v>4</v>
      </c>
      <c r="E44" s="87" t="s">
        <v>1043</v>
      </c>
      <c r="G44" s="101">
        <f>ROUND((32768/BASE_TORQ) * MTPVTorque_17,0)</f>
        <v>6692</v>
      </c>
      <c r="H44" s="92" t="str">
        <f>IF(G44&lt;&gt;"",IF(C44="float32",FLOAT2HEX(G44),DEC2HEX(G44,8)),"")</f>
        <v>00001A24</v>
      </c>
      <c r="I44" s="92">
        <f t="shared" si="2"/>
        <v>6692</v>
      </c>
    </row>
    <row r="45" spans="1:9" x14ac:dyDescent="0.25">
      <c r="A45" s="94">
        <f>IF(I45&lt;&gt;"",MAX(A$1:A44)+1,"")</f>
        <v>38</v>
      </c>
      <c r="B45" s="95" t="s">
        <v>994</v>
      </c>
      <c r="C45" s="101" t="s">
        <v>57</v>
      </c>
      <c r="D45" s="101">
        <f t="shared" si="1"/>
        <v>4</v>
      </c>
      <c r="E45" s="87" t="s">
        <v>1044</v>
      </c>
      <c r="G45" s="101">
        <f>ROUND((32768/BASE_FLUX) * MTPVFlux_18,0)</f>
        <v>14262</v>
      </c>
      <c r="H45" s="92" t="str">
        <f>IF(G45&lt;&gt;"",IF(C45="float32",FLOAT2HEX(G45),DEC2HEX(G45,8)),"")</f>
        <v>000037B6</v>
      </c>
      <c r="I45" s="92">
        <f t="shared" si="2"/>
        <v>14262</v>
      </c>
    </row>
    <row r="46" spans="1:9" x14ac:dyDescent="0.25">
      <c r="A46" s="94">
        <f>IF(I46&lt;&gt;"",MAX(A$1:A45)+1,"")</f>
        <v>39</v>
      </c>
      <c r="B46" s="72" t="s">
        <v>995</v>
      </c>
      <c r="C46" s="101" t="s">
        <v>57</v>
      </c>
      <c r="D46" s="101">
        <f t="shared" si="1"/>
        <v>4</v>
      </c>
      <c r="E46" s="87" t="s">
        <v>1045</v>
      </c>
      <c r="G46" s="101">
        <f>ROUND((32768/BASE_TORQ) * MTPVTorque_18,0)</f>
        <v>6927</v>
      </c>
      <c r="H46" s="92" t="str">
        <f>IF(G46&lt;&gt;"",IF(C46="float32",FLOAT2HEX(G46),DEC2HEX(G46,8)),"")</f>
        <v>00001B0F</v>
      </c>
      <c r="I46" s="92">
        <f t="shared" si="2"/>
        <v>6927</v>
      </c>
    </row>
    <row r="47" spans="1:9" x14ac:dyDescent="0.25">
      <c r="A47" s="94">
        <f>IF(I47&lt;&gt;"",MAX(A$1:A46)+1,"")</f>
        <v>40</v>
      </c>
      <c r="B47" s="95" t="s">
        <v>996</v>
      </c>
      <c r="C47" s="101" t="s">
        <v>57</v>
      </c>
      <c r="D47" s="101">
        <f t="shared" si="1"/>
        <v>4</v>
      </c>
      <c r="E47" s="87" t="s">
        <v>1046</v>
      </c>
      <c r="G47" s="101">
        <f>ROUND((32768/BASE_FLUX) * MTPVFlux_19,0)</f>
        <v>14921</v>
      </c>
      <c r="H47" s="92" t="str">
        <f>IF(G47&lt;&gt;"",IF(C47="float32",FLOAT2HEX(G47),DEC2HEX(G47,8)),"")</f>
        <v>00003A49</v>
      </c>
      <c r="I47" s="92">
        <f t="shared" si="2"/>
        <v>14921</v>
      </c>
    </row>
    <row r="48" spans="1:9" x14ac:dyDescent="0.25">
      <c r="A48" s="94">
        <f>IF(I48&lt;&gt;"",MAX(A$1:A47)+1,"")</f>
        <v>41</v>
      </c>
      <c r="B48" s="72" t="s">
        <v>997</v>
      </c>
      <c r="C48" s="101" t="s">
        <v>57</v>
      </c>
      <c r="D48" s="101">
        <f t="shared" si="1"/>
        <v>4</v>
      </c>
      <c r="E48" s="87" t="s">
        <v>1047</v>
      </c>
      <c r="G48" s="101">
        <f>ROUND((32768/BASE_TORQ) * MTPVTorque_19,0)</f>
        <v>7138</v>
      </c>
      <c r="H48" s="92" t="str">
        <f>IF(G48&lt;&gt;"",IF(C48="float32",FLOAT2HEX(G48),DEC2HEX(G48,8)),"")</f>
        <v>00001BE2</v>
      </c>
      <c r="I48" s="92">
        <f t="shared" si="2"/>
        <v>7138</v>
      </c>
    </row>
    <row r="49" spans="1:9" x14ac:dyDescent="0.25">
      <c r="A49" s="94">
        <f>IF(I49&lt;&gt;"",MAX(A$1:A48)+1,"")</f>
        <v>42</v>
      </c>
      <c r="B49" s="95" t="s">
        <v>998</v>
      </c>
      <c r="C49" s="101" t="s">
        <v>57</v>
      </c>
      <c r="D49" s="101">
        <f t="shared" si="1"/>
        <v>4</v>
      </c>
      <c r="E49" s="87" t="s">
        <v>1048</v>
      </c>
      <c r="G49" s="101">
        <f>ROUND((32768/BASE_FLUX) * MTPVFlux_20,0)</f>
        <v>15579</v>
      </c>
      <c r="H49" s="92" t="str">
        <f>IF(G49&lt;&gt;"",IF(C49="float32",FLOAT2HEX(G49),DEC2HEX(G49,8)),"")</f>
        <v>00003CDB</v>
      </c>
      <c r="I49" s="92">
        <f t="shared" si="2"/>
        <v>15579</v>
      </c>
    </row>
    <row r="50" spans="1:9" x14ac:dyDescent="0.25">
      <c r="A50" s="94">
        <f>IF(I50&lt;&gt;"",MAX(A$1:A49)+1,"")</f>
        <v>43</v>
      </c>
      <c r="B50" s="72" t="s">
        <v>999</v>
      </c>
      <c r="C50" s="101" t="s">
        <v>57</v>
      </c>
      <c r="D50" s="101">
        <f t="shared" si="1"/>
        <v>4</v>
      </c>
      <c r="E50" s="87" t="s">
        <v>1049</v>
      </c>
      <c r="G50" s="101">
        <f>ROUND((32768/BASE_TORQ) * MTPVTorque_20,0)</f>
        <v>7319</v>
      </c>
      <c r="H50" s="92" t="str">
        <f>IF(G50&lt;&gt;"",IF(C50="float32",FLOAT2HEX(G50),DEC2HEX(G50,8)),"")</f>
        <v>00001C97</v>
      </c>
      <c r="I50" s="92">
        <f t="shared" si="2"/>
        <v>7319</v>
      </c>
    </row>
    <row r="51" spans="1:9" x14ac:dyDescent="0.25">
      <c r="A51" s="94">
        <f>IF(I51&lt;&gt;"",MAX(A$1:A50)+1,"")</f>
        <v>44</v>
      </c>
      <c r="B51" s="95" t="s">
        <v>1000</v>
      </c>
      <c r="C51" s="101" t="s">
        <v>57</v>
      </c>
      <c r="D51" s="101">
        <f t="shared" si="1"/>
        <v>4</v>
      </c>
      <c r="E51" s="87" t="s">
        <v>1050</v>
      </c>
      <c r="G51" s="101">
        <f>ROUND((32768/BASE_FLUX) * MTPVFlux_21,0)</f>
        <v>16237</v>
      </c>
      <c r="H51" s="92" t="str">
        <f>IF(G51&lt;&gt;"",IF(C51="float32",FLOAT2HEX(G51),DEC2HEX(G51,8)),"")</f>
        <v>00003F6D</v>
      </c>
      <c r="I51" s="92">
        <f t="shared" si="2"/>
        <v>16237</v>
      </c>
    </row>
    <row r="52" spans="1:9" x14ac:dyDescent="0.25">
      <c r="A52" s="94">
        <f>IF(I52&lt;&gt;"",MAX(A$1:A51)+1,"")</f>
        <v>45</v>
      </c>
      <c r="B52" s="72" t="s">
        <v>1001</v>
      </c>
      <c r="C52" s="101" t="s">
        <v>57</v>
      </c>
      <c r="D52" s="101">
        <f t="shared" ref="D52:D58" si="3">IF(OR(C52="sint64",C52="uint64",C52="double64"), 8, IF(OR(C52="sint32",C52="uint32",C52="float32"),4,IF(OR(C52="sint16",C52="uint16"),2,  IF(OR(C52="sint8",C52="uint8"),1,""))))</f>
        <v>4</v>
      </c>
      <c r="E52" s="87" t="s">
        <v>1051</v>
      </c>
      <c r="G52" s="101">
        <f>ROUND((32768/BASE_TORQ) * MTPVTorque_21,0)</f>
        <v>7471</v>
      </c>
      <c r="H52" s="92" t="str">
        <f>IF(G52&lt;&gt;"",IF(C52="float32",FLOAT2HEX(G52),DEC2HEX(G52,8)),"")</f>
        <v>00001D2F</v>
      </c>
      <c r="I52" s="92">
        <f t="shared" si="2"/>
        <v>7471</v>
      </c>
    </row>
    <row r="53" spans="1:9" x14ac:dyDescent="0.25">
      <c r="A53" s="94">
        <f>IF(I53&lt;&gt;"",MAX(A$1:A52)+1,"")</f>
        <v>46</v>
      </c>
      <c r="B53" s="95" t="s">
        <v>1002</v>
      </c>
      <c r="C53" s="101" t="s">
        <v>57</v>
      </c>
      <c r="D53" s="101">
        <f t="shared" si="3"/>
        <v>4</v>
      </c>
      <c r="E53" s="87" t="s">
        <v>1052</v>
      </c>
      <c r="G53" s="101">
        <f>ROUND((32768/BASE_FLUX) * MTPVFlux_22,0)</f>
        <v>16895</v>
      </c>
      <c r="H53" s="92" t="str">
        <f>IF(G53&lt;&gt;"",IF(C53="float32",FLOAT2HEX(G53),DEC2HEX(G53,8)),"")</f>
        <v>000041FF</v>
      </c>
      <c r="I53" s="92">
        <f t="shared" ref="I53:I58" si="4">IF(AND(G53&lt;&gt;"",(ROW()-8)&lt;(($G$7+1)*3+1)),HEX2DEC(H53),"")</f>
        <v>16895</v>
      </c>
    </row>
    <row r="54" spans="1:9" x14ac:dyDescent="0.25">
      <c r="A54" s="94">
        <f>IF(I54&lt;&gt;"",MAX(A$1:A53)+1,"")</f>
        <v>47</v>
      </c>
      <c r="B54" s="72" t="s">
        <v>1003</v>
      </c>
      <c r="C54" s="101" t="s">
        <v>57</v>
      </c>
      <c r="D54" s="101">
        <f t="shared" si="3"/>
        <v>4</v>
      </c>
      <c r="E54" s="87" t="s">
        <v>1053</v>
      </c>
      <c r="G54" s="101">
        <f>ROUND((32768/BASE_TORQ) * MTPVTorque_22,0)</f>
        <v>7591</v>
      </c>
      <c r="H54" s="92" t="str">
        <f>IF(G54&lt;&gt;"",IF(C54="float32",FLOAT2HEX(G54),DEC2HEX(G54,8)),"")</f>
        <v>00001DA7</v>
      </c>
      <c r="I54" s="92">
        <f t="shared" si="4"/>
        <v>7591</v>
      </c>
    </row>
    <row r="55" spans="1:9" x14ac:dyDescent="0.25">
      <c r="A55" s="94">
        <f>IF(I55&lt;&gt;"",MAX(A$1:A54)+1,"")</f>
        <v>48</v>
      </c>
      <c r="B55" s="95" t="s">
        <v>1004</v>
      </c>
      <c r="C55" s="101" t="s">
        <v>57</v>
      </c>
      <c r="D55" s="101">
        <f t="shared" si="3"/>
        <v>4</v>
      </c>
      <c r="E55" s="87" t="s">
        <v>1054</v>
      </c>
      <c r="G55" s="101">
        <f>ROUND((32768/BASE_FLUX) * MTPVFlux_23,0)</f>
        <v>17553</v>
      </c>
      <c r="H55" s="92" t="str">
        <f>IF(G55&lt;&gt;"",IF(C55="float32",FLOAT2HEX(G55),DEC2HEX(G55,8)),"")</f>
        <v>00004491</v>
      </c>
      <c r="I55" s="92">
        <f t="shared" si="4"/>
        <v>17553</v>
      </c>
    </row>
    <row r="56" spans="1:9" x14ac:dyDescent="0.25">
      <c r="A56" s="94">
        <f>IF(I56&lt;&gt;"",MAX(A$1:A55)+1,"")</f>
        <v>49</v>
      </c>
      <c r="B56" s="72" t="s">
        <v>1005</v>
      </c>
      <c r="C56" s="101" t="s">
        <v>57</v>
      </c>
      <c r="D56" s="101">
        <f t="shared" si="3"/>
        <v>4</v>
      </c>
      <c r="E56" s="87" t="s">
        <v>1055</v>
      </c>
      <c r="G56" s="101">
        <f>ROUND((32768/BASE_TORQ) * MTPVTorque_23,0)</f>
        <v>7676</v>
      </c>
      <c r="H56" s="92" t="str">
        <f>IF(G56&lt;&gt;"",IF(C56="float32",FLOAT2HEX(G56),DEC2HEX(G56,8)),"")</f>
        <v>00001DFC</v>
      </c>
      <c r="I56" s="92">
        <f t="shared" si="4"/>
        <v>7676</v>
      </c>
    </row>
    <row r="57" spans="1:9" x14ac:dyDescent="0.25">
      <c r="A57" s="94">
        <f>IF(I57&lt;&gt;"",MAX(A$1:A56)+1,"")</f>
        <v>50</v>
      </c>
      <c r="B57" s="95" t="s">
        <v>1006</v>
      </c>
      <c r="C57" s="101" t="s">
        <v>57</v>
      </c>
      <c r="D57" s="101">
        <f t="shared" si="3"/>
        <v>4</v>
      </c>
      <c r="E57" s="87" t="s">
        <v>1056</v>
      </c>
      <c r="G57" s="101">
        <f>ROUND((32768/BASE_FLUX) * MTPVFlux_24,0)</f>
        <v>17553</v>
      </c>
      <c r="H57" s="92" t="str">
        <f>IF(G57&lt;&gt;"",IF(C57="float32",FLOAT2HEX(G57),DEC2HEX(G57,8)),"")</f>
        <v>00004491</v>
      </c>
      <c r="I57" s="92">
        <f t="shared" si="4"/>
        <v>17553</v>
      </c>
    </row>
    <row r="58" spans="1:9" x14ac:dyDescent="0.25">
      <c r="A58" s="94">
        <f>IF(I58&lt;&gt;"",MAX(A$1:A57)+1,"")</f>
        <v>51</v>
      </c>
      <c r="B58" s="72" t="s">
        <v>1007</v>
      </c>
      <c r="C58" s="101" t="s">
        <v>57</v>
      </c>
      <c r="D58" s="101">
        <f t="shared" si="3"/>
        <v>4</v>
      </c>
      <c r="E58" s="87" t="s">
        <v>1057</v>
      </c>
      <c r="G58" s="101">
        <f>ROUND((32768/BASE_TORQ) * MTPVTorque_24,0)</f>
        <v>7676</v>
      </c>
      <c r="H58" s="92" t="str">
        <f>IF(G58&lt;&gt;"",IF(C58="float32",FLOAT2HEX(G58),DEC2HEX(G58,8)),"")</f>
        <v>00001DFC</v>
      </c>
      <c r="I58" s="92">
        <f t="shared" si="4"/>
        <v>7676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338</vt:i4>
      </vt:variant>
    </vt:vector>
  </HeadingPairs>
  <TitlesOfParts>
    <vt:vector size="349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MTPVFlux_16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MTPVTorque_16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2018-04-17T15:33:08Z</dcterms:modified>
</cp:coreProperties>
</file>