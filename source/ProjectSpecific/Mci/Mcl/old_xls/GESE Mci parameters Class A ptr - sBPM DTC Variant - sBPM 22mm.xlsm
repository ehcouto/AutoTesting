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omments6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9885" windowHeight="4080" activeTab="4"/>
  </bookViews>
  <sheets>
    <sheet name="Template Instructions" sheetId="8" r:id="rId1"/>
    <sheet name="GUI forms" sheetId="9" r:id="rId2"/>
    <sheet name="Parameters definition" sheetId="1" r:id="rId3"/>
    <sheet name="Displ0" sheetId="15" r:id="rId4"/>
    <sheet name="Displ1" sheetId="7" r:id="rId5"/>
    <sheet name="Displ3" sheetId="12" r:id="rId6"/>
    <sheet name="Displ4" sheetId="13" r:id="rId7"/>
    <sheet name="Displ5" sheetId="14" r:id="rId8"/>
    <sheet name="Displ9" sheetId="18" r:id="rId9"/>
    <sheet name="Displ10" sheetId="19" r:id="rId10"/>
    <sheet name="Data validation entries" sheetId="10" r:id="rId11"/>
  </sheets>
  <functionGroups/>
  <definedNames>
    <definedName name="_xlnm._FilterDatabase" localSheetId="3" hidden="1">Displ0!#REF!</definedName>
    <definedName name="_xlnm._FilterDatabase" localSheetId="4" hidden="1">Displ1!#REF!</definedName>
    <definedName name="_xlnm._FilterDatabase" localSheetId="9" hidden="1">Displ10!#REF!</definedName>
    <definedName name="_xlnm._FilterDatabase" localSheetId="5" hidden="1">Displ3!#REF!</definedName>
    <definedName name="_xlnm._FilterDatabase" localSheetId="6" hidden="1">Displ4!#REF!</definedName>
    <definedName name="_xlnm._FilterDatabase" localSheetId="7" hidden="1">Displ5!$A$6:$X$6</definedName>
    <definedName name="_xlnm._FilterDatabase" localSheetId="8" hidden="1">Displ9!#REF!</definedName>
    <definedName name="ALGO_BUILD_FLUX_INCREMENT">'Parameters definition'!$C$363</definedName>
    <definedName name="ALGO_BUILD_FLUX_MIN_CURRENT">'Parameters definition'!$C$361</definedName>
    <definedName name="ALGO_BUILD_FLUX_RATIO_2_FORCE_FLUX">'Parameters definition'!$C$362</definedName>
    <definedName name="ALGO_BUILD_FLUX_STARTING_TIME">'Parameters definition'!$C$360</definedName>
    <definedName name="ALGO_BUILD_FLUX_TS">'Parameters definition'!$C$359</definedName>
    <definedName name="ALGO_RES_EST_1ST_PLATEAU_TIME">'Parameters definition'!$C$390</definedName>
    <definedName name="ALGO_RES_EST_2ND_PLATEAU_TIME">'Parameters definition'!$C$391</definedName>
    <definedName name="ALGO_RES_EST_3RD_PLATEAU_TIME">'Parameters definition'!$C$392</definedName>
    <definedName name="ALGO_RES_EST_BASE_TEMP">'Parameters definition'!$C$414</definedName>
    <definedName name="ALGO_RES_EST_BASE_TEMP_COEFF">'Parameters definition'!$C$415</definedName>
    <definedName name="ALGO_RES_EST_CURR_1ST_PLATEAU">'Parameters definition'!$C$387</definedName>
    <definedName name="ALGO_RES_EST_CURR_2ND_PLATEAU">'Parameters definition'!$C$388</definedName>
    <definedName name="ALGO_RES_EST_CURR_3RD_PLATEAU">'Parameters definition'!$C$389</definedName>
    <definedName name="ALGO_RES_EST_HANDLER_TS">'Parameters definition'!$C$404</definedName>
    <definedName name="ALGO_RES_EST_NR_OF_ESTIMATION_AFTER_RESET">'Parameters definition'!$C$408</definedName>
    <definedName name="ALGO_RES_EST_NR_OF_ESTIMATION_IN_ROW_AFTER_SPIN">'Parameters definition'!$C$410</definedName>
    <definedName name="ALGO_RES_EST_NUMBER_OF_SAMPLES">'Parameters definition'!$C$397</definedName>
    <definedName name="ALGO_RES_EST_OSCILLATION_CHECK_TIME">'Parameters definition'!$C$396</definedName>
    <definedName name="ALGO_RES_EST_OSCILLATION_SPEED_THRESHOLD">'Parameters definition'!$C$401</definedName>
    <definedName name="ALGO_RES_EST_RS_FROM_BASE_TEMP">'Parameters definition'!$C$412</definedName>
    <definedName name="ALGO_RES_EST_SPEED_TO_MEAS_AGAIN">'Parameters definition'!$C$406</definedName>
    <definedName name="ALGO_RES_EST_STATOR_RESISTANCE">'Parameters definition'!$C$398</definedName>
    <definedName name="ALGO_RES_EST_TEMP_COEFF">'Parameters definition'!$C$413</definedName>
    <definedName name="ALGO_RES_EST_TIME_2_OUTDATE_RESISTANCE">'Parameters definition'!$C$402</definedName>
    <definedName name="ALGO_RES_EST_TIME_BETWEEN_MEAS_AFTER_RESET">'Parameters definition'!$C$407</definedName>
    <definedName name="ALGO_RES_EST_TIME_BETWEEN_MEAS_NORMAL_OPERATION">'Parameters definition'!$C$409</definedName>
    <definedName name="ALGO_RES_EST_TIMEOUT_1ST_PLATEAU">'Parameters definition'!$C$399</definedName>
    <definedName name="ALGO_RES_EST_TIMEOUT_2ND_PLATEAU">'Parameters definition'!$C$400</definedName>
    <definedName name="ALGO_RES_EST_TIMEOUT_THRESHOLD">'Parameters definition'!$C$386</definedName>
    <definedName name="ALGO_RES_EST_TS">'Parameters definition'!$C$403</definedName>
    <definedName name="ALGO_RES_EST_VOLTAGE_STEP_1ST_PLATEAU">'Parameters definition'!$C$393</definedName>
    <definedName name="ALGO_RES_EST_VOLTAGE_STEP_2ND_PLATEAU">'Parameters definition'!$C$394</definedName>
    <definedName name="ALGO_RES_EST_VOLTAGE_STEP_3RD_PLATEAU">'Parameters definition'!$C$395</definedName>
    <definedName name="ALGO_RUNNING_DEBOUNCER_2_IGBTS_OFF">'Parameters definition'!$C$369</definedName>
    <definedName name="ALGO_RUNNING_LOCKED_ROTOR_CURRENT_THRESHOLD">'Parameters definition'!$C$374</definedName>
    <definedName name="ALGO_RUNNING_LOCKED_ROTOR_RUNNING_THRESHOLD">'Parameters definition'!$C$373</definedName>
    <definedName name="ALGO_RUNNING_LOCKED_ROTOR_START_OR_RUNNING">'Parameters definition'!$C$371</definedName>
    <definedName name="ALGO_RUNNING_LOCKED_ROTOR_STARTING_THRESHOLD">'Parameters definition'!$C$372</definedName>
    <definedName name="ALGO_RUNNING_MIN_SPEED_2_IGBTS_OFF">'Parameters definition'!$C$368</definedName>
    <definedName name="ALGO_RUNNING_MIN_SPEED_BEFORE_STOPPING">'Parameters definition'!$C$367</definedName>
    <definedName name="ALGO_RUNNING_TIME_IGBTS_OFF_BELOW_MIN_SPEED">'Parameters definition'!$C$370</definedName>
    <definedName name="BASE_ANGLE">'Parameters definition'!$C$30</definedName>
    <definedName name="BASE_CURRENT">'Parameters definition'!$C$29</definedName>
    <definedName name="BASE_FLUX">'Parameters definition'!$C$33</definedName>
    <definedName name="BASE_IND">'Parameters definition'!$C$36</definedName>
    <definedName name="BASE_OMEGA">'Parameters definition'!$C$38</definedName>
    <definedName name="BASE_POWER">'Parameters definition'!$C$35</definedName>
    <definedName name="BASE_RADIAL">'Parameters definition'!$C$31</definedName>
    <definedName name="BASE_SPEED_RPM">'Parameters definition'!$C$39</definedName>
    <definedName name="BASE_TIME">'Parameters definition'!$C$40</definedName>
    <definedName name="BASE_TORQ">'Parameters definition'!$C$34</definedName>
    <definedName name="BASE_VOLTAGE">'Parameters definition'!$C$27</definedName>
    <definedName name="BASE_VOLTAGE_BUS">'Parameters definition'!$C$28</definedName>
    <definedName name="BASE_Z">'Parameters definition'!$C$37</definedName>
    <definedName name="BRAKING_CURRENT_AT_LOW_SPEED">'Parameters definition'!$C$170</definedName>
    <definedName name="CROSSED_CURR_POS_0">'Parameters definition'!$C$132</definedName>
    <definedName name="CROSSED_CURR_POS_1">'Parameters definition'!$C$133</definedName>
    <definedName name="CROSSED_CURR_POS_2">'Parameters definition'!$C$134</definedName>
    <definedName name="CROSSED_CURR_POS_3">'Parameters definition'!$C$135</definedName>
    <definedName name="CROSSED_CURR_POS_4">'Parameters definition'!$C$136</definedName>
    <definedName name="CROSSED_CURR_POS_5">'Parameters definition'!$C$137</definedName>
    <definedName name="CROSSED_CURR_POS_6">'Parameters definition'!$C$138</definedName>
    <definedName name="CROSSED_CURR_POS_7">'Parameters definition'!$C$139</definedName>
    <definedName name="CROSSED_IND_POS_0">'Parameters definition'!$C$124</definedName>
    <definedName name="CROSSED_IND_POS_1">'Parameters definition'!$C$125</definedName>
    <definedName name="CROSSED_IND_POS_2">'Parameters definition'!$C$126</definedName>
    <definedName name="CROSSED_IND_POS_3">'Parameters definition'!$C$127</definedName>
    <definedName name="CROSSED_IND_POS_4">'Parameters definition'!$C$128</definedName>
    <definedName name="CROSSED_IND_POS_5">'Parameters definition'!$C$129</definedName>
    <definedName name="CROSSED_IND_POS_6">'Parameters definition'!$C$130</definedName>
    <definedName name="CROSSED_IND_POS_7">'Parameters definition'!$C$131</definedName>
    <definedName name="D_CURR_CONTROL_KI">'Parameters definition'!$C$379</definedName>
    <definedName name="D_CURR_CONTROL_KP">'Parameters definition'!$C$378</definedName>
    <definedName name="DC_BUS_MAX_VOLTAGE">'Parameters definition'!$C$18</definedName>
    <definedName name="DeadTimeN_0">'Parameters definition'!#REF!</definedName>
    <definedName name="DeadTimeN_1">'Parameters definition'!#REF!</definedName>
    <definedName name="DeadTimeN_10">'Parameters definition'!#REF!</definedName>
    <definedName name="DeadTimeN_11">'Parameters definition'!#REF!</definedName>
    <definedName name="DeadTimeN_12">'Parameters definition'!#REF!</definedName>
    <definedName name="DeadTimeN_13">'Parameters definition'!#REF!</definedName>
    <definedName name="DeadTimeN_14">'Parameters definition'!#REF!</definedName>
    <definedName name="DeadTimeN_15">'Parameters definition'!#REF!</definedName>
    <definedName name="DeadTimeN_16">'Parameters definition'!#REF!</definedName>
    <definedName name="DeadTimeN_17">'Parameters definition'!#REF!</definedName>
    <definedName name="DeadTimeN_18">'Parameters definition'!#REF!</definedName>
    <definedName name="DeadTimeN_19">'Parameters definition'!#REF!</definedName>
    <definedName name="DeadTimeN_2">'Parameters definition'!#REF!</definedName>
    <definedName name="DeadTimeN_20">'Parameters definition'!#REF!</definedName>
    <definedName name="DeadTimeN_21">'Parameters definition'!#REF!</definedName>
    <definedName name="DeadTimeN_22">'Parameters definition'!#REF!</definedName>
    <definedName name="DeadTimeN_23">'Parameters definition'!#REF!</definedName>
    <definedName name="DeadTimeN_24">'Parameters definition'!#REF!</definedName>
    <definedName name="DeadTimeN_25">'Parameters definition'!#REF!</definedName>
    <definedName name="DeadTimeN_26">'Parameters definition'!#REF!</definedName>
    <definedName name="DeadTimeN_27">'Parameters definition'!#REF!</definedName>
    <definedName name="DeadTimeN_28">'Parameters definition'!#REF!</definedName>
    <definedName name="DeadTimeN_29">'Parameters definition'!#REF!</definedName>
    <definedName name="DeadTimeN_3">'Parameters definition'!#REF!</definedName>
    <definedName name="DeadTimeN_30">'Parameters definition'!#REF!</definedName>
    <definedName name="DeadTimeN_31">'Parameters definition'!#REF!</definedName>
    <definedName name="DeadTimeN_32">'Parameters definition'!#REF!</definedName>
    <definedName name="DeadTimeN_33">'Parameters definition'!#REF!</definedName>
    <definedName name="DeadTimeN_34">'Parameters definition'!#REF!</definedName>
    <definedName name="DeadTimeN_35">'Parameters definition'!#REF!</definedName>
    <definedName name="DeadTimeN_36">'Parameters definition'!#REF!</definedName>
    <definedName name="DeadTimeN_37">'Parameters definition'!#REF!</definedName>
    <definedName name="DeadTimeN_38">'Parameters definition'!#REF!</definedName>
    <definedName name="DeadTimeN_39">'Parameters definition'!#REF!</definedName>
    <definedName name="DeadTimeN_4">'Parameters definition'!#REF!</definedName>
    <definedName name="DeadTimeN_40">'Parameters definition'!#REF!</definedName>
    <definedName name="DeadTimeN_41">'Parameters definition'!#REF!</definedName>
    <definedName name="DeadTimeN_42">'Parameters definition'!#REF!</definedName>
    <definedName name="DeadTimeN_43">'Parameters definition'!#REF!</definedName>
    <definedName name="DeadTimeN_44">'Parameters definition'!#REF!</definedName>
    <definedName name="DeadTimeN_45">'Parameters definition'!#REF!</definedName>
    <definedName name="DeadTimeN_46">'Parameters definition'!#REF!</definedName>
    <definedName name="DeadTimeN_47">'Parameters definition'!#REF!</definedName>
    <definedName name="DeadTimeN_48">'Parameters definition'!#REF!</definedName>
    <definedName name="DeadTimeN_49">'Parameters definition'!#REF!</definedName>
    <definedName name="DeadTimeN_5">'Parameters definition'!#REF!</definedName>
    <definedName name="DeadTimeN_50">'Parameters definition'!#REF!</definedName>
    <definedName name="DeadTimeN_51">'Parameters definition'!#REF!</definedName>
    <definedName name="DeadTimeN_52">'Parameters definition'!#REF!</definedName>
    <definedName name="DeadTimeN_53">'Parameters definition'!#REF!</definedName>
    <definedName name="DeadTimeN_54">'Parameters definition'!#REF!</definedName>
    <definedName name="DeadTimeN_55">'Parameters definition'!#REF!</definedName>
    <definedName name="DeadTimeN_56">'Parameters definition'!#REF!</definedName>
    <definedName name="DeadTimeN_57">'Parameters definition'!#REF!</definedName>
    <definedName name="DeadTimeN_58">'Parameters definition'!#REF!</definedName>
    <definedName name="DeadTimeN_59">'Parameters definition'!#REF!</definedName>
    <definedName name="DeadTimeN_6">'Parameters definition'!#REF!</definedName>
    <definedName name="DeadTimeN_60">'Parameters definition'!#REF!</definedName>
    <definedName name="DeadTimeN_61">'Parameters definition'!#REF!</definedName>
    <definedName name="DeadTimeN_62">'Parameters definition'!#REF!</definedName>
    <definedName name="DeadTimeN_63">'Parameters definition'!#REF!</definedName>
    <definedName name="DeadTimeN_64">'Parameters definition'!#REF!</definedName>
    <definedName name="DeadTimeN_65">'Parameters definition'!#REF!</definedName>
    <definedName name="DeadTimeN_66">'Parameters definition'!#REF!</definedName>
    <definedName name="DeadTimeN_67">'Parameters definition'!#REF!</definedName>
    <definedName name="DeadTimeN_68">'Parameters definition'!#REF!</definedName>
    <definedName name="DeadTimeN_69">'Parameters definition'!#REF!</definedName>
    <definedName name="DeadTimeN_7">'Parameters definition'!#REF!</definedName>
    <definedName name="DeadTimeN_70">'Parameters definition'!#REF!</definedName>
    <definedName name="DeadTimeN_71">'Parameters definition'!#REF!</definedName>
    <definedName name="DeadTimeN_72">'Parameters definition'!#REF!</definedName>
    <definedName name="DeadTimeN_73">'Parameters definition'!#REF!</definedName>
    <definedName name="DeadTimeN_74">'Parameters definition'!#REF!</definedName>
    <definedName name="DeadTimeN_75">'Parameters definition'!#REF!</definedName>
    <definedName name="DeadTimeN_76">'Parameters definition'!#REF!</definedName>
    <definedName name="DeadTimeN_77">'Parameters definition'!#REF!</definedName>
    <definedName name="DeadTimeN_78">'Parameters definition'!#REF!</definedName>
    <definedName name="DeadTimeN_79">'Parameters definition'!#REF!</definedName>
    <definedName name="DeadTimeN_8">'Parameters definition'!#REF!</definedName>
    <definedName name="DeadTimeN_80">'Parameters definition'!#REF!</definedName>
    <definedName name="DeadTimeN_9">'Parameters definition'!#REF!</definedName>
    <definedName name="DeadTimeP_0">'Parameters definition'!#REF!</definedName>
    <definedName name="DeadTimeP_1">'Parameters definition'!#REF!</definedName>
    <definedName name="DeadTimeP_10">'Parameters definition'!#REF!</definedName>
    <definedName name="DeadTimeP_11">'Parameters definition'!#REF!</definedName>
    <definedName name="DeadTimeP_12">'Parameters definition'!#REF!</definedName>
    <definedName name="DeadTimeP_13">'Parameters definition'!#REF!</definedName>
    <definedName name="DeadTimeP_14">'Parameters definition'!#REF!</definedName>
    <definedName name="DeadTimeP_15">'Parameters definition'!#REF!</definedName>
    <definedName name="DeadTimeP_16">'Parameters definition'!#REF!</definedName>
    <definedName name="DeadTimeP_17">'Parameters definition'!#REF!</definedName>
    <definedName name="DeadTimeP_18">'Parameters definition'!#REF!</definedName>
    <definedName name="DeadTimeP_19">'Parameters definition'!#REF!</definedName>
    <definedName name="DeadTimeP_2">'Parameters definition'!#REF!</definedName>
    <definedName name="DeadTimeP_20">'Parameters definition'!#REF!</definedName>
    <definedName name="DeadTimeP_21">'Parameters definition'!#REF!</definedName>
    <definedName name="DeadTimeP_22">'Parameters definition'!#REF!</definedName>
    <definedName name="DeadTimeP_23">'Parameters definition'!#REF!</definedName>
    <definedName name="DeadTimeP_24">'Parameters definition'!#REF!</definedName>
    <definedName name="DeadTimeP_25">'Parameters definition'!#REF!</definedName>
    <definedName name="DeadTimeP_26">'Parameters definition'!#REF!</definedName>
    <definedName name="DeadTimeP_27">'Parameters definition'!#REF!</definedName>
    <definedName name="DeadTimeP_28">'Parameters definition'!#REF!</definedName>
    <definedName name="DeadTimeP_29">'Parameters definition'!#REF!</definedName>
    <definedName name="DeadTimeP_3">'Parameters definition'!#REF!</definedName>
    <definedName name="DeadTimeP_30">'Parameters definition'!#REF!</definedName>
    <definedName name="DeadTimeP_31">'Parameters definition'!#REF!</definedName>
    <definedName name="DeadTimeP_32">'Parameters definition'!#REF!</definedName>
    <definedName name="DeadTimeP_33">'Parameters definition'!#REF!</definedName>
    <definedName name="DeadTimeP_34">'Parameters definition'!#REF!</definedName>
    <definedName name="DeadTimeP_35">'Parameters definition'!#REF!</definedName>
    <definedName name="DeadTimeP_36">'Parameters definition'!#REF!</definedName>
    <definedName name="DeadTimeP_37">'Parameters definition'!#REF!</definedName>
    <definedName name="DeadTimeP_38">'Parameters definition'!#REF!</definedName>
    <definedName name="DeadTimeP_39">'Parameters definition'!#REF!</definedName>
    <definedName name="DeadTimeP_4">'Parameters definition'!#REF!</definedName>
    <definedName name="DeadTimeP_40">'Parameters definition'!#REF!</definedName>
    <definedName name="DeadTimeP_41">'Parameters definition'!#REF!</definedName>
    <definedName name="DeadTimeP_42">'Parameters definition'!#REF!</definedName>
    <definedName name="DeadTimeP_43">'Parameters definition'!#REF!</definedName>
    <definedName name="DeadTimeP_44">'Parameters definition'!#REF!</definedName>
    <definedName name="DeadTimeP_45">'Parameters definition'!#REF!</definedName>
    <definedName name="DeadTimeP_46">'Parameters definition'!#REF!</definedName>
    <definedName name="DeadTimeP_47">'Parameters definition'!#REF!</definedName>
    <definedName name="DeadTimeP_48">'Parameters definition'!#REF!</definedName>
    <definedName name="DeadTimeP_49">'Parameters definition'!#REF!</definedName>
    <definedName name="DeadTimeP_5">'Parameters definition'!#REF!</definedName>
    <definedName name="DeadTimeP_50">'Parameters definition'!#REF!</definedName>
    <definedName name="DeadTimeP_51">'Parameters definition'!#REF!</definedName>
    <definedName name="DeadTimeP_52">'Parameters definition'!#REF!</definedName>
    <definedName name="DeadTimeP_53">'Parameters definition'!#REF!</definedName>
    <definedName name="DeadTimeP_54">'Parameters definition'!#REF!</definedName>
    <definedName name="DeadTimeP_55">'Parameters definition'!#REF!</definedName>
    <definedName name="DeadTimeP_56">'Parameters definition'!#REF!</definedName>
    <definedName name="DeadTimeP_57">'Parameters definition'!#REF!</definedName>
    <definedName name="DeadTimeP_58">'Parameters definition'!#REF!</definedName>
    <definedName name="DeadTimeP_59">'Parameters definition'!#REF!</definedName>
    <definedName name="DeadTimeP_6">'Parameters definition'!#REF!</definedName>
    <definedName name="DeadTimeP_60">'Parameters definition'!#REF!</definedName>
    <definedName name="DeadTimeP_61">'Parameters definition'!#REF!</definedName>
    <definedName name="DeadTimeP_62">'Parameters definition'!#REF!</definedName>
    <definedName name="DeadTimeP_63">'Parameters definition'!#REF!</definedName>
    <definedName name="DeadTimeP_64">'Parameters definition'!#REF!</definedName>
    <definedName name="DeadTimeP_65">'Parameters definition'!#REF!</definedName>
    <definedName name="DeadTimeP_66">'Parameters definition'!#REF!</definedName>
    <definedName name="DeadTimeP_67">'Parameters definition'!#REF!</definedName>
    <definedName name="DeadTimeP_68">'Parameters definition'!#REF!</definedName>
    <definedName name="DeadTimeP_69">'Parameters definition'!#REF!</definedName>
    <definedName name="DeadTimeP_7">'Parameters definition'!#REF!</definedName>
    <definedName name="DeadTimeP_70">'Parameters definition'!#REF!</definedName>
    <definedName name="DeadTimeP_71">'Parameters definition'!#REF!</definedName>
    <definedName name="DeadTimeP_72">'Parameters definition'!#REF!</definedName>
    <definedName name="DeadTimeP_73">'Parameters definition'!#REF!</definedName>
    <definedName name="DeadTimeP_74">'Parameters definition'!#REF!</definedName>
    <definedName name="DeadTimeP_75">'Parameters definition'!#REF!</definedName>
    <definedName name="DeadTimeP_76">'Parameters definition'!#REF!</definedName>
    <definedName name="DeadTimeP_77">'Parameters definition'!#REF!</definedName>
    <definedName name="DeadTimeP_78">'Parameters definition'!#REF!</definedName>
    <definedName name="DeadTimeP_79">'Parameters definition'!#REF!</definedName>
    <definedName name="DeadTimeP_8">'Parameters definition'!#REF!</definedName>
    <definedName name="DeadTimeP_80">'Parameters definition'!#REF!</definedName>
    <definedName name="DeadTimeP_9">'Parameters definition'!#REF!</definedName>
    <definedName name="DIRECT_CURR_POS_0">'Parameters definition'!$C$76</definedName>
    <definedName name="DIRECT_CURR_POS_1">'Parameters definition'!$C$77</definedName>
    <definedName name="DIRECT_CURR_POS_10">'Parameters definition'!$C$86</definedName>
    <definedName name="DIRECT_CURR_POS_11">'Parameters definition'!$C$87</definedName>
    <definedName name="DIRECT_CURR_POS_12">'Parameters definition'!$C$88</definedName>
    <definedName name="DIRECT_CURR_POS_13">'Parameters definition'!$C$89</definedName>
    <definedName name="DIRECT_CURR_POS_14">'Parameters definition'!$C$90</definedName>
    <definedName name="DIRECT_CURR_POS_15">'Parameters definition'!$C$91</definedName>
    <definedName name="DIRECT_CURR_POS_2">'Parameters definition'!$C$78</definedName>
    <definedName name="DIRECT_CURR_POS_3">'Parameters definition'!$C$79</definedName>
    <definedName name="DIRECT_CURR_POS_4">'Parameters definition'!$C$80</definedName>
    <definedName name="DIRECT_CURR_POS_5">'Parameters definition'!$C$81</definedName>
    <definedName name="DIRECT_CURR_POS_6">'Parameters definition'!$C$82</definedName>
    <definedName name="DIRECT_CURR_POS_7">'Parameters definition'!$C$83</definedName>
    <definedName name="DIRECT_CURR_POS_8">'Parameters definition'!$C$84</definedName>
    <definedName name="DIRECT_CURR_POS_9">'Parameters definition'!$C$85</definedName>
    <definedName name="DIRECT_IND_POS_0">'Parameters definition'!$C$60</definedName>
    <definedName name="DIRECT_IND_POS_1">'Parameters definition'!$C$61</definedName>
    <definedName name="DIRECT_IND_POS_10">'Parameters definition'!$C$70</definedName>
    <definedName name="DIRECT_IND_POS_11">'Parameters definition'!$C$71</definedName>
    <definedName name="DIRECT_IND_POS_12">'Parameters definition'!$C$72</definedName>
    <definedName name="DIRECT_IND_POS_13">'Parameters definition'!$C$73</definedName>
    <definedName name="DIRECT_IND_POS_14">'Parameters definition'!$C$74</definedName>
    <definedName name="DIRECT_IND_POS_15">'Parameters definition'!$C$75</definedName>
    <definedName name="DIRECT_IND_POS_2">'Parameters definition'!$C$62</definedName>
    <definedName name="DIRECT_IND_POS_3">'Parameters definition'!$C$63</definedName>
    <definedName name="DIRECT_IND_POS_4">'Parameters definition'!$C$64</definedName>
    <definedName name="DIRECT_IND_POS_5">'Parameters definition'!$C$65</definedName>
    <definedName name="DIRECT_IND_POS_6">'Parameters definition'!$C$66</definedName>
    <definedName name="DIRECT_IND_POS_7">'Parameters definition'!$C$67</definedName>
    <definedName name="DIRECT_IND_POS_8">'Parameters definition'!$C$68</definedName>
    <definedName name="DIRECT_IND_POS_9">'Parameters definition'!$C$69</definedName>
    <definedName name="DQ_CONTROLLER_MAX_FLUX">'Parameters definition'!$C$178</definedName>
    <definedName name="DQ_CONTROLLER_MAX_INPUT_VOLT_FACTOR">'Parameters definition'!$C$175</definedName>
    <definedName name="DQ_CONTROLLER_OVER_FLUX_DECREMENT">'Parameters definition'!$C$177</definedName>
    <definedName name="DQ_CONTROLLER_TS">'Parameters definition'!$C$179</definedName>
    <definedName name="DQ_CURRENT_CONTROL_TS">'Parameters definition'!$C$382</definedName>
    <definedName name="DQ_FLUX_KI_REGION_0">'Parameters definition'!$C$200</definedName>
    <definedName name="DQ_FLUX_KI_REGION_1">'Parameters definition'!$C$206</definedName>
    <definedName name="DQ_FLUX_KI_REGION_2">'Parameters definition'!$C$212</definedName>
    <definedName name="DQ_FLUX_KP_REGION_0">'Parameters definition'!$C$199</definedName>
    <definedName name="DQ_FLUX_KP_REGION_1">'Parameters definition'!$C$205</definedName>
    <definedName name="DQ_FLUX_KP_REGION_2">'Parameters definition'!$C$211</definedName>
    <definedName name="DQ_GAINS_SWTICHING_TIME_REGION_0">'Parameters definition'!$C$202</definedName>
    <definedName name="DQ_GAINS_SWTICHING_TIME_REGION_1">'Parameters definition'!$C$208</definedName>
    <definedName name="DQ_GAINS_SWTICHING_TIME_REGION_2">'Parameters definition'!$C$214</definedName>
    <definedName name="DQ_SPEED_THRESHOLD_REGION_0">'Parameters definition'!$C$201</definedName>
    <definedName name="DQ_SPEED_THRESHOLD_REGION_1">'Parameters definition'!$C$207</definedName>
    <definedName name="DQ_SPEED_THRESHOLD_REGION_2">'Parameters definition'!$C$213</definedName>
    <definedName name="DQ_STARTING_TIME">'Parameters definition'!$C$174</definedName>
    <definedName name="DQ_TORQUE_KI_REGION_0">'Parameters definition'!$C$198</definedName>
    <definedName name="DQ_TORQUE_KI_REGION_1">'Parameters definition'!$C$204</definedName>
    <definedName name="DQ_TORQUE_KI_REGION_2">'Parameters definition'!$C$210</definedName>
    <definedName name="DQ_TORQUE_KP_REGION_0">'Parameters definition'!$C$197</definedName>
    <definedName name="DQ_TORQUE_KP_REGION_1">'Parameters definition'!$C$203</definedName>
    <definedName name="DQ_TORQUE_KP_REGION_2">'Parameters definition'!$C$209</definedName>
    <definedName name="DQREF_MAX_SPEED_DROP_FACTOR">'Parameters definition'!$C$183</definedName>
    <definedName name="DQREF_MIN_AVAILABLE_VOLT_FACTOR">'Parameters definition'!$C$176</definedName>
    <definedName name="DQREF_SPEED_DROP_FACTOR">'Parameters definition'!$C$184</definedName>
    <definedName name="FLUX_REF_SCALE_TIME">'Parameters definition'!$C$180</definedName>
    <definedName name="FORCE_MAX_STARTING_TIME">'Parameters definition'!$C$149</definedName>
    <definedName name="FORCE_MAX_STARTING_TORQUE">'Parameters definition'!$C$148</definedName>
    <definedName name="K_TORQUE_ERROR">'Parameters definition'!$C$188</definedName>
    <definedName name="List_Variable_Format">'Data validation entries'!$J$8:$J$12</definedName>
    <definedName name="List_Variable_Sizes">'Data validation entries'!$F$8:$F$17</definedName>
    <definedName name="LOAD_ANGLE_COS_MAX">'Parameters definition'!$C$144</definedName>
    <definedName name="LOAD_ANGLE_KI">'Parameters definition'!$C$146</definedName>
    <definedName name="LOAD_ANGLE_KP">'Parameters definition'!$C$145</definedName>
    <definedName name="LS_INDUCTANCE">'Parameters definition'!$C$13</definedName>
    <definedName name="M_INDEX_CTRL">'Parameters definition'!$C$215</definedName>
    <definedName name="M_INDEX_REF">'Parameters definition'!$C$190</definedName>
    <definedName name="Max_Available_Voltage_Factor">'Parameters definition'!$C$3</definedName>
    <definedName name="MAX_PHASE_CURR">'Parameters definition'!$C$19</definedName>
    <definedName name="MAX_PHASE_CURRENT_HIGH_SPEED">'Parameters definition'!$C$20</definedName>
    <definedName name="MCL_INPUT_CALL_RATE_HZ">'Parameters definition'!$C$4</definedName>
    <definedName name="MTPAFlux_0">'Parameters definition'!$C$507</definedName>
    <definedName name="MTPAFlux_1">'Parameters definition'!$C$508</definedName>
    <definedName name="MTPAFlux_10">'Parameters definition'!$C$517</definedName>
    <definedName name="MTPAFlux_11">'Parameters definition'!$C$518</definedName>
    <definedName name="MTPAFlux_12">'Parameters definition'!$C$519</definedName>
    <definedName name="MTPAFlux_13">'Parameters definition'!$C$520</definedName>
    <definedName name="MTPAFlux_14">'Parameters definition'!$C$521</definedName>
    <definedName name="MTPAFlux_15">'Parameters definition'!$C$522</definedName>
    <definedName name="MTPAFlux_16">'Parameters definition'!$C$523</definedName>
    <definedName name="MTPAFlux_17">'Parameters definition'!$C$524</definedName>
    <definedName name="MTPAFlux_18">'Parameters definition'!$C$525</definedName>
    <definedName name="MTPAFlux_19">'Parameters definition'!$C$526</definedName>
    <definedName name="MTPAFlux_2">'Parameters definition'!$C$509</definedName>
    <definedName name="MTPAFlux_20">'Parameters definition'!$C$527</definedName>
    <definedName name="MTPAFlux_21">'Parameters definition'!$C$528</definedName>
    <definedName name="MTPAFlux_22">'Parameters definition'!$C$529</definedName>
    <definedName name="MTPAFlux_23">'Parameters definition'!$C$530</definedName>
    <definedName name="MTPAFlux_24">'Parameters definition'!$C$531</definedName>
    <definedName name="MTPAFlux_25">'Parameters definition'!$C$532</definedName>
    <definedName name="MTPAFlux_26">'Parameters definition'!$C$533</definedName>
    <definedName name="MTPAFlux_27">'Parameters definition'!$C$534</definedName>
    <definedName name="MTPAFlux_28">'Parameters definition'!$C$535</definedName>
    <definedName name="MTPAFlux_29">'Parameters definition'!$C$536</definedName>
    <definedName name="MTPAFlux_3">'Parameters definition'!$C$510</definedName>
    <definedName name="MTPAFlux_30">'Parameters definition'!$C$537</definedName>
    <definedName name="MTPAFlux_31">'Parameters definition'!$C$538</definedName>
    <definedName name="MTPAFlux_32">'Parameters definition'!$C$539</definedName>
    <definedName name="MTPAFlux_33">'Parameters definition'!$C$540</definedName>
    <definedName name="MTPAFlux_34">'Parameters definition'!$C$541</definedName>
    <definedName name="MTPAFlux_35">'Parameters definition'!$C$542</definedName>
    <definedName name="MTPAFlux_36">'Parameters definition'!$C$543</definedName>
    <definedName name="MTPAFlux_37">'Parameters definition'!$C$544</definedName>
    <definedName name="MTPAFlux_38">'Parameters definition'!$C$545</definedName>
    <definedName name="MTPAFlux_39">'Parameters definition'!$C$546</definedName>
    <definedName name="MTPAFlux_4">'Parameters definition'!$C$511</definedName>
    <definedName name="MTPAFlux_40">'Parameters definition'!$C$547</definedName>
    <definedName name="MTPAFlux_41">'Parameters definition'!$C$548</definedName>
    <definedName name="MTPAFlux_42">'Parameters definition'!$C$549</definedName>
    <definedName name="MTPAFlux_43">'Parameters definition'!$C$550</definedName>
    <definedName name="MTPAFlux_44">'Parameters definition'!$C$551</definedName>
    <definedName name="MTPAFlux_45">'Parameters definition'!$C$552</definedName>
    <definedName name="MTPAFlux_46">'Parameters definition'!$C$553</definedName>
    <definedName name="MTPAFlux_47">'Parameters definition'!$C$554</definedName>
    <definedName name="MTPAFlux_48">'Parameters definition'!$C$555</definedName>
    <definedName name="MTPAFlux_49">'Parameters definition'!$C$556</definedName>
    <definedName name="MTPAFlux_5">'Parameters definition'!$C$512</definedName>
    <definedName name="MTPAFlux_50">'Parameters definition'!$C$557</definedName>
    <definedName name="MTPAFlux_51">'Parameters definition'!$C$558</definedName>
    <definedName name="MTPAFlux_52">'Parameters definition'!$C$559</definedName>
    <definedName name="MTPAFlux_53">'Parameters definition'!$C$560</definedName>
    <definedName name="MTPAFlux_54">'Parameters definition'!$C$561</definedName>
    <definedName name="MTPAFlux_55">'Parameters definition'!$C$562</definedName>
    <definedName name="MTPAFlux_56">'Parameters definition'!$C$563</definedName>
    <definedName name="MTPAFlux_57">'Parameters definition'!$C$564</definedName>
    <definedName name="MTPAFlux_58">'Parameters definition'!$C$565</definedName>
    <definedName name="MTPAFlux_59">'Parameters definition'!$C$566</definedName>
    <definedName name="MTPAFlux_6">'Parameters definition'!$C$513</definedName>
    <definedName name="MTPAFlux_60">'Parameters definition'!$C$567</definedName>
    <definedName name="MTPAFlux_61">'Parameters definition'!$C$568</definedName>
    <definedName name="MTPAFlux_62">'Parameters definition'!$C$569</definedName>
    <definedName name="MTPAFlux_63">'Parameters definition'!$C$570</definedName>
    <definedName name="MTPAFlux_64">'Parameters definition'!$C$571</definedName>
    <definedName name="MTPAFlux_65">'Parameters definition'!$C$572</definedName>
    <definedName name="MTPAFlux_66">'Parameters definition'!$C$573</definedName>
    <definedName name="MTPAFlux_67">'Parameters definition'!$C$574</definedName>
    <definedName name="MTPAFlux_68">'Parameters definition'!$C$575</definedName>
    <definedName name="MTPAFlux_69">'Parameters definition'!$C$576</definedName>
    <definedName name="MTPAFlux_7">'Parameters definition'!$C$514</definedName>
    <definedName name="MTPAFlux_70">'Parameters definition'!$C$577</definedName>
    <definedName name="MTPAFlux_71">'Parameters definition'!$C$578</definedName>
    <definedName name="MTPAFlux_72">'Parameters definition'!$C$579</definedName>
    <definedName name="MTPAFlux_73">'Parameters definition'!$C$580</definedName>
    <definedName name="MTPAFlux_74">'Parameters definition'!$C$581</definedName>
    <definedName name="MTPAFlux_75">'Parameters definition'!$C$582</definedName>
    <definedName name="MTPAFlux_76">'Parameters definition'!$C$583</definedName>
    <definedName name="MTPAFlux_77">'Parameters definition'!$C$584</definedName>
    <definedName name="MTPAFlux_78">'Parameters definition'!$C$585</definedName>
    <definedName name="MTPAFlux_79">'Parameters definition'!$C$586</definedName>
    <definedName name="MTPAFlux_8">'Parameters definition'!$C$515</definedName>
    <definedName name="MTPAFlux_80">'Parameters definition'!$C$587</definedName>
    <definedName name="MTPAFlux_9">'Parameters definition'!$C$516</definedName>
    <definedName name="MTPATorque_0">'Parameters definition'!$C$426</definedName>
    <definedName name="MTPATorque_1">'Parameters definition'!$C$427</definedName>
    <definedName name="MTPATorque_10">'Parameters definition'!$C$436</definedName>
    <definedName name="MTPATorque_11">'Parameters definition'!$C$437</definedName>
    <definedName name="MTPATorque_12">'Parameters definition'!$C$438</definedName>
    <definedName name="MTPATorque_13">'Parameters definition'!$C$439</definedName>
    <definedName name="MTPATorque_14">'Parameters definition'!$C$440</definedName>
    <definedName name="MTPATorque_15">'Parameters definition'!$C$441</definedName>
    <definedName name="MTPATorque_16">'Parameters definition'!$C$442</definedName>
    <definedName name="MTPATorque_17">'Parameters definition'!$C$443</definedName>
    <definedName name="MTPATorque_18">'Parameters definition'!$C$444</definedName>
    <definedName name="MTPATorque_19">'Parameters definition'!$C$445</definedName>
    <definedName name="MTPATorque_2">'Parameters definition'!$C$428</definedName>
    <definedName name="MTPATorque_20">'Parameters definition'!$C$446</definedName>
    <definedName name="MTPATorque_21">'Parameters definition'!$C$447</definedName>
    <definedName name="MTPATorque_22">'Parameters definition'!$C$448</definedName>
    <definedName name="MTPATorque_23">'Parameters definition'!$C$449</definedName>
    <definedName name="MTPATorque_24">'Parameters definition'!$C$450</definedName>
    <definedName name="MTPATorque_25">'Parameters definition'!$C$451</definedName>
    <definedName name="MTPATorque_26">'Parameters definition'!$C$452</definedName>
    <definedName name="MTPATorque_27">'Parameters definition'!$C$453</definedName>
    <definedName name="MTPATorque_28">'Parameters definition'!$C$454</definedName>
    <definedName name="MTPATorque_29">'Parameters definition'!$C$455</definedName>
    <definedName name="MTPATorque_3">'Parameters definition'!$C$429</definedName>
    <definedName name="MTPATorque_30">'Parameters definition'!$C$456</definedName>
    <definedName name="MTPATorque_31">'Parameters definition'!$C$457</definedName>
    <definedName name="MTPATorque_32">'Parameters definition'!$C$458</definedName>
    <definedName name="MTPATorque_33">'Parameters definition'!$C$459</definedName>
    <definedName name="MTPATorque_34">'Parameters definition'!$C$460</definedName>
    <definedName name="MTPATorque_35">'Parameters definition'!$C$461</definedName>
    <definedName name="MTPATorque_36">'Parameters definition'!$C$462</definedName>
    <definedName name="MTPATorque_37">'Parameters definition'!$C$463</definedName>
    <definedName name="MTPATorque_38">'Parameters definition'!$C$464</definedName>
    <definedName name="MTPATorque_39">'Parameters definition'!$C$465</definedName>
    <definedName name="MTPATorque_4">'Parameters definition'!$C$430</definedName>
    <definedName name="MTPATorque_40">'Parameters definition'!$C$466</definedName>
    <definedName name="MTPATorque_41">'Parameters definition'!$C$467</definedName>
    <definedName name="MTPATorque_42">'Parameters definition'!$C$468</definedName>
    <definedName name="MTPATorque_43">'Parameters definition'!$C$469</definedName>
    <definedName name="MTPATorque_44">'Parameters definition'!$C$470</definedName>
    <definedName name="MTPATorque_45">'Parameters definition'!$C$471</definedName>
    <definedName name="MTPATorque_46">'Parameters definition'!$C$472</definedName>
    <definedName name="MTPATorque_47">'Parameters definition'!$C$473</definedName>
    <definedName name="MTPATorque_48">'Parameters definition'!$C$474</definedName>
    <definedName name="MTPATorque_49">'Parameters definition'!$C$475</definedName>
    <definedName name="MTPATorque_5">'Parameters definition'!$C$431</definedName>
    <definedName name="MTPATorque_50">'Parameters definition'!$C$476</definedName>
    <definedName name="MTPATorque_51">'Parameters definition'!$C$477</definedName>
    <definedName name="MTPATorque_52">'Parameters definition'!$C$478</definedName>
    <definedName name="MTPATorque_53">'Parameters definition'!$C$479</definedName>
    <definedName name="MTPATorque_54">'Parameters definition'!$C$480</definedName>
    <definedName name="MTPATorque_55">'Parameters definition'!$C$481</definedName>
    <definedName name="MTPATorque_56">'Parameters definition'!$C$482</definedName>
    <definedName name="MTPATorque_57">'Parameters definition'!$C$483</definedName>
    <definedName name="MTPATorque_58">'Parameters definition'!$C$484</definedName>
    <definedName name="MTPATorque_59">'Parameters definition'!$C$485</definedName>
    <definedName name="MTPATorque_6">'Parameters definition'!$C$432</definedName>
    <definedName name="MTPATorque_60">'Parameters definition'!$C$486</definedName>
    <definedName name="MTPATorque_61">'Parameters definition'!$C$487</definedName>
    <definedName name="MTPATorque_62">'Parameters definition'!$C$488</definedName>
    <definedName name="MTPATorque_63">'Parameters definition'!$C$489</definedName>
    <definedName name="MTPATorque_64">'Parameters definition'!$C$490</definedName>
    <definedName name="MTPATorque_65">'Parameters definition'!$C$491</definedName>
    <definedName name="MTPATorque_66">'Parameters definition'!$C$492</definedName>
    <definedName name="MTPATorque_67">'Parameters definition'!$C$493</definedName>
    <definedName name="MTPATorque_68">'Parameters definition'!$C$494</definedName>
    <definedName name="MTPATorque_69">'Parameters definition'!$C$495</definedName>
    <definedName name="MTPATorque_7">'Parameters definition'!$C$433</definedName>
    <definedName name="MTPATorque_70">'Parameters definition'!$C$496</definedName>
    <definedName name="MTPATorque_71">'Parameters definition'!$C$497</definedName>
    <definedName name="MTPATorque_72">'Parameters definition'!$C$498</definedName>
    <definedName name="MTPATorque_73">'Parameters definition'!$C$499</definedName>
    <definedName name="MTPATorque_74">'Parameters definition'!$C$500</definedName>
    <definedName name="MTPATorque_75">'Parameters definition'!$C$501</definedName>
    <definedName name="MTPATorque_76">'Parameters definition'!$C$502</definedName>
    <definedName name="MTPATorque_77">'Parameters definition'!$C$503</definedName>
    <definedName name="MTPATorque_78">'Parameters definition'!$C$504</definedName>
    <definedName name="MTPATorque_79">'Parameters definition'!$C$505</definedName>
    <definedName name="MTPATorque_8">'Parameters definition'!$C$434</definedName>
    <definedName name="MTPATorque_80">'Parameters definition'!$C$506</definedName>
    <definedName name="MTPATorque_9">'Parameters definition'!$C$435</definedName>
    <definedName name="MTPVAngle_0">'Parameters definition'!$C$913</definedName>
    <definedName name="MTPVAngle_1">'Parameters definition'!$C$914</definedName>
    <definedName name="MTPVAngle_10">'Parameters definition'!$C$923</definedName>
    <definedName name="MTPVAngle_100">'Parameters definition'!$C$1013</definedName>
    <definedName name="MTPVAngle_101">'Parameters definition'!$C$1014</definedName>
    <definedName name="MTPVAngle_102">'Parameters definition'!$C$1015</definedName>
    <definedName name="MTPVAngle_103">'Parameters definition'!$C$1016</definedName>
    <definedName name="MTPVAngle_104">'Parameters definition'!$C$1017</definedName>
    <definedName name="MTPVAngle_105">'Parameters definition'!$C$1018</definedName>
    <definedName name="MTPVAngle_106">'Parameters definition'!$C$1019</definedName>
    <definedName name="MTPVAngle_107">'Parameters definition'!$C$1020</definedName>
    <definedName name="MTPVAngle_108">'Parameters definition'!$C$1021</definedName>
    <definedName name="MTPVAngle_109">'Parameters definition'!$C$1022</definedName>
    <definedName name="MTPVAngle_11">'Parameters definition'!$C$924</definedName>
    <definedName name="MTPVAngle_110">'Parameters definition'!$C$1023</definedName>
    <definedName name="MTPVAngle_111">'Parameters definition'!$C$1024</definedName>
    <definedName name="MTPVAngle_112">'Parameters definition'!$C$1025</definedName>
    <definedName name="MTPVAngle_113">'Parameters definition'!$C$1026</definedName>
    <definedName name="MTPVAngle_114">'Parameters definition'!$C$1027</definedName>
    <definedName name="MTPVAngle_115">'Parameters definition'!$C$1028</definedName>
    <definedName name="MTPVAngle_116">'Parameters definition'!$C$1029</definedName>
    <definedName name="MTPVAngle_117">'Parameters definition'!$C$1030</definedName>
    <definedName name="MTPVAngle_118">'Parameters definition'!$C$1031</definedName>
    <definedName name="MTPVAngle_119">'Parameters definition'!$C$1032</definedName>
    <definedName name="MTPVAngle_12">'Parameters definition'!$C$925</definedName>
    <definedName name="MTPVAngle_120">'Parameters definition'!$C$1033</definedName>
    <definedName name="MTPVAngle_121">'Parameters definition'!$C$1034</definedName>
    <definedName name="MTPVAngle_122">'Parameters definition'!$C$1035</definedName>
    <definedName name="MTPVAngle_123">'Parameters definition'!$C$1036</definedName>
    <definedName name="MTPVAngle_124">'Parameters definition'!$C$1037</definedName>
    <definedName name="MTPVAngle_125">'Parameters definition'!$C$1038</definedName>
    <definedName name="MTPVAngle_126">'Parameters definition'!$C$1039</definedName>
    <definedName name="MTPVAngle_127">'Parameters definition'!$C$1040</definedName>
    <definedName name="MTPVAngle_128">'Parameters definition'!$C$1041</definedName>
    <definedName name="MTPVAngle_129">'Parameters definition'!$C$1042</definedName>
    <definedName name="MTPVAngle_13">'Parameters definition'!$C$926</definedName>
    <definedName name="MTPVAngle_130">'Parameters definition'!$C$1043</definedName>
    <definedName name="MTPVAngle_131">'Parameters definition'!$C$1044</definedName>
    <definedName name="MTPVAngle_132">'Parameters definition'!$C$1045</definedName>
    <definedName name="MTPVAngle_133">'Parameters definition'!$C$1046</definedName>
    <definedName name="MTPVAngle_134">'Parameters definition'!$C$1047</definedName>
    <definedName name="MTPVAngle_135">'Parameters definition'!$C$1048</definedName>
    <definedName name="MTPVAngle_136">'Parameters definition'!$C$1049</definedName>
    <definedName name="MTPVAngle_137">'Parameters definition'!$C$1050</definedName>
    <definedName name="MTPVAngle_138">'Parameters definition'!$C$1051</definedName>
    <definedName name="MTPVAngle_139">'Parameters definition'!$C$1052</definedName>
    <definedName name="MTPVAngle_14">'Parameters definition'!$C$927</definedName>
    <definedName name="MTPVAngle_140">'Parameters definition'!$C$1053</definedName>
    <definedName name="MTPVAngle_141">'Parameters definition'!$C$1054</definedName>
    <definedName name="MTPVAngle_142">'Parameters definition'!$C$1055</definedName>
    <definedName name="MTPVAngle_143">'Parameters definition'!$C$1056</definedName>
    <definedName name="MTPVAngle_144">'Parameters definition'!$C$1057</definedName>
    <definedName name="MTPVAngle_145">'Parameters definition'!$C$1058</definedName>
    <definedName name="MTPVAngle_146">'Parameters definition'!$C$1059</definedName>
    <definedName name="MTPVAngle_147">'Parameters definition'!$C$1060</definedName>
    <definedName name="MTPVAngle_148">'Parameters definition'!$C$1061</definedName>
    <definedName name="MTPVAngle_149">'Parameters definition'!$C$1062</definedName>
    <definedName name="MTPVAngle_15">'Parameters definition'!$C$928</definedName>
    <definedName name="MTPVAngle_150">'Parameters definition'!$C$1063</definedName>
    <definedName name="MTPVAngle_151">'Parameters definition'!$C$1064</definedName>
    <definedName name="MTPVAngle_152">'Parameters definition'!$C$1065</definedName>
    <definedName name="MTPVAngle_153">'Parameters definition'!$C$1066</definedName>
    <definedName name="MTPVAngle_154">'Parameters definition'!$C$1067</definedName>
    <definedName name="MTPVAngle_155">'Parameters definition'!$C$1068</definedName>
    <definedName name="MTPVAngle_156">'Parameters definition'!$C$1069</definedName>
    <definedName name="MTPVAngle_157">'Parameters definition'!$C$1070</definedName>
    <definedName name="MTPVAngle_158">'Parameters definition'!$C$1071</definedName>
    <definedName name="MTPVAngle_159">'Parameters definition'!$C$1072</definedName>
    <definedName name="MTPVAngle_16">'Parameters definition'!$C$929</definedName>
    <definedName name="MTPVAngle_160">'Parameters definition'!$C$1073</definedName>
    <definedName name="MTPVAngle_17">'Parameters definition'!$C$930</definedName>
    <definedName name="MTPVAngle_18">'Parameters definition'!$C$931</definedName>
    <definedName name="MTPVAngle_19">'Parameters definition'!$C$932</definedName>
    <definedName name="MTPVAngle_2">'Parameters definition'!$C$915</definedName>
    <definedName name="MTPVAngle_20">'Parameters definition'!$C$933</definedName>
    <definedName name="MTPVAngle_21">'Parameters definition'!$C$934</definedName>
    <definedName name="MTPVAngle_22">'Parameters definition'!$C$935</definedName>
    <definedName name="MTPVAngle_23">'Parameters definition'!$C$936</definedName>
    <definedName name="MTPVAngle_24">'Parameters definition'!$C$937</definedName>
    <definedName name="MTPVAngle_25">'Parameters definition'!$C$938</definedName>
    <definedName name="MTPVAngle_26">'Parameters definition'!$C$939</definedName>
    <definedName name="MTPVAngle_27">'Parameters definition'!$C$940</definedName>
    <definedName name="MTPVAngle_28">'Parameters definition'!$C$941</definedName>
    <definedName name="MTPVAngle_29">'Parameters definition'!$C$942</definedName>
    <definedName name="MTPVAngle_3">'Parameters definition'!$C$916</definedName>
    <definedName name="MTPVAngle_30">'Parameters definition'!$C$943</definedName>
    <definedName name="MTPVAngle_31">'Parameters definition'!$C$944</definedName>
    <definedName name="MTPVAngle_32">'Parameters definition'!$C$945</definedName>
    <definedName name="MTPVAngle_33">'Parameters definition'!$C$946</definedName>
    <definedName name="MTPVAngle_34">'Parameters definition'!$C$947</definedName>
    <definedName name="MTPVAngle_35">'Parameters definition'!$C$948</definedName>
    <definedName name="MTPVAngle_36">'Parameters definition'!$C$949</definedName>
    <definedName name="MTPVAngle_37">'Parameters definition'!$C$950</definedName>
    <definedName name="MTPVAngle_38">'Parameters definition'!$C$951</definedName>
    <definedName name="MTPVAngle_39">'Parameters definition'!$C$952</definedName>
    <definedName name="MTPVAngle_4">'Parameters definition'!$C$917</definedName>
    <definedName name="MTPVAngle_40">'Parameters definition'!$C$953</definedName>
    <definedName name="MTPVAngle_41">'Parameters definition'!$C$954</definedName>
    <definedName name="MTPVAngle_42">'Parameters definition'!$C$955</definedName>
    <definedName name="MTPVAngle_43">'Parameters definition'!$C$956</definedName>
    <definedName name="MTPVAngle_44">'Parameters definition'!$C$957</definedName>
    <definedName name="MTPVAngle_45">'Parameters definition'!$C$958</definedName>
    <definedName name="MTPVAngle_46">'Parameters definition'!$C$959</definedName>
    <definedName name="MTPVAngle_47">'Parameters definition'!$C$960</definedName>
    <definedName name="MTPVAngle_48">'Parameters definition'!$C$961</definedName>
    <definedName name="MTPVAngle_49">'Parameters definition'!$C$962</definedName>
    <definedName name="MTPVAngle_5">'Parameters definition'!$C$918</definedName>
    <definedName name="MTPVAngle_50">'Parameters definition'!$C$963</definedName>
    <definedName name="MTPVAngle_51">'Parameters definition'!$C$964</definedName>
    <definedName name="MTPVAngle_52">'Parameters definition'!$C$965</definedName>
    <definedName name="MTPVAngle_53">'Parameters definition'!$C$966</definedName>
    <definedName name="MTPVAngle_54">'Parameters definition'!$C$967</definedName>
    <definedName name="MTPVAngle_55">'Parameters definition'!$C$968</definedName>
    <definedName name="MTPVAngle_56">'Parameters definition'!$C$969</definedName>
    <definedName name="MTPVAngle_57">'Parameters definition'!$C$970</definedName>
    <definedName name="MTPVAngle_58">'Parameters definition'!$C$971</definedName>
    <definedName name="MTPVAngle_59">'Parameters definition'!$C$972</definedName>
    <definedName name="MTPVAngle_6">'Parameters definition'!$C$919</definedName>
    <definedName name="MTPVAngle_60">'Parameters definition'!$C$973</definedName>
    <definedName name="MTPVAngle_61">'Parameters definition'!$C$974</definedName>
    <definedName name="MTPVAngle_62">'Parameters definition'!$C$975</definedName>
    <definedName name="MTPVAngle_63">'Parameters definition'!$C$976</definedName>
    <definedName name="MTPVAngle_64">'Parameters definition'!$C$977</definedName>
    <definedName name="MTPVAngle_65">'Parameters definition'!$C$978</definedName>
    <definedName name="MTPVAngle_66">'Parameters definition'!$C$979</definedName>
    <definedName name="MTPVAngle_67">'Parameters definition'!$C$980</definedName>
    <definedName name="MTPVAngle_68">'Parameters definition'!$C$981</definedName>
    <definedName name="MTPVAngle_69">'Parameters definition'!$C$982</definedName>
    <definedName name="MTPVAngle_7">'Parameters definition'!$C$920</definedName>
    <definedName name="MTPVAngle_70">'Parameters definition'!$C$983</definedName>
    <definedName name="MTPVAngle_71">'Parameters definition'!$C$984</definedName>
    <definedName name="MTPVAngle_72">'Parameters definition'!$C$985</definedName>
    <definedName name="MTPVAngle_73">'Parameters definition'!$C$986</definedName>
    <definedName name="MTPVAngle_74">'Parameters definition'!$C$987</definedName>
    <definedName name="MTPVAngle_75">'Parameters definition'!$C$988</definedName>
    <definedName name="MTPVAngle_76">'Parameters definition'!$C$989</definedName>
    <definedName name="MTPVAngle_77">'Parameters definition'!$C$990</definedName>
    <definedName name="MTPVAngle_78">'Parameters definition'!$C$991</definedName>
    <definedName name="MTPVAngle_79">'Parameters definition'!$C$992</definedName>
    <definedName name="MTPVAngle_8">'Parameters definition'!$C$921</definedName>
    <definedName name="MTPVAngle_80">'Parameters definition'!$C$993</definedName>
    <definedName name="MTPVAngle_81">'Parameters definition'!$C$994</definedName>
    <definedName name="MTPVAngle_82">'Parameters definition'!$C$995</definedName>
    <definedName name="MTPVAngle_83">'Parameters definition'!$C$996</definedName>
    <definedName name="MTPVAngle_84">'Parameters definition'!$C$997</definedName>
    <definedName name="MTPVAngle_85">'Parameters definition'!$C$998</definedName>
    <definedName name="MTPVAngle_86">'Parameters definition'!$C$999</definedName>
    <definedName name="MTPVAngle_87">'Parameters definition'!$C$1000</definedName>
    <definedName name="MTPVAngle_88">'Parameters definition'!$C$1001</definedName>
    <definedName name="MTPVAngle_89">'Parameters definition'!$C$1002</definedName>
    <definedName name="MTPVAngle_9">'Parameters definition'!$C$922</definedName>
    <definedName name="MTPVAngle_90">'Parameters definition'!$C$1003</definedName>
    <definedName name="MTPVAngle_91">'Parameters definition'!$C$1004</definedName>
    <definedName name="MTPVAngle_92">'Parameters definition'!$C$1005</definedName>
    <definedName name="MTPVAngle_93">'Parameters definition'!$C$1006</definedName>
    <definedName name="MTPVAngle_94">'Parameters definition'!$C$1007</definedName>
    <definedName name="MTPVAngle_95">'Parameters definition'!$C$1008</definedName>
    <definedName name="MTPVAngle_96">'Parameters definition'!$C$1009</definedName>
    <definedName name="MTPVAngle_97">'Parameters definition'!$C$1010</definedName>
    <definedName name="MTPVAngle_98">'Parameters definition'!$C$1011</definedName>
    <definedName name="MTPVAngle_99">'Parameters definition'!$C$1012</definedName>
    <definedName name="MTPVFlux_0">'Parameters definition'!$C$591</definedName>
    <definedName name="MTPVFlux_1">'Parameters definition'!$C$592</definedName>
    <definedName name="MTPVFlux_10">'Parameters definition'!$C$601</definedName>
    <definedName name="MTPVFlux_100">'Parameters definition'!$C$691</definedName>
    <definedName name="MTPVFlux_101">'Parameters definition'!$C$692</definedName>
    <definedName name="MTPVFlux_102">'Parameters definition'!$C$693</definedName>
    <definedName name="MTPVFlux_103">'Parameters definition'!$C$694</definedName>
    <definedName name="MTPVFlux_104">'Parameters definition'!$C$695</definedName>
    <definedName name="MTPVFlux_105">'Parameters definition'!$C$696</definedName>
    <definedName name="MTPVFlux_106">'Parameters definition'!$C$697</definedName>
    <definedName name="MTPVFlux_107">'Parameters definition'!$C$698</definedName>
    <definedName name="MTPVFlux_108">'Parameters definition'!$C$699</definedName>
    <definedName name="MTPVFlux_109">'Parameters definition'!$C$700</definedName>
    <definedName name="MTPVFlux_11">'Parameters definition'!$C$602</definedName>
    <definedName name="MTPVFlux_110">'Parameters definition'!$C$701</definedName>
    <definedName name="MTPVFlux_111">'Parameters definition'!$C$702</definedName>
    <definedName name="MTPVFlux_112">'Parameters definition'!$C$703</definedName>
    <definedName name="MTPVFlux_113">'Parameters definition'!$C$704</definedName>
    <definedName name="MTPVFlux_114">'Parameters definition'!$C$705</definedName>
    <definedName name="MTPVFlux_115">'Parameters definition'!$C$706</definedName>
    <definedName name="MTPVFlux_116">'Parameters definition'!$C$707</definedName>
    <definedName name="MTPVFlux_117">'Parameters definition'!$C$708</definedName>
    <definedName name="MTPVFlux_118">'Parameters definition'!$C$709</definedName>
    <definedName name="MTPVFlux_119">'Parameters definition'!$C$710</definedName>
    <definedName name="MTPVFlux_12">'Parameters definition'!$C$603</definedName>
    <definedName name="MTPVFlux_120">'Parameters definition'!$C$711</definedName>
    <definedName name="MTPVFlux_121">'Parameters definition'!$C$712</definedName>
    <definedName name="MTPVFlux_122">'Parameters definition'!$C$713</definedName>
    <definedName name="MTPVFlux_123">'Parameters definition'!$C$714</definedName>
    <definedName name="MTPVFlux_124">'Parameters definition'!$C$715</definedName>
    <definedName name="MTPVFlux_125">'Parameters definition'!$C$716</definedName>
    <definedName name="MTPVFlux_126">'Parameters definition'!$C$717</definedName>
    <definedName name="MTPVFlux_127">'Parameters definition'!$C$718</definedName>
    <definedName name="MTPVFlux_128">'Parameters definition'!$C$719</definedName>
    <definedName name="MTPVFlux_129">'Parameters definition'!$C$720</definedName>
    <definedName name="MTPVFlux_13">'Parameters definition'!$C$604</definedName>
    <definedName name="MTPVFlux_130">'Parameters definition'!$C$721</definedName>
    <definedName name="MTPVFlux_131">'Parameters definition'!$C$722</definedName>
    <definedName name="MTPVFlux_132">'Parameters definition'!$C$723</definedName>
    <definedName name="MTPVFlux_133">'Parameters definition'!$C$724</definedName>
    <definedName name="MTPVFlux_134">'Parameters definition'!$C$725</definedName>
    <definedName name="MTPVFlux_135">'Parameters definition'!$C$726</definedName>
    <definedName name="MTPVFlux_136">'Parameters definition'!$C$727</definedName>
    <definedName name="MTPVFlux_137">'Parameters definition'!$C$728</definedName>
    <definedName name="MTPVFlux_138">'Parameters definition'!$C$729</definedName>
    <definedName name="MTPVFlux_139">'Parameters definition'!$C$730</definedName>
    <definedName name="MTPVFlux_14">'Parameters definition'!$C$605</definedName>
    <definedName name="MTPVFlux_140">'Parameters definition'!$C$731</definedName>
    <definedName name="MTPVFlux_141">'Parameters definition'!$C$732</definedName>
    <definedName name="MTPVFlux_142">'Parameters definition'!$C$733</definedName>
    <definedName name="MTPVFlux_143">'Parameters definition'!$C$734</definedName>
    <definedName name="MTPVFlux_144">'Parameters definition'!$C$735</definedName>
    <definedName name="MTPVFlux_145">'Parameters definition'!$C$736</definedName>
    <definedName name="MTPVFlux_146">'Parameters definition'!$C$737</definedName>
    <definedName name="MTPVFlux_147">'Parameters definition'!$C$738</definedName>
    <definedName name="MTPVFlux_148">'Parameters definition'!$C$739</definedName>
    <definedName name="MTPVFlux_149">'Parameters definition'!$C$740</definedName>
    <definedName name="MTPVFlux_15">'Parameters definition'!$C$606</definedName>
    <definedName name="MTPVFlux_150">'Parameters definition'!$C$741</definedName>
    <definedName name="MTPVFlux_151">'Parameters definition'!$C$742</definedName>
    <definedName name="MTPVFlux_152">'Parameters definition'!$C$743</definedName>
    <definedName name="MTPVFlux_153">'Parameters definition'!$C$744</definedName>
    <definedName name="MTPVFlux_154">'Parameters definition'!$C$745</definedName>
    <definedName name="MTPVFlux_155">'Parameters definition'!$C$746</definedName>
    <definedName name="MTPVFlux_156">'Parameters definition'!$C$747</definedName>
    <definedName name="MTPVFlux_157">'Parameters definition'!$C$748</definedName>
    <definedName name="MTPVFlux_158">'Parameters definition'!$C$749</definedName>
    <definedName name="MTPVFlux_159">'Parameters definition'!$C$750</definedName>
    <definedName name="MTPVFlux_16">'Parameters definition'!$C$607</definedName>
    <definedName name="MTPVFlux_160">'Parameters definition'!$C$751</definedName>
    <definedName name="MTPVFlux_17">'Parameters definition'!$C$608</definedName>
    <definedName name="MTPVFlux_18">'Parameters definition'!$C$609</definedName>
    <definedName name="MTPVFlux_19">'Parameters definition'!$C$610</definedName>
    <definedName name="MTPVFlux_2">'Parameters definition'!$C$593</definedName>
    <definedName name="MTPVFlux_20">'Parameters definition'!$C$611</definedName>
    <definedName name="MTPVFlux_21">'Parameters definition'!$C$612</definedName>
    <definedName name="MTPVFlux_22">'Parameters definition'!$C$613</definedName>
    <definedName name="MTPVFlux_23">'Parameters definition'!$C$614</definedName>
    <definedName name="MTPVFlux_24">'Parameters definition'!$C$615</definedName>
    <definedName name="MTPVFlux_25">'Parameters definition'!$C$616</definedName>
    <definedName name="MTPVFlux_26">'Parameters definition'!$C$617</definedName>
    <definedName name="MTPVFlux_27">'Parameters definition'!$C$618</definedName>
    <definedName name="MTPVFlux_28">'Parameters definition'!$C$619</definedName>
    <definedName name="MTPVFlux_29">'Parameters definition'!$C$620</definedName>
    <definedName name="MTPVFlux_3">'Parameters definition'!$C$594</definedName>
    <definedName name="MTPVFlux_30">'Parameters definition'!$C$621</definedName>
    <definedName name="MTPVFlux_31">'Parameters definition'!$C$622</definedName>
    <definedName name="MTPVFlux_32">'Parameters definition'!$C$623</definedName>
    <definedName name="MTPVFlux_33">'Parameters definition'!$C$624</definedName>
    <definedName name="MTPVFlux_34">'Parameters definition'!$C$625</definedName>
    <definedName name="MTPVFlux_35">'Parameters definition'!$C$626</definedName>
    <definedName name="MTPVFlux_36">'Parameters definition'!$C$627</definedName>
    <definedName name="MTPVFlux_37">'Parameters definition'!$C$628</definedName>
    <definedName name="MTPVFlux_38">'Parameters definition'!$C$629</definedName>
    <definedName name="MTPVFlux_39">'Parameters definition'!$C$630</definedName>
    <definedName name="MTPVFlux_4">'Parameters definition'!$C$595</definedName>
    <definedName name="MTPVFlux_40">'Parameters definition'!$C$631</definedName>
    <definedName name="MTPVFlux_41">'Parameters definition'!$C$632</definedName>
    <definedName name="MTPVFlux_42">'Parameters definition'!$C$633</definedName>
    <definedName name="MTPVFlux_43">'Parameters definition'!$C$634</definedName>
    <definedName name="MTPVFlux_44">'Parameters definition'!$C$635</definedName>
    <definedName name="MTPVFlux_45">'Parameters definition'!$C$636</definedName>
    <definedName name="MTPVFlux_46">'Parameters definition'!$C$637</definedName>
    <definedName name="MTPVFlux_47">'Parameters definition'!$C$638</definedName>
    <definedName name="MTPVFlux_48">'Parameters definition'!$C$639</definedName>
    <definedName name="MTPVFlux_49">'Parameters definition'!$C$640</definedName>
    <definedName name="MTPVFlux_5">'Parameters definition'!$C$596</definedName>
    <definedName name="MTPVFlux_50">'Parameters definition'!$C$641</definedName>
    <definedName name="MTPVFlux_51">'Parameters definition'!$C$642</definedName>
    <definedName name="MTPVFlux_52">'Parameters definition'!$C$643</definedName>
    <definedName name="MTPVFlux_53">'Parameters definition'!$C$644</definedName>
    <definedName name="MTPVFlux_54">'Parameters definition'!$C$645</definedName>
    <definedName name="MTPVFlux_55">'Parameters definition'!$C$646</definedName>
    <definedName name="MTPVFlux_56">'Parameters definition'!$C$647</definedName>
    <definedName name="MTPVFlux_57">'Parameters definition'!$C$648</definedName>
    <definedName name="MTPVFlux_58">'Parameters definition'!$C$649</definedName>
    <definedName name="MTPVFlux_59">'Parameters definition'!$C$650</definedName>
    <definedName name="MTPVFlux_6">'Parameters definition'!$C$597</definedName>
    <definedName name="MTPVFlux_60">'Parameters definition'!$C$651</definedName>
    <definedName name="MTPVFlux_61">'Parameters definition'!$C$652</definedName>
    <definedName name="MTPVFlux_62">'Parameters definition'!$C$653</definedName>
    <definedName name="MTPVFlux_63">'Parameters definition'!$C$654</definedName>
    <definedName name="MTPVFlux_64">'Parameters definition'!$C$655</definedName>
    <definedName name="MTPVFlux_65">'Parameters definition'!$C$656</definedName>
    <definedName name="MTPVFlux_66">'Parameters definition'!$C$657</definedName>
    <definedName name="MTPVFlux_67">'Parameters definition'!$C$658</definedName>
    <definedName name="MTPVFlux_68">'Parameters definition'!$C$659</definedName>
    <definedName name="MTPVFlux_69">'Parameters definition'!$C$660</definedName>
    <definedName name="MTPVFlux_7">'Parameters definition'!$C$598</definedName>
    <definedName name="MTPVFlux_70">'Parameters definition'!$C$661</definedName>
    <definedName name="MTPVFlux_71">'Parameters definition'!$C$662</definedName>
    <definedName name="MTPVFlux_72">'Parameters definition'!$C$663</definedName>
    <definedName name="MTPVFlux_73">'Parameters definition'!$C$664</definedName>
    <definedName name="MTPVFlux_74">'Parameters definition'!$C$665</definedName>
    <definedName name="MTPVFlux_75">'Parameters definition'!$C$666</definedName>
    <definedName name="MTPVFlux_76">'Parameters definition'!$C$667</definedName>
    <definedName name="MTPVFlux_77">'Parameters definition'!$C$668</definedName>
    <definedName name="MTPVFlux_78">'Parameters definition'!$C$669</definedName>
    <definedName name="MTPVFlux_79">'Parameters definition'!$C$670</definedName>
    <definedName name="MTPVFlux_8">'Parameters definition'!$C$599</definedName>
    <definedName name="MTPVFlux_80">'Parameters definition'!$C$671</definedName>
    <definedName name="MTPVFlux_81">'Parameters definition'!$C$672</definedName>
    <definedName name="MTPVFlux_82">'Parameters definition'!$C$673</definedName>
    <definedName name="MTPVFlux_83">'Parameters definition'!$C$674</definedName>
    <definedName name="MTPVFlux_84">'Parameters definition'!$C$675</definedName>
    <definedName name="MTPVFlux_85">'Parameters definition'!$C$676</definedName>
    <definedName name="MTPVFlux_86">'Parameters definition'!$C$677</definedName>
    <definedName name="MTPVFlux_87">'Parameters definition'!$C$678</definedName>
    <definedName name="MTPVFlux_88">'Parameters definition'!$C$679</definedName>
    <definedName name="MTPVFlux_89">'Parameters definition'!$C$680</definedName>
    <definedName name="MTPVFlux_9">'Parameters definition'!$C$600</definedName>
    <definedName name="MTPVFlux_90">'Parameters definition'!$C$681</definedName>
    <definedName name="MTPVFlux_91">'Parameters definition'!$C$682</definedName>
    <definedName name="MTPVFlux_92">'Parameters definition'!$C$683</definedName>
    <definedName name="MTPVFlux_93">'Parameters definition'!$C$684</definedName>
    <definedName name="MTPVFlux_94">'Parameters definition'!$C$685</definedName>
    <definedName name="MTPVFlux_95">'Parameters definition'!$C$686</definedName>
    <definedName name="MTPVFlux_96">'Parameters definition'!$C$687</definedName>
    <definedName name="MTPVFlux_97">'Parameters definition'!$C$688</definedName>
    <definedName name="MTPVFlux_98">'Parameters definition'!$C$689</definedName>
    <definedName name="MTPVFlux_99">'Parameters definition'!$C$690</definedName>
    <definedName name="MTPVTorque_0">'Parameters definition'!$C$752</definedName>
    <definedName name="MTPVTorque_1">'Parameters definition'!$C$753</definedName>
    <definedName name="MTPVTorque_10">'Parameters definition'!$C$762</definedName>
    <definedName name="MTPVTorque_100">'Parameters definition'!$C$852</definedName>
    <definedName name="MTPVTorque_101">'Parameters definition'!$C$853</definedName>
    <definedName name="MTPVTorque_102">'Parameters definition'!$C$854</definedName>
    <definedName name="MTPVTorque_103">'Parameters definition'!$C$855</definedName>
    <definedName name="MTPVTorque_104">'Parameters definition'!$C$856</definedName>
    <definedName name="MTPVTorque_105">'Parameters definition'!$C$857</definedName>
    <definedName name="MTPVTorque_106">'Parameters definition'!$C$858</definedName>
    <definedName name="MTPVTorque_107">'Parameters definition'!$C$859</definedName>
    <definedName name="MTPVTorque_108">'Parameters definition'!$C$860</definedName>
    <definedName name="MTPVTorque_109">'Parameters definition'!$C$861</definedName>
    <definedName name="MTPVTorque_11">'Parameters definition'!$C$763</definedName>
    <definedName name="MTPVTorque_110">'Parameters definition'!$C$862</definedName>
    <definedName name="MTPVTorque_111">'Parameters definition'!$C$863</definedName>
    <definedName name="MTPVTorque_112">'Parameters definition'!$C$864</definedName>
    <definedName name="MTPVTorque_113">'Parameters definition'!$C$865</definedName>
    <definedName name="MTPVTorque_114">'Parameters definition'!$C$866</definedName>
    <definedName name="MTPVTorque_115">'Parameters definition'!$C$867</definedName>
    <definedName name="MTPVTorque_116">'Parameters definition'!$C$868</definedName>
    <definedName name="MTPVTorque_117">'Parameters definition'!$C$869</definedName>
    <definedName name="MTPVTorque_118">'Parameters definition'!$C$870</definedName>
    <definedName name="MTPVTorque_119">'Parameters definition'!$C$871</definedName>
    <definedName name="MTPVTorque_12">'Parameters definition'!$C$764</definedName>
    <definedName name="MTPVTorque_120">'Parameters definition'!$C$872</definedName>
    <definedName name="MTPVTorque_121">'Parameters definition'!$C$873</definedName>
    <definedName name="MTPVTorque_122">'Parameters definition'!$C$874</definedName>
    <definedName name="MTPVTorque_123">'Parameters definition'!$C$875</definedName>
    <definedName name="MTPVTorque_124">'Parameters definition'!$C$876</definedName>
    <definedName name="MTPVTorque_125">'Parameters definition'!$C$877</definedName>
    <definedName name="MTPVTorque_126">'Parameters definition'!$C$878</definedName>
    <definedName name="MTPVTorque_127">'Parameters definition'!$C$879</definedName>
    <definedName name="MTPVTorque_128">'Parameters definition'!$C$880</definedName>
    <definedName name="MTPVTorque_129">'Parameters definition'!$C$881</definedName>
    <definedName name="MTPVTorque_13">'Parameters definition'!$C$765</definedName>
    <definedName name="MTPVTorque_130">'Parameters definition'!$C$882</definedName>
    <definedName name="MTPVTorque_131">'Parameters definition'!$C$883</definedName>
    <definedName name="MTPVTorque_132">'Parameters definition'!$C$884</definedName>
    <definedName name="MTPVTorque_133">'Parameters definition'!$C$885</definedName>
    <definedName name="MTPVTorque_134">'Parameters definition'!$C$886</definedName>
    <definedName name="MTPVTorque_135">'Parameters definition'!$C$887</definedName>
    <definedName name="MTPVTorque_136">'Parameters definition'!$C$888</definedName>
    <definedName name="MTPVTorque_137">'Parameters definition'!$C$889</definedName>
    <definedName name="MTPVTorque_138">'Parameters definition'!$C$890</definedName>
    <definedName name="MTPVTorque_139">'Parameters definition'!$C$891</definedName>
    <definedName name="MTPVTorque_14">'Parameters definition'!$C$766</definedName>
    <definedName name="MTPVTorque_140">'Parameters definition'!$C$892</definedName>
    <definedName name="MTPVTorque_141">'Parameters definition'!$C$893</definedName>
    <definedName name="MTPVTorque_142">'Parameters definition'!$C$894</definedName>
    <definedName name="MTPVTorque_143">'Parameters definition'!$C$895</definedName>
    <definedName name="MTPVTorque_144">'Parameters definition'!$C$896</definedName>
    <definedName name="MTPVTorque_145">'Parameters definition'!$C$897</definedName>
    <definedName name="MTPVTorque_146">'Parameters definition'!$C$898</definedName>
    <definedName name="MTPVTorque_147">'Parameters definition'!$C$899</definedName>
    <definedName name="MTPVTorque_148">'Parameters definition'!$C$900</definedName>
    <definedName name="MTPVTorque_149">'Parameters definition'!$C$901</definedName>
    <definedName name="MTPVTorque_15">'Parameters definition'!$C$767</definedName>
    <definedName name="MTPVTorque_150">'Parameters definition'!$C$902</definedName>
    <definedName name="MTPVTorque_151">'Parameters definition'!$C$903</definedName>
    <definedName name="MTPVTorque_152">'Parameters definition'!$C$904</definedName>
    <definedName name="MTPVTorque_153">'Parameters definition'!$C$905</definedName>
    <definedName name="MTPVTorque_154">'Parameters definition'!$C$906</definedName>
    <definedName name="MTPVTorque_155">'Parameters definition'!$C$907</definedName>
    <definedName name="MTPVTorque_156">'Parameters definition'!$C$908</definedName>
    <definedName name="MTPVTorque_157">'Parameters definition'!$C$909</definedName>
    <definedName name="MTPVTorque_158">'Parameters definition'!$C$910</definedName>
    <definedName name="MTPVTorque_159">'Parameters definition'!$C$911</definedName>
    <definedName name="MTPVTorque_16">'Parameters definition'!$C$768</definedName>
    <definedName name="MTPVTorque_160">'Parameters definition'!$C$912</definedName>
    <definedName name="MTPVTorque_17">'Parameters definition'!$C$769</definedName>
    <definedName name="MTPVTorque_18">'Parameters definition'!$C$770</definedName>
    <definedName name="MTPVTorque_19">'Parameters definition'!$C$771</definedName>
    <definedName name="MTPVTorque_2">'Parameters definition'!$C$754</definedName>
    <definedName name="MTPVTorque_20">'Parameters definition'!$C$772</definedName>
    <definedName name="MTPVTorque_21">'Parameters definition'!$C$773</definedName>
    <definedName name="MTPVTorque_22">'Parameters definition'!$C$774</definedName>
    <definedName name="MTPVTorque_23">'Parameters definition'!$C$775</definedName>
    <definedName name="MTPVTorque_24">'Parameters definition'!$C$776</definedName>
    <definedName name="MTPVTorque_25">'Parameters definition'!$C$777</definedName>
    <definedName name="MTPVTorque_26">'Parameters definition'!$C$778</definedName>
    <definedName name="MTPVTorque_27">'Parameters definition'!$C$779</definedName>
    <definedName name="MTPVTorque_28">'Parameters definition'!$C$780</definedName>
    <definedName name="MTPVTorque_29">'Parameters definition'!$C$781</definedName>
    <definedName name="MTPVTorque_3">'Parameters definition'!$C$755</definedName>
    <definedName name="MTPVTorque_30">'Parameters definition'!$C$782</definedName>
    <definedName name="MTPVTorque_31">'Parameters definition'!$C$783</definedName>
    <definedName name="MTPVTorque_32">'Parameters definition'!$C$784</definedName>
    <definedName name="MTPVTorque_33">'Parameters definition'!$C$785</definedName>
    <definedName name="MTPVTorque_34">'Parameters definition'!$C$786</definedName>
    <definedName name="MTPVTorque_35">'Parameters definition'!$C$787</definedName>
    <definedName name="MTPVTorque_36">'Parameters definition'!$C$788</definedName>
    <definedName name="MTPVTorque_37">'Parameters definition'!$C$789</definedName>
    <definedName name="MTPVTorque_38">'Parameters definition'!$C$790</definedName>
    <definedName name="MTPVTorque_39">'Parameters definition'!$C$791</definedName>
    <definedName name="MTPVTorque_4">'Parameters definition'!$C$756</definedName>
    <definedName name="MTPVTorque_40">'Parameters definition'!$C$792</definedName>
    <definedName name="MTPVTorque_41">'Parameters definition'!$C$793</definedName>
    <definedName name="MTPVTorque_42">'Parameters definition'!$C$794</definedName>
    <definedName name="MTPVTorque_43">'Parameters definition'!$C$795</definedName>
    <definedName name="MTPVTorque_44">'Parameters definition'!$C$796</definedName>
    <definedName name="MTPVTorque_45">'Parameters definition'!$C$797</definedName>
    <definedName name="MTPVTorque_46">'Parameters definition'!$C$798</definedName>
    <definedName name="MTPVTorque_47">'Parameters definition'!$C$799</definedName>
    <definedName name="MTPVTorque_48">'Parameters definition'!$C$800</definedName>
    <definedName name="MTPVTorque_49">'Parameters definition'!$C$801</definedName>
    <definedName name="MTPVTorque_5">'Parameters definition'!$C$757</definedName>
    <definedName name="MTPVTorque_50">'Parameters definition'!$C$802</definedName>
    <definedName name="MTPVTorque_51">'Parameters definition'!$C$803</definedName>
    <definedName name="MTPVTorque_52">'Parameters definition'!$C$804</definedName>
    <definedName name="MTPVTorque_53">'Parameters definition'!$C$805</definedName>
    <definedName name="MTPVTorque_54">'Parameters definition'!$C$806</definedName>
    <definedName name="MTPVTorque_55">'Parameters definition'!$C$807</definedName>
    <definedName name="MTPVTorque_56">'Parameters definition'!$C$808</definedName>
    <definedName name="MTPVTorque_57">'Parameters definition'!$C$809</definedName>
    <definedName name="MTPVTorque_58">'Parameters definition'!$C$810</definedName>
    <definedName name="MTPVTorque_59">'Parameters definition'!$C$811</definedName>
    <definedName name="MTPVTorque_6">'Parameters definition'!$C$758</definedName>
    <definedName name="MTPVTorque_60">'Parameters definition'!$C$812</definedName>
    <definedName name="MTPVTorque_61">'Parameters definition'!$C$813</definedName>
    <definedName name="MTPVTorque_62">'Parameters definition'!$C$814</definedName>
    <definedName name="MTPVTorque_63">'Parameters definition'!$C$815</definedName>
    <definedName name="MTPVTorque_64">'Parameters definition'!$C$816</definedName>
    <definedName name="MTPVTorque_65">'Parameters definition'!$C$817</definedName>
    <definedName name="MTPVTorque_66">'Parameters definition'!$C$818</definedName>
    <definedName name="MTPVTorque_67">'Parameters definition'!$C$819</definedName>
    <definedName name="MTPVTorque_68">'Parameters definition'!$C$820</definedName>
    <definedName name="MTPVTorque_69">'Parameters definition'!$C$821</definedName>
    <definedName name="MTPVTorque_7">'Parameters definition'!$C$759</definedName>
    <definedName name="MTPVTorque_70">'Parameters definition'!$C$822</definedName>
    <definedName name="MTPVTorque_71">'Parameters definition'!$C$823</definedName>
    <definedName name="MTPVTorque_72">'Parameters definition'!$C$824</definedName>
    <definedName name="MTPVTorque_73">'Parameters definition'!$C$825</definedName>
    <definedName name="MTPVTorque_74">'Parameters definition'!$C$826</definedName>
    <definedName name="MTPVTorque_75">'Parameters definition'!$C$827</definedName>
    <definedName name="MTPVTorque_76">'Parameters definition'!$C$828</definedName>
    <definedName name="MTPVTorque_77">'Parameters definition'!$C$829</definedName>
    <definedName name="MTPVTorque_78">'Parameters definition'!$C$830</definedName>
    <definedName name="MTPVTorque_79">'Parameters definition'!$C$831</definedName>
    <definedName name="MTPVTorque_8">'Parameters definition'!$C$760</definedName>
    <definedName name="MTPVTorque_80">'Parameters definition'!$C$832</definedName>
    <definedName name="MTPVTorque_81">'Parameters definition'!$C$833</definedName>
    <definedName name="MTPVTorque_82">'Parameters definition'!$C$834</definedName>
    <definedName name="MTPVTorque_83">'Parameters definition'!$C$835</definedName>
    <definedName name="MTPVTorque_84">'Parameters definition'!$C$836</definedName>
    <definedName name="MTPVTorque_85">'Parameters definition'!$C$837</definedName>
    <definedName name="MTPVTorque_86">'Parameters definition'!$C$838</definedName>
    <definedName name="MTPVTorque_87">'Parameters definition'!$C$839</definedName>
    <definedName name="MTPVTorque_88">'Parameters definition'!$C$840</definedName>
    <definedName name="MTPVTorque_89">'Parameters definition'!$C$841</definedName>
    <definedName name="MTPVTorque_9">'Parameters definition'!$C$761</definedName>
    <definedName name="MTPVTorque_90">'Parameters definition'!$C$842</definedName>
    <definedName name="MTPVTorque_91">'Parameters definition'!$C$843</definedName>
    <definedName name="MTPVTorque_92">'Parameters definition'!$C$844</definedName>
    <definedName name="MTPVTorque_93">'Parameters definition'!$C$845</definedName>
    <definedName name="MTPVTorque_94">'Parameters definition'!$C$846</definedName>
    <definedName name="MTPVTorque_95">'Parameters definition'!$C$847</definedName>
    <definedName name="MTPVTorque_96">'Parameters definition'!$C$848</definedName>
    <definedName name="MTPVTorque_97">'Parameters definition'!$C$849</definedName>
    <definedName name="MTPVTorque_98">'Parameters definition'!$C$850</definedName>
    <definedName name="MTPVTorque_99">'Parameters definition'!$C$851</definedName>
    <definedName name="OBS_RESIS_ADAPT_CURRENT_THRES">'Parameters definition'!$C$46</definedName>
    <definedName name="OBS_RESIS_ADAPT_SPEED_THRES">'Parameters definition'!$C$47</definedName>
    <definedName name="OBSERVER_G_GAIN">'Parameters definition'!$C$49</definedName>
    <definedName name="OBSERVER_G_INTEG_GAIN">'Parameters definition'!$C$45</definedName>
    <definedName name="OBSERVER_MIN_FLUX_ZERO_SPEED">'Parameters definition'!$C$51</definedName>
    <definedName name="OBSERVER_SPEED_PLL_KI">'Parameters definition'!$C$56</definedName>
    <definedName name="OBSERVER_SPEED_PLL_KP">'Parameters definition'!$C$55</definedName>
    <definedName name="OBSERVER_STARTING_THRESHOLD">'Parameters definition'!$C$54</definedName>
    <definedName name="OBSERVER_TS">'Parameters definition'!$C$59</definedName>
    <definedName name="OVERFLUX_FACTOR">'Parameters definition'!$C$182</definedName>
    <definedName name="PHASE_ADVANCE_COEFF">'Parameters definition'!$C$196</definedName>
    <definedName name="PI_VOLT_MARGIN">'Parameters definition'!$C$22</definedName>
    <definedName name="POLE_PAIRS">'Parameters definition'!$C$14</definedName>
    <definedName name="PWM_INVERTER_LOSS_SLOPE">'Parameters definition'!#REF!</definedName>
    <definedName name="PWM_MOD_MAX_DUTY">'Parameters definition'!#REF!</definedName>
    <definedName name="PWM_MODULATION_TS">'Parameters definition'!$C$219</definedName>
    <definedName name="PWM_SPEED_THRESHOLD_PWM_COMP">'Parameters definition'!$C$220</definedName>
    <definedName name="PWM_STARTING_TIME">'Parameters definition'!$C$221</definedName>
    <definedName name="Q_CURR_CONTROL_KI">'Parameters definition'!$C$381</definedName>
    <definedName name="Q_CURR_CONTROL_KP">'Parameters definition'!$C$380</definedName>
    <definedName name="QUAD_CURR_POS_0">'Parameters definition'!$C$108</definedName>
    <definedName name="QUAD_CURR_POS_1">'Parameters definition'!$C$109</definedName>
    <definedName name="QUAD_CURR_POS_10">'Parameters definition'!$C$118</definedName>
    <definedName name="QUAD_CURR_POS_11">'Parameters definition'!$C$119</definedName>
    <definedName name="QUAD_CURR_POS_12">'Parameters definition'!$C$120</definedName>
    <definedName name="QUAD_CURR_POS_13">'Parameters definition'!$C$121</definedName>
    <definedName name="QUAD_CURR_POS_14">'Parameters definition'!$C$122</definedName>
    <definedName name="QUAD_CURR_POS_15">'Parameters definition'!$C$123</definedName>
    <definedName name="QUAD_CURR_POS_2">'Parameters definition'!$C$110</definedName>
    <definedName name="QUAD_CURR_POS_3">'Parameters definition'!$C$111</definedName>
    <definedName name="QUAD_CURR_POS_4">'Parameters definition'!$C$112</definedName>
    <definedName name="QUAD_CURR_POS_5">'Parameters definition'!$C$113</definedName>
    <definedName name="QUAD_CURR_POS_6">'Parameters definition'!$C$114</definedName>
    <definedName name="QUAD_CURR_POS_7">'Parameters definition'!$C$115</definedName>
    <definedName name="QUAD_CURR_POS_8">'Parameters definition'!$C$116</definedName>
    <definedName name="QUAD_CURR_POS_9">'Parameters definition'!$C$117</definedName>
    <definedName name="QUAD_IND_POS_0">'Parameters definition'!$C$92</definedName>
    <definedName name="QUAD_IND_POS_1">'Parameters definition'!$C$93</definedName>
    <definedName name="QUAD_IND_POS_10">'Parameters definition'!$C$102</definedName>
    <definedName name="QUAD_IND_POS_11">'Parameters definition'!$C$103</definedName>
    <definedName name="QUAD_IND_POS_12">'Parameters definition'!$C$104</definedName>
    <definedName name="QUAD_IND_POS_13">'Parameters definition'!$C$105</definedName>
    <definedName name="QUAD_IND_POS_14">'Parameters definition'!$C$106</definedName>
    <definedName name="QUAD_IND_POS_15">'Parameters definition'!$C$107</definedName>
    <definedName name="QUAD_IND_POS_2">'Parameters definition'!$C$94</definedName>
    <definedName name="QUAD_IND_POS_3">'Parameters definition'!$C$95</definedName>
    <definedName name="QUAD_IND_POS_4">'Parameters definition'!$C$96</definedName>
    <definedName name="QUAD_IND_POS_5">'Parameters definition'!$C$97</definedName>
    <definedName name="QUAD_IND_POS_6">'Parameters definition'!$C$98</definedName>
    <definedName name="QUAD_IND_POS_7">'Parameters definition'!$C$99</definedName>
    <definedName name="QUAD_IND_POS_8">'Parameters definition'!$C$100</definedName>
    <definedName name="QUAD_IND_POS_9">'Parameters definition'!$C$101</definedName>
    <definedName name="ROBUSTSTARTING_KI">'Parameters definition'!#REF!</definedName>
    <definedName name="ROBUSTSTARTING_KP">'Parameters definition'!#REF!</definedName>
    <definedName name="ROTOR_LAMBDAM">'Parameters definition'!$C$9</definedName>
    <definedName name="SAMPLES_NUMBER">'Parameters definition'!$C$416</definedName>
    <definedName name="SBPM_MIN_OVERFLUX_FACTOR">'Parameters definition'!$C$187</definedName>
    <definedName name="SBPM_OVERFLUX_FACTOR">'Parameters definition'!$C$186</definedName>
    <definedName name="SBPM_SPEED_OVERFULX_THRESHOLD">'Parameters definition'!$C$185</definedName>
    <definedName name="SPEED_CONTROLLER_POSTSCALER">'Parameters definition'!$C$143</definedName>
    <definedName name="SPEED_KI_REGION_0">'Parameters definition'!$C$151</definedName>
    <definedName name="SPEED_KI_REGION_1">'Parameters definition'!$C$155</definedName>
    <definedName name="SPEED_KI_REGION_2">'Parameters definition'!$C$159</definedName>
    <definedName name="SPEED_KI_REGION_3">'Parameters definition'!$C$163</definedName>
    <definedName name="SPEED_KI_REGION_4">'Parameters definition'!$C$167</definedName>
    <definedName name="SPEED_KP_REGION_0">'Parameters definition'!$C$150</definedName>
    <definedName name="SPEED_KP_REGION_1">'Parameters definition'!$C$154</definedName>
    <definedName name="SPEED_KP_REGION_2">'Parameters definition'!$C$158</definedName>
    <definedName name="SPEED_KP_REGION_3">'Parameters definition'!$C$162</definedName>
    <definedName name="SPEED_KP_REGION_4">'Parameters definition'!$C$166</definedName>
    <definedName name="SPEED_OVERFLUX_THRESHOLD">'Parameters definition'!$C$181</definedName>
    <definedName name="SPEED_REF_DEFAULT_ACCEL">'Parameters definition'!$C$420</definedName>
    <definedName name="SPEED_REF_MIN_SPEED_DEFAULT_ACCEL">'Parameters definition'!$C$421</definedName>
    <definedName name="SPEED_THRESHOLD_MAX_PHASE_CURRENT">'Parameters definition'!$C$21</definedName>
    <definedName name="SPEED_THRESHOLD_REGION_0">'Parameters definition'!$C$152</definedName>
    <definedName name="SPEED_THRESHOLD_REGION_1">'Parameters definition'!$C$156</definedName>
    <definedName name="SPEED_THRESHOLD_REGION_2">'Parameters definition'!$C$160</definedName>
    <definedName name="SPEED_THRESHOLD_REGION_3">'Parameters definition'!$C$164</definedName>
    <definedName name="SPEED_THRESHOLD_REGION_4">'Parameters definition'!$C$168</definedName>
    <definedName name="SPEED_TIME_TO_SWITCH_REGION_0">'Parameters definition'!$C$153</definedName>
    <definedName name="SPEED_TIME_TO_SWITCH_REGION_1">'Parameters definition'!$C$157</definedName>
    <definedName name="SPEED_TIME_TO_SWITCH_REGION_2">'Parameters definition'!$C$161</definedName>
    <definedName name="SPEED_TIME_TO_SWITCH_REGION_3">'Parameters definition'!$C$165</definedName>
    <definedName name="SPEED_TIME_TO_SWITCH_REGION_4">'Parameters definition'!$C$169</definedName>
    <definedName name="STATOR_INDUCTANCE_D">'Parameters definition'!$C$11</definedName>
    <definedName name="STATOR_INDUCTANCE_Q">'Parameters definition'!$C$12</definedName>
    <definedName name="STATOR_RESISTANCE">'Parameters definition'!$C$8</definedName>
    <definedName name="TE_MAX">'Parameters definition'!$C$10</definedName>
    <definedName name="TIME_DQ_FORCE_GAINS_STARTING">'Parameters definition'!$C$195</definedName>
    <definedName name="TIME_FORCE_USE_DEFAULT_SPEED_GAINS">'Parameters definition'!$C$147</definedName>
    <definedName name="TORQUE_ERROR_SAT">'Parameters definition'!$C$189</definedName>
    <definedName name="VoltDropN_0">'Parameters definition'!#REF!</definedName>
    <definedName name="VoltDropN_1">'Parameters definition'!#REF!</definedName>
    <definedName name="VoltDropN_10">'Parameters definition'!#REF!</definedName>
    <definedName name="VoltDropN_11">'Parameters definition'!#REF!</definedName>
    <definedName name="VoltDropN_12">'Parameters definition'!#REF!</definedName>
    <definedName name="VoltDropN_13">'Parameters definition'!#REF!</definedName>
    <definedName name="VoltDropN_14">'Parameters definition'!#REF!</definedName>
    <definedName name="VoltDropN_15">'Parameters definition'!#REF!</definedName>
    <definedName name="VoltDropN_16">'Parameters definition'!#REF!</definedName>
    <definedName name="VoltDropN_17">'Parameters definition'!#REF!</definedName>
    <definedName name="VoltDropN_18">'Parameters definition'!#REF!</definedName>
    <definedName name="VoltDropN_19">'Parameters definition'!#REF!</definedName>
    <definedName name="VoltDropN_2">'Parameters definition'!#REF!</definedName>
    <definedName name="VoltDropN_20">'Parameters definition'!#REF!</definedName>
    <definedName name="VoltDropN_21">'Parameters definition'!#REF!</definedName>
    <definedName name="VoltDropN_22">'Parameters definition'!#REF!</definedName>
    <definedName name="VoltDropN_23">'Parameters definition'!#REF!</definedName>
    <definedName name="VoltDropN_24">'Parameters definition'!#REF!</definedName>
    <definedName name="VoltDropN_25">'Parameters definition'!#REF!</definedName>
    <definedName name="VoltDropN_26">'Parameters definition'!#REF!</definedName>
    <definedName name="VoltDropN_27">'Parameters definition'!#REF!</definedName>
    <definedName name="VoltDropN_28">'Parameters definition'!#REF!</definedName>
    <definedName name="VoltDropN_29">'Parameters definition'!#REF!</definedName>
    <definedName name="VoltDropN_3">'Parameters definition'!#REF!</definedName>
    <definedName name="VoltDropN_30">'Parameters definition'!#REF!</definedName>
    <definedName name="VoltDropN_31">'Parameters definition'!#REF!</definedName>
    <definedName name="VoltDropN_32">'Parameters definition'!#REF!</definedName>
    <definedName name="VoltDropN_33">'Parameters definition'!#REF!</definedName>
    <definedName name="VoltDropN_34">'Parameters definition'!#REF!</definedName>
    <definedName name="VoltDropN_35">'Parameters definition'!#REF!</definedName>
    <definedName name="VoltDropN_36">'Parameters definition'!#REF!</definedName>
    <definedName name="VoltDropN_37">'Parameters definition'!#REF!</definedName>
    <definedName name="VoltDropN_38">'Parameters definition'!#REF!</definedName>
    <definedName name="VoltDropN_39">'Parameters definition'!#REF!</definedName>
    <definedName name="VoltDropN_4">'Parameters definition'!#REF!</definedName>
    <definedName name="VoltDropN_40">'Parameters definition'!#REF!</definedName>
    <definedName name="VoltDropN_41">'Parameters definition'!#REF!</definedName>
    <definedName name="VoltDropN_42">'Parameters definition'!#REF!</definedName>
    <definedName name="VoltDropN_43">'Parameters definition'!#REF!</definedName>
    <definedName name="VoltDropN_44">'Parameters definition'!#REF!</definedName>
    <definedName name="VoltDropN_45">'Parameters definition'!#REF!</definedName>
    <definedName name="VoltDropN_46">'Parameters definition'!#REF!</definedName>
    <definedName name="VoltDropN_47">'Parameters definition'!#REF!</definedName>
    <definedName name="VoltDropN_48">'Parameters definition'!#REF!</definedName>
    <definedName name="VoltDropN_49">'Parameters definition'!#REF!</definedName>
    <definedName name="VoltDropN_5">'Parameters definition'!#REF!</definedName>
    <definedName name="VoltDropN_50">'Parameters definition'!#REF!</definedName>
    <definedName name="VoltDropN_51">'Parameters definition'!#REF!</definedName>
    <definedName name="VoltDropN_52">'Parameters definition'!#REF!</definedName>
    <definedName name="VoltDropN_53">'Parameters definition'!#REF!</definedName>
    <definedName name="VoltDropN_54">'Parameters definition'!#REF!</definedName>
    <definedName name="VoltDropN_55">'Parameters definition'!#REF!</definedName>
    <definedName name="VoltDropN_56">'Parameters definition'!#REF!</definedName>
    <definedName name="VoltDropN_57">'Parameters definition'!#REF!</definedName>
    <definedName name="VoltDropN_58">'Parameters definition'!#REF!</definedName>
    <definedName name="VoltDropN_59">'Parameters definition'!#REF!</definedName>
    <definedName name="VoltDropN_6">'Parameters definition'!#REF!</definedName>
    <definedName name="VoltDropN_60">'Parameters definition'!#REF!</definedName>
    <definedName name="VoltDropN_61">'Parameters definition'!#REF!</definedName>
    <definedName name="VoltDropN_62">'Parameters definition'!#REF!</definedName>
    <definedName name="VoltDropN_63">'Parameters definition'!#REF!</definedName>
    <definedName name="VoltDropN_64">'Parameters definition'!#REF!</definedName>
    <definedName name="VoltDropN_65">'Parameters definition'!#REF!</definedName>
    <definedName name="VoltDropN_66">'Parameters definition'!#REF!</definedName>
    <definedName name="VoltDropN_67">'Parameters definition'!#REF!</definedName>
    <definedName name="VoltDropN_68">'Parameters definition'!#REF!</definedName>
    <definedName name="VoltDropN_69">'Parameters definition'!#REF!</definedName>
    <definedName name="VoltDropN_7">'Parameters definition'!#REF!</definedName>
    <definedName name="VoltDropN_70">'Parameters definition'!#REF!</definedName>
    <definedName name="VoltDropN_71">'Parameters definition'!#REF!</definedName>
    <definedName name="VoltDropN_72">'Parameters definition'!#REF!</definedName>
    <definedName name="VoltDropN_73">'Parameters definition'!#REF!</definedName>
    <definedName name="VoltDropN_74">'Parameters definition'!#REF!</definedName>
    <definedName name="VoltDropN_75">'Parameters definition'!#REF!</definedName>
    <definedName name="VoltDropN_76">'Parameters definition'!#REF!</definedName>
    <definedName name="VoltDropN_77">'Parameters definition'!#REF!</definedName>
    <definedName name="VoltDropN_78">'Parameters definition'!#REF!</definedName>
    <definedName name="VoltDropN_79">'Parameters definition'!#REF!</definedName>
    <definedName name="VoltDropN_8">'Parameters definition'!#REF!</definedName>
    <definedName name="VoltDropN_80">'Parameters definition'!#REF!</definedName>
    <definedName name="VoltDropN_9">'Parameters definition'!#REF!</definedName>
    <definedName name="VoltDropP_0">'Parameters definition'!#REF!</definedName>
    <definedName name="VoltDropP_1">'Parameters definition'!#REF!</definedName>
    <definedName name="VoltDropP_10">'Parameters definition'!#REF!</definedName>
    <definedName name="VoltDropP_11">'Parameters definition'!#REF!</definedName>
    <definedName name="VoltDropP_12">'Parameters definition'!#REF!</definedName>
    <definedName name="VoltDropP_13">'Parameters definition'!#REF!</definedName>
    <definedName name="VoltDropP_14">'Parameters definition'!#REF!</definedName>
    <definedName name="VoltDropP_15">'Parameters definition'!#REF!</definedName>
    <definedName name="VoltDropP_16">'Parameters definition'!#REF!</definedName>
    <definedName name="VoltDropP_17">'Parameters definition'!#REF!</definedName>
    <definedName name="VoltDropP_18">'Parameters definition'!#REF!</definedName>
    <definedName name="VoltDropP_19">'Parameters definition'!#REF!</definedName>
    <definedName name="VoltDropP_2">'Parameters definition'!#REF!</definedName>
    <definedName name="VoltDropP_20">'Parameters definition'!#REF!</definedName>
    <definedName name="VoltDropP_21">'Parameters definition'!#REF!</definedName>
    <definedName name="VoltDropP_22">'Parameters definition'!#REF!</definedName>
    <definedName name="VoltDropP_23">'Parameters definition'!#REF!</definedName>
    <definedName name="VoltDropP_24">'Parameters definition'!#REF!</definedName>
    <definedName name="VoltDropP_25">'Parameters definition'!#REF!</definedName>
    <definedName name="VoltDropP_26">'Parameters definition'!#REF!</definedName>
    <definedName name="VoltDropP_27">'Parameters definition'!#REF!</definedName>
    <definedName name="VoltDropP_28">'Parameters definition'!#REF!</definedName>
    <definedName name="VoltDropP_29">'Parameters definition'!#REF!</definedName>
    <definedName name="VoltDropP_3">'Parameters definition'!#REF!</definedName>
    <definedName name="VoltDropP_30">'Parameters definition'!#REF!</definedName>
    <definedName name="VoltDropP_31">'Parameters definition'!#REF!</definedName>
    <definedName name="VoltDropP_32">'Parameters definition'!#REF!</definedName>
    <definedName name="VoltDropP_33">'Parameters definition'!#REF!</definedName>
    <definedName name="VoltDropP_34">'Parameters definition'!#REF!</definedName>
    <definedName name="VoltDropP_35">'Parameters definition'!#REF!</definedName>
    <definedName name="VoltDropP_36">'Parameters definition'!#REF!</definedName>
    <definedName name="VoltDropP_37">'Parameters definition'!#REF!</definedName>
    <definedName name="VoltDropP_38">'Parameters definition'!#REF!</definedName>
    <definedName name="VoltDropP_39">'Parameters definition'!#REF!</definedName>
    <definedName name="VoltDropP_4">'Parameters definition'!#REF!</definedName>
    <definedName name="VoltDropP_40">'Parameters definition'!#REF!</definedName>
    <definedName name="VoltDropP_41">'Parameters definition'!#REF!</definedName>
    <definedName name="VoltDropP_42">'Parameters definition'!#REF!</definedName>
    <definedName name="VoltDropP_43">'Parameters definition'!#REF!</definedName>
    <definedName name="VoltDropP_44">'Parameters definition'!#REF!</definedName>
    <definedName name="VoltDropP_45">'Parameters definition'!#REF!</definedName>
    <definedName name="VoltDropP_46">'Parameters definition'!#REF!</definedName>
    <definedName name="VoltDropP_47">'Parameters definition'!#REF!</definedName>
    <definedName name="VoltDropP_48">'Parameters definition'!#REF!</definedName>
    <definedName name="VoltDropP_49">'Parameters definition'!#REF!</definedName>
    <definedName name="VoltDropP_5">'Parameters definition'!#REF!</definedName>
    <definedName name="VoltDropP_50">'Parameters definition'!#REF!</definedName>
    <definedName name="VoltDropP_51">'Parameters definition'!#REF!</definedName>
    <definedName name="VoltDropP_52">'Parameters definition'!#REF!</definedName>
    <definedName name="VoltDropP_53">'Parameters definition'!#REF!</definedName>
    <definedName name="VoltDropP_54">'Parameters definition'!#REF!</definedName>
    <definedName name="VoltDropP_55">'Parameters definition'!#REF!</definedName>
    <definedName name="VoltDropP_56">'Parameters definition'!#REF!</definedName>
    <definedName name="VoltDropP_57">'Parameters definition'!#REF!</definedName>
    <definedName name="VoltDropP_58">'Parameters definition'!#REF!</definedName>
    <definedName name="VoltDropP_59">'Parameters definition'!#REF!</definedName>
    <definedName name="VoltDropP_6">'Parameters definition'!#REF!</definedName>
    <definedName name="VoltDropP_60">'Parameters definition'!#REF!</definedName>
    <definedName name="VoltDropP_61">'Parameters definition'!#REF!</definedName>
    <definedName name="VoltDropP_62">'Parameters definition'!#REF!</definedName>
    <definedName name="VoltDropP_63">'Parameters definition'!#REF!</definedName>
    <definedName name="VoltDropP_64">'Parameters definition'!#REF!</definedName>
    <definedName name="VoltDropP_65">'Parameters definition'!#REF!</definedName>
    <definedName name="VoltDropP_66">'Parameters definition'!#REF!</definedName>
    <definedName name="VoltDropP_67">'Parameters definition'!#REF!</definedName>
    <definedName name="VoltDropP_68">'Parameters definition'!#REF!</definedName>
    <definedName name="VoltDropP_69">'Parameters definition'!#REF!</definedName>
    <definedName name="VoltDropP_7">'Parameters definition'!#REF!</definedName>
    <definedName name="VoltDropP_70">'Parameters definition'!#REF!</definedName>
    <definedName name="VoltDropP_71">'Parameters definition'!#REF!</definedName>
    <definedName name="VoltDropP_72">'Parameters definition'!#REF!</definedName>
    <definedName name="VoltDropP_73">'Parameters definition'!#REF!</definedName>
    <definedName name="VoltDropP_74">'Parameters definition'!#REF!</definedName>
    <definedName name="VoltDropP_75">'Parameters definition'!#REF!</definedName>
    <definedName name="VoltDropP_76">'Parameters definition'!#REF!</definedName>
    <definedName name="VoltDropP_77">'Parameters definition'!#REF!</definedName>
    <definedName name="VoltDropP_78">'Parameters definition'!#REF!</definedName>
    <definedName name="VoltDropP_79">'Parameters definition'!#REF!</definedName>
    <definedName name="VoltDropP_8">'Parameters definition'!#REF!</definedName>
    <definedName name="VoltDropP_80">'Parameters definition'!#REF!</definedName>
    <definedName name="VoltDropP_9">'Parameters definition'!#REF!</definedName>
  </definedNames>
  <calcPr calcId="125725"/>
</workbook>
</file>

<file path=xl/calcChain.xml><?xml version="1.0" encoding="utf-8"?>
<calcChain xmlns="http://schemas.openxmlformats.org/spreadsheetml/2006/main">
  <c r="G70" i="7"/>
  <c r="D70"/>
  <c r="G69"/>
  <c r="D69"/>
  <c r="H70" l="1"/>
  <c r="I70" s="1"/>
  <c r="H69"/>
  <c r="I69" s="1"/>
  <c r="G140"/>
  <c r="H140" s="1"/>
  <c r="I140" s="1"/>
  <c r="D140"/>
  <c r="G32"/>
  <c r="D32"/>
  <c r="D68"/>
  <c r="H32" l="1"/>
  <c r="I32" s="1"/>
  <c r="D491" i="19"/>
  <c r="D72" i="12"/>
  <c r="D170" i="18"/>
  <c r="D140" i="14" l="1"/>
  <c r="G61" i="7" l="1"/>
  <c r="G80" l="1"/>
  <c r="D490" i="19"/>
  <c r="D169" i="18" l="1"/>
  <c r="G139" i="14"/>
  <c r="D139"/>
  <c r="H139" l="1"/>
  <c r="I139" s="1"/>
  <c r="C412" i="1" l="1"/>
  <c r="G45" i="13" l="1"/>
  <c r="D46"/>
  <c r="D45"/>
  <c r="H45" l="1"/>
  <c r="I45" s="1"/>
  <c r="A136" i="7"/>
  <c r="D134"/>
  <c r="G133"/>
  <c r="D133"/>
  <c r="D169" i="19"/>
  <c r="D170"/>
  <c r="D171"/>
  <c r="D172"/>
  <c r="D173"/>
  <c r="D174"/>
  <c r="D175"/>
  <c r="D176"/>
  <c r="D177"/>
  <c r="D178"/>
  <c r="D179"/>
  <c r="D180"/>
  <c r="D181"/>
  <c r="D182"/>
  <c r="D183"/>
  <c r="D184"/>
  <c r="D185"/>
  <c r="D186"/>
  <c r="D187"/>
  <c r="D188"/>
  <c r="D189"/>
  <c r="D190"/>
  <c r="D191"/>
  <c r="D192"/>
  <c r="D193"/>
  <c r="D194"/>
  <c r="D195"/>
  <c r="D196"/>
  <c r="D197"/>
  <c r="D198"/>
  <c r="D199"/>
  <c r="D200"/>
  <c r="D201"/>
  <c r="D202"/>
  <c r="D203"/>
  <c r="D204"/>
  <c r="D205"/>
  <c r="D206"/>
  <c r="D207"/>
  <c r="D208"/>
  <c r="D209"/>
  <c r="D210"/>
  <c r="D211"/>
  <c r="D212"/>
  <c r="D213"/>
  <c r="D214"/>
  <c r="D215"/>
  <c r="D216"/>
  <c r="D217"/>
  <c r="D218"/>
  <c r="D219"/>
  <c r="D220"/>
  <c r="D221"/>
  <c r="D222"/>
  <c r="D223"/>
  <c r="D224"/>
  <c r="D225"/>
  <c r="D226"/>
  <c r="D227"/>
  <c r="D228"/>
  <c r="D229"/>
  <c r="D230"/>
  <c r="D231"/>
  <c r="D232"/>
  <c r="D233"/>
  <c r="D234"/>
  <c r="D235"/>
  <c r="D236"/>
  <c r="D237"/>
  <c r="D238"/>
  <c r="D239"/>
  <c r="D240"/>
  <c r="D241"/>
  <c r="D242"/>
  <c r="D243"/>
  <c r="D244"/>
  <c r="D245"/>
  <c r="D246"/>
  <c r="D247"/>
  <c r="D248"/>
  <c r="D249"/>
  <c r="D250"/>
  <c r="D251"/>
  <c r="D252"/>
  <c r="D253"/>
  <c r="D254"/>
  <c r="D255"/>
  <c r="D256"/>
  <c r="D257"/>
  <c r="D258"/>
  <c r="D259"/>
  <c r="D260"/>
  <c r="D261"/>
  <c r="D262"/>
  <c r="D263"/>
  <c r="D264"/>
  <c r="D265"/>
  <c r="D266"/>
  <c r="D267"/>
  <c r="D268"/>
  <c r="D269"/>
  <c r="D270"/>
  <c r="D271"/>
  <c r="D272"/>
  <c r="D273"/>
  <c r="D274"/>
  <c r="D275"/>
  <c r="D276"/>
  <c r="D277"/>
  <c r="D278"/>
  <c r="D279"/>
  <c r="D280"/>
  <c r="D281"/>
  <c r="D282"/>
  <c r="D283"/>
  <c r="D284"/>
  <c r="D285"/>
  <c r="D286"/>
  <c r="D287"/>
  <c r="D288"/>
  <c r="D289"/>
  <c r="D290"/>
  <c r="D291"/>
  <c r="D292"/>
  <c r="D293"/>
  <c r="D294"/>
  <c r="D295"/>
  <c r="D296"/>
  <c r="D297"/>
  <c r="D298"/>
  <c r="D299"/>
  <c r="D300"/>
  <c r="D301"/>
  <c r="D302"/>
  <c r="D303"/>
  <c r="D304"/>
  <c r="D305"/>
  <c r="D306"/>
  <c r="D307"/>
  <c r="D308"/>
  <c r="D309"/>
  <c r="D310"/>
  <c r="D311"/>
  <c r="D312"/>
  <c r="D313"/>
  <c r="D314"/>
  <c r="D315"/>
  <c r="D316"/>
  <c r="D317"/>
  <c r="D318"/>
  <c r="D319"/>
  <c r="D320"/>
  <c r="D321"/>
  <c r="D322"/>
  <c r="D323"/>
  <c r="D324"/>
  <c r="D325"/>
  <c r="D326"/>
  <c r="D327"/>
  <c r="D328"/>
  <c r="D329"/>
  <c r="D330"/>
  <c r="D331"/>
  <c r="D332"/>
  <c r="D333"/>
  <c r="D334"/>
  <c r="D335"/>
  <c r="D336"/>
  <c r="D337"/>
  <c r="D338"/>
  <c r="D339"/>
  <c r="D340"/>
  <c r="D341"/>
  <c r="D342"/>
  <c r="D343"/>
  <c r="D344"/>
  <c r="D345"/>
  <c r="D346"/>
  <c r="D347"/>
  <c r="D348"/>
  <c r="D349"/>
  <c r="D350"/>
  <c r="D351"/>
  <c r="D352"/>
  <c r="D353"/>
  <c r="D354"/>
  <c r="D355"/>
  <c r="D356"/>
  <c r="D357"/>
  <c r="D358"/>
  <c r="D359"/>
  <c r="D360"/>
  <c r="D361"/>
  <c r="D362"/>
  <c r="D363"/>
  <c r="D364"/>
  <c r="D365"/>
  <c r="D366"/>
  <c r="D367"/>
  <c r="D368"/>
  <c r="D369"/>
  <c r="D370"/>
  <c r="D371"/>
  <c r="D372"/>
  <c r="D373"/>
  <c r="D374"/>
  <c r="D375"/>
  <c r="D376"/>
  <c r="D377"/>
  <c r="D378"/>
  <c r="D379"/>
  <c r="D380"/>
  <c r="D381"/>
  <c r="D382"/>
  <c r="D383"/>
  <c r="D384"/>
  <c r="D385"/>
  <c r="D386"/>
  <c r="D387"/>
  <c r="D388"/>
  <c r="D389"/>
  <c r="D390"/>
  <c r="D391"/>
  <c r="D392"/>
  <c r="D393"/>
  <c r="D394"/>
  <c r="D395"/>
  <c r="D396"/>
  <c r="D397"/>
  <c r="D398"/>
  <c r="D399"/>
  <c r="D400"/>
  <c r="D401"/>
  <c r="D402"/>
  <c r="D403"/>
  <c r="D404"/>
  <c r="D405"/>
  <c r="D406"/>
  <c r="D407"/>
  <c r="D408"/>
  <c r="D409"/>
  <c r="D410"/>
  <c r="D411"/>
  <c r="D412"/>
  <c r="D413"/>
  <c r="D414"/>
  <c r="D415"/>
  <c r="D416"/>
  <c r="D417"/>
  <c r="D418"/>
  <c r="D419"/>
  <c r="D420"/>
  <c r="D421"/>
  <c r="D422"/>
  <c r="D423"/>
  <c r="D424"/>
  <c r="D425"/>
  <c r="D426"/>
  <c r="D427"/>
  <c r="D428"/>
  <c r="D429"/>
  <c r="D430"/>
  <c r="D431"/>
  <c r="D432"/>
  <c r="D433"/>
  <c r="D434"/>
  <c r="D435"/>
  <c r="D436"/>
  <c r="D437"/>
  <c r="D438"/>
  <c r="D439"/>
  <c r="D440"/>
  <c r="D441"/>
  <c r="D442"/>
  <c r="D443"/>
  <c r="D444"/>
  <c r="D445"/>
  <c r="D446"/>
  <c r="D447"/>
  <c r="D448"/>
  <c r="D449"/>
  <c r="D450"/>
  <c r="D451"/>
  <c r="D452"/>
  <c r="D453"/>
  <c r="D454"/>
  <c r="D455"/>
  <c r="D456"/>
  <c r="D457"/>
  <c r="D458"/>
  <c r="D459"/>
  <c r="D460"/>
  <c r="D461"/>
  <c r="D462"/>
  <c r="D463"/>
  <c r="D464"/>
  <c r="D465"/>
  <c r="D466"/>
  <c r="D467"/>
  <c r="D468"/>
  <c r="D469"/>
  <c r="D470"/>
  <c r="D471"/>
  <c r="D472"/>
  <c r="D473"/>
  <c r="D474"/>
  <c r="D475"/>
  <c r="D476"/>
  <c r="D477"/>
  <c r="D478"/>
  <c r="D479"/>
  <c r="D480"/>
  <c r="D481"/>
  <c r="D482"/>
  <c r="D483"/>
  <c r="D484"/>
  <c r="D485"/>
  <c r="D486"/>
  <c r="D487"/>
  <c r="D488"/>
  <c r="D489"/>
  <c r="G189"/>
  <c r="H189" s="1"/>
  <c r="I189" s="1"/>
  <c r="G471"/>
  <c r="H471" s="1"/>
  <c r="I471" s="1"/>
  <c r="G474"/>
  <c r="H474" s="1"/>
  <c r="I474" s="1"/>
  <c r="G477"/>
  <c r="H477" s="1"/>
  <c r="I477" s="1"/>
  <c r="G480"/>
  <c r="G483"/>
  <c r="H483" s="1"/>
  <c r="I483" s="1"/>
  <c r="G486"/>
  <c r="H486" s="1"/>
  <c r="I486" s="1"/>
  <c r="G489"/>
  <c r="H489" s="1"/>
  <c r="I489" s="1"/>
  <c r="G468"/>
  <c r="H468" s="1"/>
  <c r="I468" s="1"/>
  <c r="G180"/>
  <c r="H180" s="1"/>
  <c r="I180" s="1"/>
  <c r="G126"/>
  <c r="G99"/>
  <c r="G90"/>
  <c r="G66"/>
  <c r="G153"/>
  <c r="G150"/>
  <c r="G147"/>
  <c r="G144"/>
  <c r="G141"/>
  <c r="G138"/>
  <c r="G135"/>
  <c r="G132"/>
  <c r="G129"/>
  <c r="G123"/>
  <c r="G120"/>
  <c r="G117"/>
  <c r="G114"/>
  <c r="G111"/>
  <c r="G108"/>
  <c r="G105"/>
  <c r="G102"/>
  <c r="G96"/>
  <c r="G93"/>
  <c r="G87"/>
  <c r="G84"/>
  <c r="G81"/>
  <c r="G78"/>
  <c r="G75"/>
  <c r="G72"/>
  <c r="G69"/>
  <c r="G63"/>
  <c r="G60"/>
  <c r="G57"/>
  <c r="G54"/>
  <c r="G51"/>
  <c r="G42"/>
  <c r="G33"/>
  <c r="G465"/>
  <c r="H465" s="1"/>
  <c r="I465" s="1"/>
  <c r="G462"/>
  <c r="H462" s="1"/>
  <c r="I462" s="1"/>
  <c r="G459"/>
  <c r="H459" s="1"/>
  <c r="I459" s="1"/>
  <c r="G456"/>
  <c r="G453"/>
  <c r="H453" s="1"/>
  <c r="I453" s="1"/>
  <c r="G450"/>
  <c r="H450" s="1"/>
  <c r="I450" s="1"/>
  <c r="G447"/>
  <c r="H447" s="1"/>
  <c r="I447" s="1"/>
  <c r="G444"/>
  <c r="H444" s="1"/>
  <c r="I444" s="1"/>
  <c r="G441"/>
  <c r="H441" s="1"/>
  <c r="I441" s="1"/>
  <c r="G438"/>
  <c r="H438" s="1"/>
  <c r="I438" s="1"/>
  <c r="G435"/>
  <c r="H435" s="1"/>
  <c r="I435" s="1"/>
  <c r="G432"/>
  <c r="H432" s="1"/>
  <c r="I432" s="1"/>
  <c r="G429"/>
  <c r="H429" s="1"/>
  <c r="I429" s="1"/>
  <c r="G426"/>
  <c r="H426" s="1"/>
  <c r="I426" s="1"/>
  <c r="G423"/>
  <c r="H423" s="1"/>
  <c r="I423" s="1"/>
  <c r="G420"/>
  <c r="H420" s="1"/>
  <c r="G417"/>
  <c r="H417" s="1"/>
  <c r="I417" s="1"/>
  <c r="G414"/>
  <c r="H414" s="1"/>
  <c r="I414" s="1"/>
  <c r="G411"/>
  <c r="H411" s="1"/>
  <c r="I411" s="1"/>
  <c r="G408"/>
  <c r="G405"/>
  <c r="H405" s="1"/>
  <c r="I405" s="1"/>
  <c r="G402"/>
  <c r="H402" s="1"/>
  <c r="I402" s="1"/>
  <c r="G399"/>
  <c r="H399" s="1"/>
  <c r="I399" s="1"/>
  <c r="G396"/>
  <c r="H396" s="1"/>
  <c r="G393"/>
  <c r="H393" s="1"/>
  <c r="I393" s="1"/>
  <c r="G390"/>
  <c r="H390" s="1"/>
  <c r="I390" s="1"/>
  <c r="G387"/>
  <c r="H387" s="1"/>
  <c r="I387" s="1"/>
  <c r="G384"/>
  <c r="H384" s="1"/>
  <c r="G381"/>
  <c r="H381" s="1"/>
  <c r="I381" s="1"/>
  <c r="G378"/>
  <c r="H378" s="1"/>
  <c r="I378" s="1"/>
  <c r="G375"/>
  <c r="H375" s="1"/>
  <c r="I375" s="1"/>
  <c r="G372"/>
  <c r="G369"/>
  <c r="H369" s="1"/>
  <c r="I369" s="1"/>
  <c r="G366"/>
  <c r="H366" s="1"/>
  <c r="I366" s="1"/>
  <c r="G363"/>
  <c r="H363" s="1"/>
  <c r="I363" s="1"/>
  <c r="G360"/>
  <c r="H360" s="1"/>
  <c r="I360" s="1"/>
  <c r="G357"/>
  <c r="H357" s="1"/>
  <c r="I357" s="1"/>
  <c r="G354"/>
  <c r="H354" s="1"/>
  <c r="I354" s="1"/>
  <c r="G351"/>
  <c r="H351" s="1"/>
  <c r="I351" s="1"/>
  <c r="G348"/>
  <c r="H348" s="1"/>
  <c r="I348" s="1"/>
  <c r="G345"/>
  <c r="H345" s="1"/>
  <c r="I345" s="1"/>
  <c r="G342"/>
  <c r="H342" s="1"/>
  <c r="I342" s="1"/>
  <c r="G339"/>
  <c r="H339" s="1"/>
  <c r="I339" s="1"/>
  <c r="G336"/>
  <c r="G333"/>
  <c r="H333" s="1"/>
  <c r="I333" s="1"/>
  <c r="G330"/>
  <c r="H330" s="1"/>
  <c r="I330" s="1"/>
  <c r="G327"/>
  <c r="H327" s="1"/>
  <c r="I327" s="1"/>
  <c r="G324"/>
  <c r="H324" s="1"/>
  <c r="G321"/>
  <c r="H321" s="1"/>
  <c r="I321" s="1"/>
  <c r="G318"/>
  <c r="H318" s="1"/>
  <c r="I318" s="1"/>
  <c r="G315"/>
  <c r="H315" s="1"/>
  <c r="I315" s="1"/>
  <c r="G312"/>
  <c r="G309"/>
  <c r="H309" s="1"/>
  <c r="I309" s="1"/>
  <c r="G306"/>
  <c r="H306" s="1"/>
  <c r="I306" s="1"/>
  <c r="G303"/>
  <c r="H303" s="1"/>
  <c r="I303" s="1"/>
  <c r="G300"/>
  <c r="H300" s="1"/>
  <c r="G297"/>
  <c r="H297" s="1"/>
  <c r="I297" s="1"/>
  <c r="G294"/>
  <c r="H294" s="1"/>
  <c r="I294" s="1"/>
  <c r="G291"/>
  <c r="H291" s="1"/>
  <c r="I291" s="1"/>
  <c r="G288"/>
  <c r="G285"/>
  <c r="H285" s="1"/>
  <c r="I285" s="1"/>
  <c r="G282"/>
  <c r="H282" s="1"/>
  <c r="I282" s="1"/>
  <c r="G279"/>
  <c r="H279" s="1"/>
  <c r="I279" s="1"/>
  <c r="G276"/>
  <c r="H276" s="1"/>
  <c r="G273"/>
  <c r="H273" s="1"/>
  <c r="I273" s="1"/>
  <c r="G270"/>
  <c r="H270" s="1"/>
  <c r="I270" s="1"/>
  <c r="G267"/>
  <c r="H267" s="1"/>
  <c r="I267" s="1"/>
  <c r="G264"/>
  <c r="H264" s="1"/>
  <c r="I264" s="1"/>
  <c r="G261"/>
  <c r="H261" s="1"/>
  <c r="I261" s="1"/>
  <c r="G258"/>
  <c r="H258" s="1"/>
  <c r="I258" s="1"/>
  <c r="G255"/>
  <c r="H255" s="1"/>
  <c r="I255" s="1"/>
  <c r="G252"/>
  <c r="G249"/>
  <c r="H249" s="1"/>
  <c r="I249" s="1"/>
  <c r="G246"/>
  <c r="H246" s="1"/>
  <c r="I246" s="1"/>
  <c r="G243"/>
  <c r="H243" s="1"/>
  <c r="I243" s="1"/>
  <c r="G240"/>
  <c r="H240" s="1"/>
  <c r="I240" s="1"/>
  <c r="G237"/>
  <c r="H237" s="1"/>
  <c r="I237" s="1"/>
  <c r="G234"/>
  <c r="H234" s="1"/>
  <c r="I234" s="1"/>
  <c r="G231"/>
  <c r="H231" s="1"/>
  <c r="I231" s="1"/>
  <c r="G228"/>
  <c r="H228" s="1"/>
  <c r="G225"/>
  <c r="H225" s="1"/>
  <c r="I225" s="1"/>
  <c r="G222"/>
  <c r="H222" s="1"/>
  <c r="I222" s="1"/>
  <c r="G219"/>
  <c r="H219" s="1"/>
  <c r="I219" s="1"/>
  <c r="G216"/>
  <c r="H216" s="1"/>
  <c r="I216" s="1"/>
  <c r="G213"/>
  <c r="H213" s="1"/>
  <c r="I213" s="1"/>
  <c r="G210"/>
  <c r="H210" s="1"/>
  <c r="G207"/>
  <c r="H207" s="1"/>
  <c r="I207" s="1"/>
  <c r="G204"/>
  <c r="H204" s="1"/>
  <c r="G201"/>
  <c r="H201" s="1"/>
  <c r="I201" s="1"/>
  <c r="G198"/>
  <c r="H198" s="1"/>
  <c r="G195"/>
  <c r="H195" s="1"/>
  <c r="I195" s="1"/>
  <c r="G192"/>
  <c r="G186"/>
  <c r="H186" s="1"/>
  <c r="I186" s="1"/>
  <c r="G183"/>
  <c r="H183" s="1"/>
  <c r="I183" s="1"/>
  <c r="G177"/>
  <c r="H177" s="1"/>
  <c r="I177" s="1"/>
  <c r="G174"/>
  <c r="H174" s="1"/>
  <c r="G171"/>
  <c r="H171" s="1"/>
  <c r="I171" s="1"/>
  <c r="G168"/>
  <c r="G165"/>
  <c r="G162"/>
  <c r="G159"/>
  <c r="G156"/>
  <c r="G48"/>
  <c r="G45"/>
  <c r="G39"/>
  <c r="G36"/>
  <c r="G30"/>
  <c r="G27"/>
  <c r="G24"/>
  <c r="G21"/>
  <c r="G18"/>
  <c r="G15"/>
  <c r="G12"/>
  <c r="G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H6"/>
  <c r="D39" i="18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D161"/>
  <c r="D162"/>
  <c r="D163"/>
  <c r="D164"/>
  <c r="D165"/>
  <c r="D166"/>
  <c r="D167"/>
  <c r="D168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D13"/>
  <c r="D12"/>
  <c r="D11"/>
  <c r="D10"/>
  <c r="D9"/>
  <c r="D8"/>
  <c r="D7"/>
  <c r="H6"/>
  <c r="A160" i="7"/>
  <c r="H133"/>
  <c r="I133" l="1"/>
  <c r="I228" i="19"/>
  <c r="I210"/>
  <c r="I324"/>
  <c r="H456"/>
  <c r="I456" s="1"/>
  <c r="H480"/>
  <c r="I480" s="1"/>
  <c r="I420"/>
  <c r="H408"/>
  <c r="I408" s="1"/>
  <c r="I396"/>
  <c r="I384"/>
  <c r="H372"/>
  <c r="I372" s="1"/>
  <c r="H336"/>
  <c r="I336" s="1"/>
  <c r="H312"/>
  <c r="I312" s="1"/>
  <c r="I300"/>
  <c r="H288"/>
  <c r="I288" s="1"/>
  <c r="I276"/>
  <c r="H252"/>
  <c r="I252" s="1"/>
  <c r="I204"/>
  <c r="I198"/>
  <c r="I174"/>
  <c r="H192"/>
  <c r="I192" s="1"/>
  <c r="D3"/>
  <c r="D3" i="18"/>
  <c r="D130" i="7"/>
  <c r="C406" i="1"/>
  <c r="C367"/>
  <c r="C368"/>
  <c r="C33"/>
  <c r="G490" i="19" s="1"/>
  <c r="H490" s="1"/>
  <c r="I490" s="1"/>
  <c r="G67" i="7"/>
  <c r="H67" s="1"/>
  <c r="G66"/>
  <c r="G62"/>
  <c r="H61"/>
  <c r="H71"/>
  <c r="I71"/>
  <c r="A71" s="1"/>
  <c r="G60"/>
  <c r="H60" s="1"/>
  <c r="I60" s="1"/>
  <c r="D61"/>
  <c r="D60"/>
  <c r="G58"/>
  <c r="A72"/>
  <c r="D67"/>
  <c r="D66"/>
  <c r="D65"/>
  <c r="D62"/>
  <c r="D58"/>
  <c r="D57"/>
  <c r="A10"/>
  <c r="A27"/>
  <c r="A28"/>
  <c r="A52"/>
  <c r="A82"/>
  <c r="A88"/>
  <c r="A120"/>
  <c r="A126"/>
  <c r="I159"/>
  <c r="A159" s="1"/>
  <c r="H157"/>
  <c r="H158"/>
  <c r="H159"/>
  <c r="G160"/>
  <c r="H6" i="14" s="1"/>
  <c r="D161" i="7"/>
  <c r="D162"/>
  <c r="G436" i="19" l="1"/>
  <c r="H436" s="1"/>
  <c r="I436" s="1"/>
  <c r="G421"/>
  <c r="H421" s="1"/>
  <c r="I421" s="1"/>
  <c r="G469"/>
  <c r="H469" s="1"/>
  <c r="I469" s="1"/>
  <c r="G481"/>
  <c r="H481" s="1"/>
  <c r="I481" s="1"/>
  <c r="G415"/>
  <c r="H415" s="1"/>
  <c r="I415" s="1"/>
  <c r="G400"/>
  <c r="G391"/>
  <c r="H391" s="1"/>
  <c r="I391" s="1"/>
  <c r="G358"/>
  <c r="H358" s="1"/>
  <c r="I358" s="1"/>
  <c r="G346"/>
  <c r="H346" s="1"/>
  <c r="I346" s="1"/>
  <c r="G310"/>
  <c r="H310" s="1"/>
  <c r="I310" s="1"/>
  <c r="G340"/>
  <c r="H340" s="1"/>
  <c r="I340" s="1"/>
  <c r="G328"/>
  <c r="G298"/>
  <c r="H298" s="1"/>
  <c r="I298" s="1"/>
  <c r="G274"/>
  <c r="H274" s="1"/>
  <c r="I274" s="1"/>
  <c r="G250"/>
  <c r="H250" s="1"/>
  <c r="I250" s="1"/>
  <c r="G226"/>
  <c r="H226" s="1"/>
  <c r="I226" s="1"/>
  <c r="G214"/>
  <c r="H214" s="1"/>
  <c r="I214" s="1"/>
  <c r="G202"/>
  <c r="G181"/>
  <c r="H181" s="1"/>
  <c r="I181" s="1"/>
  <c r="G454"/>
  <c r="H454" s="1"/>
  <c r="I454" s="1"/>
  <c r="G445"/>
  <c r="H445" s="1"/>
  <c r="I445" s="1"/>
  <c r="G433"/>
  <c r="H433" s="1"/>
  <c r="I433" s="1"/>
  <c r="G463"/>
  <c r="H463" s="1"/>
  <c r="I463" s="1"/>
  <c r="G478"/>
  <c r="H478" s="1"/>
  <c r="I478" s="1"/>
  <c r="G487"/>
  <c r="H487" s="1"/>
  <c r="I487" s="1"/>
  <c r="G412"/>
  <c r="H412" s="1"/>
  <c r="I412" s="1"/>
  <c r="G409"/>
  <c r="H409" s="1"/>
  <c r="I409" s="1"/>
  <c r="G388"/>
  <c r="G382"/>
  <c r="H382" s="1"/>
  <c r="I382" s="1"/>
  <c r="G370"/>
  <c r="H370" s="1"/>
  <c r="I370" s="1"/>
  <c r="G367"/>
  <c r="H367" s="1"/>
  <c r="I367" s="1"/>
  <c r="G355"/>
  <c r="H355" s="1"/>
  <c r="I355" s="1"/>
  <c r="G343"/>
  <c r="H343" s="1"/>
  <c r="I343" s="1"/>
  <c r="G337"/>
  <c r="H337" s="1"/>
  <c r="I337" s="1"/>
  <c r="G307"/>
  <c r="H307" s="1"/>
  <c r="I307" s="1"/>
  <c r="G331"/>
  <c r="H331" s="1"/>
  <c r="I331" s="1"/>
  <c r="G319"/>
  <c r="H319" s="1"/>
  <c r="I319" s="1"/>
  <c r="G295"/>
  <c r="H295" s="1"/>
  <c r="I295" s="1"/>
  <c r="G277"/>
  <c r="H277" s="1"/>
  <c r="I277" s="1"/>
  <c r="G271"/>
  <c r="H271" s="1"/>
  <c r="I271" s="1"/>
  <c r="G268"/>
  <c r="G259"/>
  <c r="H259" s="1"/>
  <c r="I259" s="1"/>
  <c r="G241"/>
  <c r="H241" s="1"/>
  <c r="I241" s="1"/>
  <c r="G223"/>
  <c r="H223" s="1"/>
  <c r="I223" s="1"/>
  <c r="G211"/>
  <c r="H211" s="1"/>
  <c r="I211" s="1"/>
  <c r="G193"/>
  <c r="H193" s="1"/>
  <c r="I193" s="1"/>
  <c r="G457"/>
  <c r="H457" s="1"/>
  <c r="I457" s="1"/>
  <c r="G448"/>
  <c r="G439"/>
  <c r="H439" s="1"/>
  <c r="I439" s="1"/>
  <c r="G475"/>
  <c r="H475" s="1"/>
  <c r="I475" s="1"/>
  <c r="G472"/>
  <c r="H472" s="1"/>
  <c r="I472" s="1"/>
  <c r="G460"/>
  <c r="H460" s="1"/>
  <c r="I460" s="1"/>
  <c r="G361"/>
  <c r="H361" s="1"/>
  <c r="I361" s="1"/>
  <c r="G313"/>
  <c r="H313" s="1"/>
  <c r="I313" s="1"/>
  <c r="G247"/>
  <c r="H247" s="1"/>
  <c r="I247" s="1"/>
  <c r="G217"/>
  <c r="H217" s="1"/>
  <c r="I217" s="1"/>
  <c r="G196"/>
  <c r="H196" s="1"/>
  <c r="I196" s="1"/>
  <c r="G163"/>
  <c r="G151"/>
  <c r="G148"/>
  <c r="G124"/>
  <c r="G130"/>
  <c r="G115"/>
  <c r="G97"/>
  <c r="G91"/>
  <c r="G451"/>
  <c r="H451" s="1"/>
  <c r="I451" s="1"/>
  <c r="G442"/>
  <c r="H442" s="1"/>
  <c r="I442" s="1"/>
  <c r="G424"/>
  <c r="H424" s="1"/>
  <c r="I424" s="1"/>
  <c r="G394"/>
  <c r="H394" s="1"/>
  <c r="I394" s="1"/>
  <c r="G379"/>
  <c r="H379" s="1"/>
  <c r="I379" s="1"/>
  <c r="G364"/>
  <c r="H364" s="1"/>
  <c r="I364" s="1"/>
  <c r="G283"/>
  <c r="H283" s="1"/>
  <c r="I283" s="1"/>
  <c r="G238"/>
  <c r="H238" s="1"/>
  <c r="I238" s="1"/>
  <c r="G220"/>
  <c r="H220" s="1"/>
  <c r="I220" s="1"/>
  <c r="G187"/>
  <c r="H187" s="1"/>
  <c r="I187" s="1"/>
  <c r="G190"/>
  <c r="G172"/>
  <c r="H172" s="1"/>
  <c r="I172" s="1"/>
  <c r="G175"/>
  <c r="H175" s="1"/>
  <c r="I175" s="1"/>
  <c r="G160"/>
  <c r="G142"/>
  <c r="G136"/>
  <c r="G127"/>
  <c r="G112"/>
  <c r="G106"/>
  <c r="G88"/>
  <c r="G430"/>
  <c r="H430" s="1"/>
  <c r="I430" s="1"/>
  <c r="G418"/>
  <c r="H418" s="1"/>
  <c r="I418" s="1"/>
  <c r="G397"/>
  <c r="H397" s="1"/>
  <c r="I397" s="1"/>
  <c r="G352"/>
  <c r="H352" s="1"/>
  <c r="I352" s="1"/>
  <c r="G304"/>
  <c r="H304" s="1"/>
  <c r="I304" s="1"/>
  <c r="G286"/>
  <c r="H286" s="1"/>
  <c r="I286" s="1"/>
  <c r="G256"/>
  <c r="H256" s="1"/>
  <c r="I256" s="1"/>
  <c r="G232"/>
  <c r="H232" s="1"/>
  <c r="I232" s="1"/>
  <c r="G208"/>
  <c r="H208" s="1"/>
  <c r="I208" s="1"/>
  <c r="G154"/>
  <c r="G133"/>
  <c r="G94"/>
  <c r="G100"/>
  <c r="G85"/>
  <c r="G70"/>
  <c r="G64"/>
  <c r="G52"/>
  <c r="G34"/>
  <c r="G427"/>
  <c r="H427" s="1"/>
  <c r="I427" s="1"/>
  <c r="G349"/>
  <c r="H349" s="1"/>
  <c r="I349" s="1"/>
  <c r="G301"/>
  <c r="H301" s="1"/>
  <c r="I301" s="1"/>
  <c r="G280"/>
  <c r="G262"/>
  <c r="H262" s="1"/>
  <c r="I262" s="1"/>
  <c r="G253"/>
  <c r="H253" s="1"/>
  <c r="I253" s="1"/>
  <c r="G244"/>
  <c r="G205"/>
  <c r="H205" s="1"/>
  <c r="I205" s="1"/>
  <c r="G169"/>
  <c r="H169" s="1"/>
  <c r="I169" s="1"/>
  <c r="G121"/>
  <c r="G79"/>
  <c r="G73"/>
  <c r="G67"/>
  <c r="G58"/>
  <c r="G46"/>
  <c r="G55"/>
  <c r="G31"/>
  <c r="G28"/>
  <c r="G16"/>
  <c r="G7"/>
  <c r="G376"/>
  <c r="H376" s="1"/>
  <c r="I376" s="1"/>
  <c r="G322"/>
  <c r="H322" s="1"/>
  <c r="I322" s="1"/>
  <c r="G334"/>
  <c r="H334" s="1"/>
  <c r="I334" s="1"/>
  <c r="G289"/>
  <c r="H289" s="1"/>
  <c r="I289" s="1"/>
  <c r="G265"/>
  <c r="H265" s="1"/>
  <c r="I265" s="1"/>
  <c r="G235"/>
  <c r="H235" s="1"/>
  <c r="I235" s="1"/>
  <c r="G118"/>
  <c r="G49"/>
  <c r="G40"/>
  <c r="G25"/>
  <c r="G466"/>
  <c r="G484"/>
  <c r="H484" s="1"/>
  <c r="I484" s="1"/>
  <c r="G403"/>
  <c r="H403" s="1"/>
  <c r="I403" s="1"/>
  <c r="G385"/>
  <c r="H385" s="1"/>
  <c r="I385" s="1"/>
  <c r="G373"/>
  <c r="H373" s="1"/>
  <c r="I373" s="1"/>
  <c r="G316"/>
  <c r="H316" s="1"/>
  <c r="I316" s="1"/>
  <c r="G325"/>
  <c r="H325" s="1"/>
  <c r="I325" s="1"/>
  <c r="G292"/>
  <c r="H292" s="1"/>
  <c r="I292" s="1"/>
  <c r="G229"/>
  <c r="H229" s="1"/>
  <c r="I229" s="1"/>
  <c r="G157"/>
  <c r="G139"/>
  <c r="G109"/>
  <c r="G103"/>
  <c r="G76"/>
  <c r="G61"/>
  <c r="G43"/>
  <c r="G37"/>
  <c r="G19"/>
  <c r="G13"/>
  <c r="G406"/>
  <c r="H406" s="1"/>
  <c r="I406" s="1"/>
  <c r="G199"/>
  <c r="H199" s="1"/>
  <c r="I199" s="1"/>
  <c r="G184"/>
  <c r="H184" s="1"/>
  <c r="I184" s="1"/>
  <c r="G178"/>
  <c r="G166"/>
  <c r="G145"/>
  <c r="G82"/>
  <c r="G22"/>
  <c r="G10"/>
  <c r="C363" i="1"/>
  <c r="G118" i="18"/>
  <c r="H118" s="1"/>
  <c r="I118" s="1"/>
  <c r="G110"/>
  <c r="H110" s="1"/>
  <c r="I110" s="1"/>
  <c r="G102"/>
  <c r="H102" s="1"/>
  <c r="I102" s="1"/>
  <c r="G98"/>
  <c r="H98" s="1"/>
  <c r="I98" s="1"/>
  <c r="G68"/>
  <c r="H68" s="1"/>
  <c r="I68" s="1"/>
  <c r="G60"/>
  <c r="H60" s="1"/>
  <c r="I60" s="1"/>
  <c r="G36"/>
  <c r="G32"/>
  <c r="G28"/>
  <c r="G24"/>
  <c r="G10"/>
  <c r="G16"/>
  <c r="G162"/>
  <c r="H162" s="1"/>
  <c r="I162" s="1"/>
  <c r="G156"/>
  <c r="H156" s="1"/>
  <c r="I156" s="1"/>
  <c r="G146"/>
  <c r="H146" s="1"/>
  <c r="I146" s="1"/>
  <c r="G140"/>
  <c r="H140" s="1"/>
  <c r="I140" s="1"/>
  <c r="G130"/>
  <c r="H130" s="1"/>
  <c r="I130" s="1"/>
  <c r="G124"/>
  <c r="H124" s="1"/>
  <c r="I124" s="1"/>
  <c r="G116"/>
  <c r="H116" s="1"/>
  <c r="I116" s="1"/>
  <c r="G106"/>
  <c r="H106" s="1"/>
  <c r="I106" s="1"/>
  <c r="G90"/>
  <c r="H90" s="1"/>
  <c r="I90" s="1"/>
  <c r="G82"/>
  <c r="H82" s="1"/>
  <c r="I82" s="1"/>
  <c r="G72"/>
  <c r="H72" s="1"/>
  <c r="I72" s="1"/>
  <c r="G66"/>
  <c r="H66" s="1"/>
  <c r="I66" s="1"/>
  <c r="G56"/>
  <c r="H56" s="1"/>
  <c r="I56" s="1"/>
  <c r="G42"/>
  <c r="H42" s="1"/>
  <c r="I42" s="1"/>
  <c r="G30"/>
  <c r="G14"/>
  <c r="G18"/>
  <c r="G164"/>
  <c r="H164" s="1"/>
  <c r="I164" s="1"/>
  <c r="G158"/>
  <c r="H158" s="1"/>
  <c r="I158" s="1"/>
  <c r="G152"/>
  <c r="H152" s="1"/>
  <c r="I152" s="1"/>
  <c r="G142"/>
  <c r="H142" s="1"/>
  <c r="I142" s="1"/>
  <c r="G136"/>
  <c r="H136" s="1"/>
  <c r="I136" s="1"/>
  <c r="G126"/>
  <c r="H126" s="1"/>
  <c r="I126" s="1"/>
  <c r="G120"/>
  <c r="H120" s="1"/>
  <c r="I120" s="1"/>
  <c r="G108"/>
  <c r="H108" s="1"/>
  <c r="I108" s="1"/>
  <c r="G100"/>
  <c r="H100" s="1"/>
  <c r="I100" s="1"/>
  <c r="G96"/>
  <c r="H96" s="1"/>
  <c r="I96" s="1"/>
  <c r="G84"/>
  <c r="H84" s="1"/>
  <c r="I84" s="1"/>
  <c r="G80"/>
  <c r="H80" s="1"/>
  <c r="I80" s="1"/>
  <c r="G74"/>
  <c r="H74" s="1"/>
  <c r="I74" s="1"/>
  <c r="G70"/>
  <c r="H70" s="1"/>
  <c r="I70" s="1"/>
  <c r="G58"/>
  <c r="H58" s="1"/>
  <c r="I58" s="1"/>
  <c r="G50"/>
  <c r="H50" s="1"/>
  <c r="I50" s="1"/>
  <c r="G48"/>
  <c r="H48" s="1"/>
  <c r="I48" s="1"/>
  <c r="G26"/>
  <c r="G22"/>
  <c r="G20"/>
  <c r="G166"/>
  <c r="H166" s="1"/>
  <c r="I166" s="1"/>
  <c r="G154"/>
  <c r="H154" s="1"/>
  <c r="I154" s="1"/>
  <c r="G148"/>
  <c r="H148" s="1"/>
  <c r="I148" s="1"/>
  <c r="G138"/>
  <c r="H138" s="1"/>
  <c r="I138" s="1"/>
  <c r="G132"/>
  <c r="H132" s="1"/>
  <c r="I132" s="1"/>
  <c r="G122"/>
  <c r="H122" s="1"/>
  <c r="I122" s="1"/>
  <c r="G112"/>
  <c r="H112" s="1"/>
  <c r="I112" s="1"/>
  <c r="G92"/>
  <c r="H92" s="1"/>
  <c r="I92" s="1"/>
  <c r="G86"/>
  <c r="H86" s="1"/>
  <c r="I86" s="1"/>
  <c r="G76"/>
  <c r="H76" s="1"/>
  <c r="I76" s="1"/>
  <c r="G62"/>
  <c r="H62" s="1"/>
  <c r="I62" s="1"/>
  <c r="G52"/>
  <c r="H52" s="1"/>
  <c r="I52" s="1"/>
  <c r="G44"/>
  <c r="H44" s="1"/>
  <c r="I44" s="1"/>
  <c r="G38"/>
  <c r="G168"/>
  <c r="H168" s="1"/>
  <c r="I168" s="1"/>
  <c r="G144"/>
  <c r="H144" s="1"/>
  <c r="I144" s="1"/>
  <c r="G104"/>
  <c r="H104" s="1"/>
  <c r="I104" s="1"/>
  <c r="G88"/>
  <c r="H88" s="1"/>
  <c r="I88" s="1"/>
  <c r="G64"/>
  <c r="H64" s="1"/>
  <c r="I64" s="1"/>
  <c r="G46"/>
  <c r="H46" s="1"/>
  <c r="I46" s="1"/>
  <c r="G150"/>
  <c r="H150" s="1"/>
  <c r="I150" s="1"/>
  <c r="G128"/>
  <c r="H128" s="1"/>
  <c r="I128" s="1"/>
  <c r="G114"/>
  <c r="H114" s="1"/>
  <c r="I114" s="1"/>
  <c r="G94"/>
  <c r="H94" s="1"/>
  <c r="I94" s="1"/>
  <c r="G78"/>
  <c r="H78" s="1"/>
  <c r="I78" s="1"/>
  <c r="G8"/>
  <c r="G134"/>
  <c r="H134" s="1"/>
  <c r="I134" s="1"/>
  <c r="G34"/>
  <c r="G12"/>
  <c r="G54"/>
  <c r="H54" s="1"/>
  <c r="I54" s="1"/>
  <c r="G160"/>
  <c r="H160" s="1"/>
  <c r="I160" s="1"/>
  <c r="G40"/>
  <c r="H40" s="1"/>
  <c r="I40" s="1"/>
  <c r="G130" i="7"/>
  <c r="C177" i="1"/>
  <c r="I67" i="7"/>
  <c r="H66"/>
  <c r="I66" s="1"/>
  <c r="H62"/>
  <c r="I62" s="1"/>
  <c r="I61"/>
  <c r="H58"/>
  <c r="I58" s="1"/>
  <c r="H178" i="19" l="1"/>
  <c r="I178" s="1"/>
  <c r="H190"/>
  <c r="I190" s="1"/>
  <c r="H448"/>
  <c r="I448" s="1"/>
  <c r="H388"/>
  <c r="I388" s="1"/>
  <c r="H328"/>
  <c r="I328" s="1"/>
  <c r="H280"/>
  <c r="I280" s="1"/>
  <c r="H466"/>
  <c r="I466" s="1"/>
  <c r="H244"/>
  <c r="I244" s="1"/>
  <c r="H202"/>
  <c r="I202" s="1"/>
  <c r="H400"/>
  <c r="I400" s="1"/>
  <c r="H268"/>
  <c r="I268" s="1"/>
  <c r="H30"/>
  <c r="I30" s="1"/>
  <c r="H46"/>
  <c r="I46" s="1"/>
  <c r="H78"/>
  <c r="I78" s="1"/>
  <c r="H94"/>
  <c r="I94" s="1"/>
  <c r="H126"/>
  <c r="I126" s="1"/>
  <c r="H142"/>
  <c r="I142" s="1"/>
  <c r="H12"/>
  <c r="I12" s="1"/>
  <c r="H28"/>
  <c r="I28" s="1"/>
  <c r="H60"/>
  <c r="I60" s="1"/>
  <c r="H76"/>
  <c r="I76" s="1"/>
  <c r="H108"/>
  <c r="I108" s="1"/>
  <c r="H124"/>
  <c r="I124" s="1"/>
  <c r="H156"/>
  <c r="I156" s="1"/>
  <c r="H10"/>
  <c r="I10" s="1"/>
  <c r="H42"/>
  <c r="I42" s="1"/>
  <c r="H58"/>
  <c r="I58" s="1"/>
  <c r="H90"/>
  <c r="I90" s="1"/>
  <c r="H106"/>
  <c r="I106" s="1"/>
  <c r="H138"/>
  <c r="I138" s="1"/>
  <c r="H154"/>
  <c r="I154" s="1"/>
  <c r="H24"/>
  <c r="I24" s="1"/>
  <c r="H40"/>
  <c r="I40" s="1"/>
  <c r="H72"/>
  <c r="I72" s="1"/>
  <c r="H88"/>
  <c r="I88" s="1"/>
  <c r="H120"/>
  <c r="I120" s="1"/>
  <c r="H136"/>
  <c r="I136" s="1"/>
  <c r="H168"/>
  <c r="I168" s="1"/>
  <c r="H22"/>
  <c r="I22" s="1"/>
  <c r="H54"/>
  <c r="I54" s="1"/>
  <c r="H70"/>
  <c r="I70" s="1"/>
  <c r="H102"/>
  <c r="I102" s="1"/>
  <c r="H118"/>
  <c r="I118" s="1"/>
  <c r="H150"/>
  <c r="I150" s="1"/>
  <c r="H166"/>
  <c r="I166" s="1"/>
  <c r="H36"/>
  <c r="I36" s="1"/>
  <c r="H52"/>
  <c r="I52" s="1"/>
  <c r="H84"/>
  <c r="I84" s="1"/>
  <c r="H100"/>
  <c r="I100" s="1"/>
  <c r="H132"/>
  <c r="I132" s="1"/>
  <c r="H148"/>
  <c r="I148" s="1"/>
  <c r="H18"/>
  <c r="I18" s="1"/>
  <c r="H34"/>
  <c r="I34" s="1"/>
  <c r="H66"/>
  <c r="I66" s="1"/>
  <c r="H82"/>
  <c r="I82" s="1"/>
  <c r="H114"/>
  <c r="I114" s="1"/>
  <c r="H130"/>
  <c r="I130" s="1"/>
  <c r="H162"/>
  <c r="I162" s="1"/>
  <c r="H16"/>
  <c r="I16" s="1"/>
  <c r="H48"/>
  <c r="I48" s="1"/>
  <c r="H64"/>
  <c r="I64" s="1"/>
  <c r="H96"/>
  <c r="I96" s="1"/>
  <c r="H112"/>
  <c r="I112" s="1"/>
  <c r="H144"/>
  <c r="I144" s="1"/>
  <c r="H160"/>
  <c r="I160" s="1"/>
  <c r="G33" i="12"/>
  <c r="G31"/>
  <c r="G27"/>
  <c r="G23"/>
  <c r="G21"/>
  <c r="G13"/>
  <c r="G17"/>
  <c r="G9"/>
  <c r="G92" i="7"/>
  <c r="G90"/>
  <c r="G59"/>
  <c r="G54"/>
  <c r="G7"/>
  <c r="C27" i="1"/>
  <c r="G118" i="7"/>
  <c r="H118" s="1"/>
  <c r="I118" s="1"/>
  <c r="H130"/>
  <c r="G29" l="1"/>
  <c r="C378" i="1"/>
  <c r="G137" i="7"/>
  <c r="I130"/>
  <c r="H59"/>
  <c r="I59" s="1"/>
  <c r="H54"/>
  <c r="I54" s="1"/>
  <c r="D118"/>
  <c r="G79"/>
  <c r="H79" s="1"/>
  <c r="I79" s="1"/>
  <c r="G78"/>
  <c r="D7" i="14"/>
  <c r="D8"/>
  <c r="D9"/>
  <c r="D10"/>
  <c r="D11"/>
  <c r="G77" i="7"/>
  <c r="D80"/>
  <c r="D79"/>
  <c r="D78"/>
  <c r="D77"/>
  <c r="D64"/>
  <c r="H80" l="1"/>
  <c r="I80" s="1"/>
  <c r="H78"/>
  <c r="I78" s="1"/>
  <c r="H77"/>
  <c r="I77" s="1"/>
  <c r="A39" i="12" l="1"/>
  <c r="A89"/>
  <c r="A90"/>
  <c r="A91"/>
  <c r="G138" i="14" l="1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H55" s="1"/>
  <c r="I55" s="1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7"/>
  <c r="G8"/>
  <c r="D55"/>
  <c r="D37"/>
  <c r="G107" i="7"/>
  <c r="H37" i="14" l="1"/>
  <c r="I37" s="1"/>
  <c r="H11"/>
  <c r="I11" s="1"/>
  <c r="D46" i="12" l="1"/>
  <c r="G46"/>
  <c r="D15"/>
  <c r="G15"/>
  <c r="H15" s="1"/>
  <c r="I15" s="1"/>
  <c r="H46" l="1"/>
  <c r="I46" s="1"/>
  <c r="G38" i="7" l="1"/>
  <c r="G44"/>
  <c r="G50"/>
  <c r="G84"/>
  <c r="G14"/>
  <c r="G8"/>
  <c r="G20"/>
  <c r="G23"/>
  <c r="G28"/>
  <c r="G52"/>
  <c r="G72"/>
  <c r="G75"/>
  <c r="G76"/>
  <c r="H135"/>
  <c r="I135" l="1"/>
  <c r="A135" s="1"/>
  <c r="H138"/>
  <c r="I138" l="1"/>
  <c r="H139"/>
  <c r="I139" l="1"/>
  <c r="H145"/>
  <c r="I145" l="1"/>
  <c r="H146"/>
  <c r="I146" l="1"/>
  <c r="H147"/>
  <c r="I147" l="1"/>
  <c r="H148"/>
  <c r="I148" l="1"/>
  <c r="H149"/>
  <c r="I149" l="1"/>
  <c r="H150"/>
  <c r="I150" s="1"/>
  <c r="H151"/>
  <c r="I151" s="1"/>
  <c r="H152"/>
  <c r="I152" s="1"/>
  <c r="H153"/>
  <c r="I153" s="1"/>
  <c r="H154"/>
  <c r="I154" s="1"/>
  <c r="H155"/>
  <c r="I155" s="1"/>
  <c r="H156"/>
  <c r="I156" s="1"/>
  <c r="I157"/>
  <c r="I158"/>
  <c r="D158"/>
  <c r="D157"/>
  <c r="D156"/>
  <c r="D155"/>
  <c r="D154"/>
  <c r="D153"/>
  <c r="D152"/>
  <c r="D151"/>
  <c r="D150"/>
  <c r="D149"/>
  <c r="D148"/>
  <c r="D147"/>
  <c r="D146"/>
  <c r="D145"/>
  <c r="D139"/>
  <c r="D138"/>
  <c r="D137"/>
  <c r="H113"/>
  <c r="I113"/>
  <c r="A113" s="1"/>
  <c r="H12" l="1"/>
  <c r="I12" s="1"/>
  <c r="D12"/>
  <c r="D123"/>
  <c r="D124"/>
  <c r="I81"/>
  <c r="A81" s="1"/>
  <c r="H81"/>
  <c r="H143" i="14"/>
  <c r="I143"/>
  <c r="H144"/>
  <c r="I144"/>
  <c r="H145"/>
  <c r="I145"/>
  <c r="H146"/>
  <c r="I146"/>
  <c r="H147"/>
  <c r="I147"/>
  <c r="H148"/>
  <c r="I148"/>
  <c r="H149"/>
  <c r="I149"/>
  <c r="H150"/>
  <c r="I150"/>
  <c r="H151"/>
  <c r="I151"/>
  <c r="H152"/>
  <c r="I152"/>
  <c r="H153"/>
  <c r="I153"/>
  <c r="H154"/>
  <c r="I154"/>
  <c r="H155"/>
  <c r="I155"/>
  <c r="H156"/>
  <c r="I156"/>
  <c r="H157"/>
  <c r="I157"/>
  <c r="H158"/>
  <c r="I158"/>
  <c r="H159"/>
  <c r="I159"/>
  <c r="H160"/>
  <c r="I160"/>
  <c r="A160" s="1"/>
  <c r="H161"/>
  <c r="I161"/>
  <c r="A161" s="1"/>
  <c r="H162"/>
  <c r="I162"/>
  <c r="A162" s="1"/>
  <c r="H163"/>
  <c r="I163"/>
  <c r="A163" s="1"/>
  <c r="H164"/>
  <c r="I164"/>
  <c r="A164" s="1"/>
  <c r="H165"/>
  <c r="I165"/>
  <c r="A165" s="1"/>
  <c r="H166"/>
  <c r="I166"/>
  <c r="H167"/>
  <c r="I167"/>
  <c r="H168"/>
  <c r="I168"/>
  <c r="H169"/>
  <c r="I169"/>
  <c r="H170"/>
  <c r="I170"/>
  <c r="H171"/>
  <c r="I171"/>
  <c r="H6" i="12"/>
  <c r="I9" i="7"/>
  <c r="A9" s="1"/>
  <c r="I51"/>
  <c r="A51" s="1"/>
  <c r="I87"/>
  <c r="A87" s="1"/>
  <c r="I119"/>
  <c r="A119" s="1"/>
  <c r="I125"/>
  <c r="A125" s="1"/>
  <c r="I163"/>
  <c r="A163" s="1"/>
  <c r="I164"/>
  <c r="A164" s="1"/>
  <c r="I165"/>
  <c r="I166"/>
  <c r="I167"/>
  <c r="I168"/>
  <c r="I169"/>
  <c r="I170"/>
  <c r="I171"/>
  <c r="I172"/>
  <c r="I173"/>
  <c r="I174"/>
  <c r="I175"/>
  <c r="I176"/>
  <c r="I177"/>
  <c r="I178"/>
  <c r="I179"/>
  <c r="I180"/>
  <c r="I181"/>
  <c r="I182"/>
  <c r="I183"/>
  <c r="I184"/>
  <c r="I185"/>
  <c r="I186"/>
  <c r="I187"/>
  <c r="I188"/>
  <c r="I189"/>
  <c r="I190"/>
  <c r="H120"/>
  <c r="H88"/>
  <c r="H10"/>
  <c r="H9"/>
  <c r="H51"/>
  <c r="H87"/>
  <c r="H119"/>
  <c r="H125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E8" i="15" l="1"/>
  <c r="B8"/>
  <c r="E7"/>
  <c r="H6"/>
  <c r="A6"/>
  <c r="H138" i="14"/>
  <c r="I138" s="1"/>
  <c r="D138"/>
  <c r="H136"/>
  <c r="I136" s="1"/>
  <c r="D136"/>
  <c r="H134"/>
  <c r="I134" s="1"/>
  <c r="D134"/>
  <c r="H132"/>
  <c r="I132" s="1"/>
  <c r="D132"/>
  <c r="H130"/>
  <c r="I130" s="1"/>
  <c r="D130"/>
  <c r="H128"/>
  <c r="I128" s="1"/>
  <c r="D128"/>
  <c r="H126"/>
  <c r="I126" s="1"/>
  <c r="D126"/>
  <c r="H124"/>
  <c r="I124" s="1"/>
  <c r="D124"/>
  <c r="H122"/>
  <c r="I122" s="1"/>
  <c r="D122"/>
  <c r="H120"/>
  <c r="I120" s="1"/>
  <c r="D120"/>
  <c r="H118"/>
  <c r="I118" s="1"/>
  <c r="D118"/>
  <c r="H116"/>
  <c r="I116" s="1"/>
  <c r="D116"/>
  <c r="H114"/>
  <c r="I114" s="1"/>
  <c r="D114"/>
  <c r="H112"/>
  <c r="I112" s="1"/>
  <c r="D112"/>
  <c r="H110"/>
  <c r="I110" s="1"/>
  <c r="D110"/>
  <c r="H108"/>
  <c r="I108" s="1"/>
  <c r="D108"/>
  <c r="H106"/>
  <c r="I106" s="1"/>
  <c r="D106"/>
  <c r="H104"/>
  <c r="I104" s="1"/>
  <c r="D104"/>
  <c r="H102"/>
  <c r="I102" s="1"/>
  <c r="D102"/>
  <c r="H100"/>
  <c r="I100" s="1"/>
  <c r="D100"/>
  <c r="H98"/>
  <c r="I98" s="1"/>
  <c r="D98"/>
  <c r="H96"/>
  <c r="I96" s="1"/>
  <c r="D96"/>
  <c r="H94"/>
  <c r="I94" s="1"/>
  <c r="D94"/>
  <c r="H92"/>
  <c r="I92" s="1"/>
  <c r="D92"/>
  <c r="H90"/>
  <c r="I90" s="1"/>
  <c r="D90"/>
  <c r="H88"/>
  <c r="I88" s="1"/>
  <c r="D88"/>
  <c r="H86"/>
  <c r="I86" s="1"/>
  <c r="D86"/>
  <c r="H84"/>
  <c r="I84" s="1"/>
  <c r="D84"/>
  <c r="H82"/>
  <c r="I82" s="1"/>
  <c r="D82"/>
  <c r="H80"/>
  <c r="I80" s="1"/>
  <c r="D80"/>
  <c r="H78"/>
  <c r="I78" s="1"/>
  <c r="D78"/>
  <c r="H76"/>
  <c r="I76" s="1"/>
  <c r="D76"/>
  <c r="H74"/>
  <c r="I74" s="1"/>
  <c r="D74"/>
  <c r="H72"/>
  <c r="I72" s="1"/>
  <c r="D72"/>
  <c r="H70"/>
  <c r="I70" s="1"/>
  <c r="D70"/>
  <c r="H68"/>
  <c r="I68" s="1"/>
  <c r="D68"/>
  <c r="H66"/>
  <c r="I66" s="1"/>
  <c r="D66"/>
  <c r="H64"/>
  <c r="I64" s="1"/>
  <c r="D64"/>
  <c r="H62"/>
  <c r="I62" s="1"/>
  <c r="D62"/>
  <c r="H60"/>
  <c r="I60" s="1"/>
  <c r="D60"/>
  <c r="H58"/>
  <c r="I58" s="1"/>
  <c r="D58"/>
  <c r="H56"/>
  <c r="I56" s="1"/>
  <c r="D56"/>
  <c r="H54"/>
  <c r="I54" s="1"/>
  <c r="D54"/>
  <c r="H52"/>
  <c r="I52" s="1"/>
  <c r="D52"/>
  <c r="H50"/>
  <c r="I50" s="1"/>
  <c r="D50"/>
  <c r="H48"/>
  <c r="I48" s="1"/>
  <c r="D48"/>
  <c r="H46"/>
  <c r="I46" s="1"/>
  <c r="D46"/>
  <c r="H44"/>
  <c r="I44" s="1"/>
  <c r="D44"/>
  <c r="H42"/>
  <c r="I42" s="1"/>
  <c r="D42"/>
  <c r="H40"/>
  <c r="I40" s="1"/>
  <c r="D40"/>
  <c r="H38"/>
  <c r="I38" s="1"/>
  <c r="D38"/>
  <c r="H36"/>
  <c r="I36" s="1"/>
  <c r="D36"/>
  <c r="H34"/>
  <c r="I34" s="1"/>
  <c r="D34"/>
  <c r="H32"/>
  <c r="I32" s="1"/>
  <c r="D32"/>
  <c r="H30"/>
  <c r="I30" s="1"/>
  <c r="D30"/>
  <c r="H28"/>
  <c r="I28" s="1"/>
  <c r="D28"/>
  <c r="H26"/>
  <c r="I26" s="1"/>
  <c r="D26"/>
  <c r="H24"/>
  <c r="I24" s="1"/>
  <c r="D24"/>
  <c r="H22"/>
  <c r="I22" s="1"/>
  <c r="D22"/>
  <c r="H20"/>
  <c r="I20" s="1"/>
  <c r="D20"/>
  <c r="H18"/>
  <c r="I18" s="1"/>
  <c r="D18"/>
  <c r="H16"/>
  <c r="I16" s="1"/>
  <c r="D16"/>
  <c r="H14"/>
  <c r="I14" s="1"/>
  <c r="D14"/>
  <c r="H12"/>
  <c r="I12" s="1"/>
  <c r="D12"/>
  <c r="H10"/>
  <c r="I10" s="1"/>
  <c r="H8"/>
  <c r="I8" s="1"/>
  <c r="H137"/>
  <c r="I137" s="1"/>
  <c r="D137"/>
  <c r="H135"/>
  <c r="I135" s="1"/>
  <c r="D135"/>
  <c r="H133"/>
  <c r="I133" s="1"/>
  <c r="D133"/>
  <c r="H131"/>
  <c r="I131" s="1"/>
  <c r="D131"/>
  <c r="H129"/>
  <c r="I129" s="1"/>
  <c r="D129"/>
  <c r="H127"/>
  <c r="I127" s="1"/>
  <c r="D127"/>
  <c r="H125"/>
  <c r="I125" s="1"/>
  <c r="D125"/>
  <c r="H123"/>
  <c r="I123" s="1"/>
  <c r="D123"/>
  <c r="H121"/>
  <c r="I121" s="1"/>
  <c r="D121"/>
  <c r="H119"/>
  <c r="I119" s="1"/>
  <c r="D119"/>
  <c r="H117"/>
  <c r="I117" s="1"/>
  <c r="D117"/>
  <c r="H115"/>
  <c r="I115" s="1"/>
  <c r="D115"/>
  <c r="H113"/>
  <c r="I113" s="1"/>
  <c r="D113"/>
  <c r="H111"/>
  <c r="I111" s="1"/>
  <c r="D111"/>
  <c r="H109"/>
  <c r="I109" s="1"/>
  <c r="D109"/>
  <c r="H107"/>
  <c r="I107" s="1"/>
  <c r="D107"/>
  <c r="H105"/>
  <c r="I105" s="1"/>
  <c r="D105"/>
  <c r="H103"/>
  <c r="I103" s="1"/>
  <c r="D103"/>
  <c r="H101"/>
  <c r="I101" s="1"/>
  <c r="D101"/>
  <c r="H99"/>
  <c r="I99" s="1"/>
  <c r="D99"/>
  <c r="H97"/>
  <c r="I97" s="1"/>
  <c r="D97"/>
  <c r="H95"/>
  <c r="I95" s="1"/>
  <c r="D95"/>
  <c r="H93"/>
  <c r="I93" s="1"/>
  <c r="D93"/>
  <c r="H91"/>
  <c r="I91" s="1"/>
  <c r="D91"/>
  <c r="H89"/>
  <c r="I89" s="1"/>
  <c r="D89"/>
  <c r="H87"/>
  <c r="I87" s="1"/>
  <c r="D87"/>
  <c r="H85"/>
  <c r="I85" s="1"/>
  <c r="D85"/>
  <c r="H83"/>
  <c r="I83" s="1"/>
  <c r="D83"/>
  <c r="H81"/>
  <c r="I81" s="1"/>
  <c r="D81"/>
  <c r="H79"/>
  <c r="I79" s="1"/>
  <c r="D79"/>
  <c r="H77"/>
  <c r="I77" s="1"/>
  <c r="D77"/>
  <c r="H75"/>
  <c r="I75" s="1"/>
  <c r="D75"/>
  <c r="H73"/>
  <c r="I73" s="1"/>
  <c r="D73"/>
  <c r="H71"/>
  <c r="I71" s="1"/>
  <c r="D71"/>
  <c r="H69"/>
  <c r="I69" s="1"/>
  <c r="D69"/>
  <c r="H67"/>
  <c r="I67" s="1"/>
  <c r="D67"/>
  <c r="H65"/>
  <c r="I65" s="1"/>
  <c r="D65"/>
  <c r="H63"/>
  <c r="I63" s="1"/>
  <c r="D63"/>
  <c r="H61"/>
  <c r="I61" s="1"/>
  <c r="D61"/>
  <c r="H59"/>
  <c r="I59" s="1"/>
  <c r="D59"/>
  <c r="H57"/>
  <c r="I57" s="1"/>
  <c r="D57"/>
  <c r="H53"/>
  <c r="I53" s="1"/>
  <c r="D53"/>
  <c r="H51"/>
  <c r="I51" s="1"/>
  <c r="D51"/>
  <c r="H49"/>
  <c r="I49" s="1"/>
  <c r="D49"/>
  <c r="H47"/>
  <c r="I47" s="1"/>
  <c r="D47"/>
  <c r="H45"/>
  <c r="I45" s="1"/>
  <c r="D45"/>
  <c r="H43"/>
  <c r="I43" s="1"/>
  <c r="D43"/>
  <c r="H41"/>
  <c r="I41" s="1"/>
  <c r="D41"/>
  <c r="H39"/>
  <c r="I39" s="1"/>
  <c r="D39"/>
  <c r="H35"/>
  <c r="I35" s="1"/>
  <c r="D35"/>
  <c r="H33"/>
  <c r="I33" s="1"/>
  <c r="D33"/>
  <c r="H31"/>
  <c r="I31" s="1"/>
  <c r="D31"/>
  <c r="H29"/>
  <c r="I29" s="1"/>
  <c r="D29"/>
  <c r="H27"/>
  <c r="I27" s="1"/>
  <c r="D27"/>
  <c r="H25"/>
  <c r="I25" s="1"/>
  <c r="D25"/>
  <c r="H23"/>
  <c r="I23" s="1"/>
  <c r="D23"/>
  <c r="H21"/>
  <c r="I21" s="1"/>
  <c r="D21"/>
  <c r="H19"/>
  <c r="I19" s="1"/>
  <c r="D19"/>
  <c r="H17"/>
  <c r="I17" s="1"/>
  <c r="D17"/>
  <c r="H15"/>
  <c r="I15" s="1"/>
  <c r="D15"/>
  <c r="H13"/>
  <c r="I13" s="1"/>
  <c r="D13"/>
  <c r="H9"/>
  <c r="I9" s="1"/>
  <c r="H7"/>
  <c r="I7" s="1"/>
  <c r="D44" i="13"/>
  <c r="D43"/>
  <c r="G42"/>
  <c r="D42"/>
  <c r="G41"/>
  <c r="H41" s="1"/>
  <c r="I41" s="1"/>
  <c r="D41"/>
  <c r="G40"/>
  <c r="D40"/>
  <c r="D39"/>
  <c r="D38"/>
  <c r="D37"/>
  <c r="G36"/>
  <c r="D36"/>
  <c r="D35"/>
  <c r="D34"/>
  <c r="D33"/>
  <c r="G32"/>
  <c r="D32"/>
  <c r="D31"/>
  <c r="D30"/>
  <c r="D29"/>
  <c r="G28"/>
  <c r="D28"/>
  <c r="D27"/>
  <c r="D26"/>
  <c r="D25"/>
  <c r="G24"/>
  <c r="D24"/>
  <c r="D23"/>
  <c r="D22"/>
  <c r="D21"/>
  <c r="G20"/>
  <c r="D20"/>
  <c r="D19"/>
  <c r="D18"/>
  <c r="D17"/>
  <c r="D16"/>
  <c r="D15"/>
  <c r="D14"/>
  <c r="D13"/>
  <c r="D12"/>
  <c r="D11"/>
  <c r="D10"/>
  <c r="D9"/>
  <c r="D8"/>
  <c r="G7"/>
  <c r="H7" s="1"/>
  <c r="I7" s="1"/>
  <c r="D7"/>
  <c r="G6"/>
  <c r="H6" s="1"/>
  <c r="D71" i="12"/>
  <c r="D69"/>
  <c r="D67"/>
  <c r="D65"/>
  <c r="D63"/>
  <c r="D61"/>
  <c r="D59"/>
  <c r="D57"/>
  <c r="D55"/>
  <c r="D53"/>
  <c r="D51"/>
  <c r="D49"/>
  <c r="D47"/>
  <c r="D45"/>
  <c r="D43"/>
  <c r="D41"/>
  <c r="G70"/>
  <c r="H70" s="1"/>
  <c r="I70" s="1"/>
  <c r="D70"/>
  <c r="G68"/>
  <c r="H68" s="1"/>
  <c r="I68" s="1"/>
  <c r="D68"/>
  <c r="G66"/>
  <c r="H66" s="1"/>
  <c r="I66" s="1"/>
  <c r="D66"/>
  <c r="G64"/>
  <c r="H64" s="1"/>
  <c r="I64" s="1"/>
  <c r="D64"/>
  <c r="G62"/>
  <c r="H62" s="1"/>
  <c r="I62" s="1"/>
  <c r="D62"/>
  <c r="G60"/>
  <c r="H60" s="1"/>
  <c r="I60" s="1"/>
  <c r="D60"/>
  <c r="G58"/>
  <c r="H58" s="1"/>
  <c r="I58" s="1"/>
  <c r="D58"/>
  <c r="G56"/>
  <c r="H56" s="1"/>
  <c r="I56" s="1"/>
  <c r="D56"/>
  <c r="G54"/>
  <c r="H54" s="1"/>
  <c r="I54" s="1"/>
  <c r="D54"/>
  <c r="G52"/>
  <c r="H52" s="1"/>
  <c r="I52" s="1"/>
  <c r="D52"/>
  <c r="G50"/>
  <c r="H50" s="1"/>
  <c r="I50" s="1"/>
  <c r="D50"/>
  <c r="G48"/>
  <c r="H48" s="1"/>
  <c r="I48" s="1"/>
  <c r="D48"/>
  <c r="G44"/>
  <c r="H44" s="1"/>
  <c r="I44" s="1"/>
  <c r="D44"/>
  <c r="G42"/>
  <c r="H42" s="1"/>
  <c r="I42" s="1"/>
  <c r="D42"/>
  <c r="G40"/>
  <c r="H40" s="1"/>
  <c r="I40" s="1"/>
  <c r="D40"/>
  <c r="D38"/>
  <c r="D36"/>
  <c r="D34"/>
  <c r="D32"/>
  <c r="D30"/>
  <c r="D28"/>
  <c r="D26"/>
  <c r="D24"/>
  <c r="D22"/>
  <c r="D20"/>
  <c r="D18"/>
  <c r="D16"/>
  <c r="D14"/>
  <c r="D12"/>
  <c r="D10"/>
  <c r="D8"/>
  <c r="G37"/>
  <c r="H37" s="1"/>
  <c r="I37" s="1"/>
  <c r="D37"/>
  <c r="G35"/>
  <c r="H35" s="1"/>
  <c r="I35" s="1"/>
  <c r="D35"/>
  <c r="H33"/>
  <c r="I33" s="1"/>
  <c r="D33"/>
  <c r="H31"/>
  <c r="I31" s="1"/>
  <c r="D31"/>
  <c r="G29"/>
  <c r="H29" s="1"/>
  <c r="I29" s="1"/>
  <c r="D29"/>
  <c r="H27"/>
  <c r="I27" s="1"/>
  <c r="D27"/>
  <c r="G25"/>
  <c r="H25" s="1"/>
  <c r="I25" s="1"/>
  <c r="D25"/>
  <c r="H23"/>
  <c r="I23" s="1"/>
  <c r="D23"/>
  <c r="H21"/>
  <c r="I21" s="1"/>
  <c r="D21"/>
  <c r="G19"/>
  <c r="H19" s="1"/>
  <c r="I19" s="1"/>
  <c r="D19"/>
  <c r="H17"/>
  <c r="I17" s="1"/>
  <c r="D17"/>
  <c r="H13"/>
  <c r="I13" s="1"/>
  <c r="D13"/>
  <c r="G11"/>
  <c r="H11" s="1"/>
  <c r="I11" s="1"/>
  <c r="D11"/>
  <c r="D9"/>
  <c r="G7"/>
  <c r="H7" s="1"/>
  <c r="I7" s="1"/>
  <c r="D7"/>
  <c r="E136" i="7"/>
  <c r="E126"/>
  <c r="E82"/>
  <c r="E72"/>
  <c r="G136"/>
  <c r="G132"/>
  <c r="G126"/>
  <c r="H126" s="1"/>
  <c r="G117"/>
  <c r="G116"/>
  <c r="G111"/>
  <c r="G110"/>
  <c r="G109"/>
  <c r="G108"/>
  <c r="G100"/>
  <c r="G91"/>
  <c r="G82"/>
  <c r="H82" s="1"/>
  <c r="H72"/>
  <c r="H52"/>
  <c r="C380" i="1"/>
  <c r="D142" i="7"/>
  <c r="D141"/>
  <c r="D144"/>
  <c r="D143"/>
  <c r="H132"/>
  <c r="H23"/>
  <c r="I132" l="1"/>
  <c r="H20" i="13"/>
  <c r="I20" s="1"/>
  <c r="H28"/>
  <c r="I28" s="1"/>
  <c r="H32"/>
  <c r="I32" s="1"/>
  <c r="H42"/>
  <c r="I42" s="1"/>
  <c r="D3"/>
  <c r="H24"/>
  <c r="I24" s="1"/>
  <c r="H36"/>
  <c r="I36" s="1"/>
  <c r="H40"/>
  <c r="I40" s="1"/>
  <c r="H9" i="12"/>
  <c r="I9" s="1"/>
  <c r="H76" i="7"/>
  <c r="I76" s="1"/>
  <c r="H117"/>
  <c r="I117" s="1"/>
  <c r="I23"/>
  <c r="H75"/>
  <c r="I75" s="1"/>
  <c r="H90"/>
  <c r="I90" s="1"/>
  <c r="H108"/>
  <c r="I108" s="1"/>
  <c r="H116"/>
  <c r="I116" s="1"/>
  <c r="H7"/>
  <c r="I7" s="1"/>
  <c r="H91"/>
  <c r="I91" s="1"/>
  <c r="H20"/>
  <c r="I20" s="1"/>
  <c r="H50"/>
  <c r="I50" s="1"/>
  <c r="H84"/>
  <c r="I84" s="1"/>
  <c r="H100"/>
  <c r="I100" s="1"/>
  <c r="H111"/>
  <c r="I111" s="1"/>
  <c r="H38"/>
  <c r="I38" s="1"/>
  <c r="H109"/>
  <c r="I109" s="1"/>
  <c r="H14"/>
  <c r="I14" s="1"/>
  <c r="H44"/>
  <c r="I44" s="1"/>
  <c r="H92"/>
  <c r="I92" s="1"/>
  <c r="H110"/>
  <c r="I110" s="1"/>
  <c r="E3" i="15"/>
  <c r="D3" i="14"/>
  <c r="D3" i="12"/>
  <c r="D132" i="7"/>
  <c r="D131"/>
  <c r="D129"/>
  <c r="G115"/>
  <c r="C398" i="1"/>
  <c r="C403"/>
  <c r="D87" i="7"/>
  <c r="D86"/>
  <c r="D85"/>
  <c r="D84"/>
  <c r="D83"/>
  <c r="D63"/>
  <c r="C52" i="1"/>
  <c r="C59"/>
  <c r="C48"/>
  <c r="C44"/>
  <c r="C28"/>
  <c r="C31"/>
  <c r="G128" i="7" s="1"/>
  <c r="D128"/>
  <c r="D127"/>
  <c r="D125"/>
  <c r="D122"/>
  <c r="D121"/>
  <c r="D117"/>
  <c r="D116"/>
  <c r="D115"/>
  <c r="D114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76"/>
  <c r="D75"/>
  <c r="D74"/>
  <c r="D73"/>
  <c r="D59"/>
  <c r="D56"/>
  <c r="D55"/>
  <c r="D54"/>
  <c r="D53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1"/>
  <c r="D30"/>
  <c r="D29"/>
  <c r="D26"/>
  <c r="D25"/>
  <c r="D24"/>
  <c r="D23"/>
  <c r="D22"/>
  <c r="D21"/>
  <c r="D20"/>
  <c r="D19"/>
  <c r="D18"/>
  <c r="D17"/>
  <c r="D16"/>
  <c r="D15"/>
  <c r="D14"/>
  <c r="D13"/>
  <c r="D11"/>
  <c r="D9"/>
  <c r="D8"/>
  <c r="D7"/>
  <c r="H128"/>
  <c r="G17" i="13" l="1"/>
  <c r="H17" s="1"/>
  <c r="I17" s="1"/>
  <c r="G85" i="7"/>
  <c r="G16"/>
  <c r="G11" i="13"/>
  <c r="H11" s="1"/>
  <c r="I11" s="1"/>
  <c r="G19" i="7"/>
  <c r="G12" i="13"/>
  <c r="G63" i="7"/>
  <c r="H63" s="1"/>
  <c r="I63" s="1"/>
  <c r="G53"/>
  <c r="G86"/>
  <c r="G64"/>
  <c r="H64" s="1"/>
  <c r="I64" s="1"/>
  <c r="G24"/>
  <c r="G30"/>
  <c r="G25"/>
  <c r="G22"/>
  <c r="G16" i="13"/>
  <c r="H16" s="1"/>
  <c r="I16" s="1"/>
  <c r="G10"/>
  <c r="H10" s="1"/>
  <c r="I10" s="1"/>
  <c r="H8" i="7"/>
  <c r="I8" s="1"/>
  <c r="A8" s="1"/>
  <c r="H115"/>
  <c r="I115" s="1"/>
  <c r="I128"/>
  <c r="C34" i="1"/>
  <c r="G95" i="7"/>
  <c r="G105"/>
  <c r="G94"/>
  <c r="G89"/>
  <c r="G102"/>
  <c r="G93"/>
  <c r="G103"/>
  <c r="G99"/>
  <c r="G131"/>
  <c r="D3"/>
  <c r="C382" i="1"/>
  <c r="C379" s="1"/>
  <c r="C381" s="1"/>
  <c r="C359"/>
  <c r="G83" i="7" s="1"/>
  <c r="C404" i="1"/>
  <c r="C219"/>
  <c r="G162" i="7" s="1"/>
  <c r="C179" i="1"/>
  <c r="G55" i="7" s="1"/>
  <c r="G56"/>
  <c r="C57" i="1"/>
  <c r="C36"/>
  <c r="G134" i="7" s="1"/>
  <c r="H131"/>
  <c r="H24"/>
  <c r="H25"/>
  <c r="G169" i="18" l="1"/>
  <c r="H169" s="1"/>
  <c r="I169" s="1"/>
  <c r="G68" i="7"/>
  <c r="H68" s="1"/>
  <c r="I68" s="1"/>
  <c r="G458" i="19"/>
  <c r="H458" s="1"/>
  <c r="I458" s="1"/>
  <c r="G449"/>
  <c r="H449" s="1"/>
  <c r="I449" s="1"/>
  <c r="G440"/>
  <c r="G428"/>
  <c r="H428" s="1"/>
  <c r="I428" s="1"/>
  <c r="G467"/>
  <c r="H467" s="1"/>
  <c r="I467" s="1"/>
  <c r="G485"/>
  <c r="H485" s="1"/>
  <c r="I485" s="1"/>
  <c r="G416"/>
  <c r="G404"/>
  <c r="G398"/>
  <c r="H398" s="1"/>
  <c r="I398" s="1"/>
  <c r="G386"/>
  <c r="H386" s="1"/>
  <c r="I386" s="1"/>
  <c r="G374"/>
  <c r="H374" s="1"/>
  <c r="I374" s="1"/>
  <c r="G368"/>
  <c r="H368" s="1"/>
  <c r="I368" s="1"/>
  <c r="G362"/>
  <c r="H362" s="1"/>
  <c r="I362" s="1"/>
  <c r="G350"/>
  <c r="H350" s="1"/>
  <c r="I350" s="1"/>
  <c r="G314"/>
  <c r="H314" s="1"/>
  <c r="I314" s="1"/>
  <c r="G302"/>
  <c r="H302" s="1"/>
  <c r="I302" s="1"/>
  <c r="G290"/>
  <c r="H290" s="1"/>
  <c r="I290" s="1"/>
  <c r="G281"/>
  <c r="H281" s="1"/>
  <c r="I281" s="1"/>
  <c r="G263"/>
  <c r="H263" s="1"/>
  <c r="I263" s="1"/>
  <c r="G257"/>
  <c r="H257" s="1"/>
  <c r="I257" s="1"/>
  <c r="G254"/>
  <c r="H254" s="1"/>
  <c r="I254" s="1"/>
  <c r="G239"/>
  <c r="H239" s="1"/>
  <c r="I239" s="1"/>
  <c r="G230"/>
  <c r="H230" s="1"/>
  <c r="I230" s="1"/>
  <c r="G218"/>
  <c r="H218" s="1"/>
  <c r="I218" s="1"/>
  <c r="G206"/>
  <c r="H206" s="1"/>
  <c r="I206" s="1"/>
  <c r="G197"/>
  <c r="H197" s="1"/>
  <c r="I197" s="1"/>
  <c r="G188"/>
  <c r="H188" s="1"/>
  <c r="I188" s="1"/>
  <c r="G437"/>
  <c r="H437" s="1"/>
  <c r="I437" s="1"/>
  <c r="G476"/>
  <c r="H476" s="1"/>
  <c r="I476" s="1"/>
  <c r="G482"/>
  <c r="H482" s="1"/>
  <c r="I482" s="1"/>
  <c r="G422"/>
  <c r="H422" s="1"/>
  <c r="I422" s="1"/>
  <c r="G401"/>
  <c r="H401" s="1"/>
  <c r="I401" s="1"/>
  <c r="G395"/>
  <c r="H395" s="1"/>
  <c r="I395" s="1"/>
  <c r="G389"/>
  <c r="H389" s="1"/>
  <c r="I389" s="1"/>
  <c r="G359"/>
  <c r="H359" s="1"/>
  <c r="I359" s="1"/>
  <c r="G347"/>
  <c r="H347" s="1"/>
  <c r="I347" s="1"/>
  <c r="G332"/>
  <c r="H332" s="1"/>
  <c r="I332" s="1"/>
  <c r="G326"/>
  <c r="H326" s="1"/>
  <c r="I326" s="1"/>
  <c r="G320"/>
  <c r="G311"/>
  <c r="H311" s="1"/>
  <c r="I311" s="1"/>
  <c r="G299"/>
  <c r="H299" s="1"/>
  <c r="I299" s="1"/>
  <c r="G287"/>
  <c r="H287" s="1"/>
  <c r="I287" s="1"/>
  <c r="G251"/>
  <c r="H251" s="1"/>
  <c r="I251" s="1"/>
  <c r="G245"/>
  <c r="H245" s="1"/>
  <c r="I245" s="1"/>
  <c r="G236"/>
  <c r="G227"/>
  <c r="H227" s="1"/>
  <c r="I227" s="1"/>
  <c r="G215"/>
  <c r="H215" s="1"/>
  <c r="I215" s="1"/>
  <c r="G203"/>
  <c r="H203" s="1"/>
  <c r="I203" s="1"/>
  <c r="G185"/>
  <c r="H185" s="1"/>
  <c r="I185" s="1"/>
  <c r="G182"/>
  <c r="G431"/>
  <c r="H431" s="1"/>
  <c r="I431" s="1"/>
  <c r="G419"/>
  <c r="H419" s="1"/>
  <c r="I419" s="1"/>
  <c r="G407"/>
  <c r="H407" s="1"/>
  <c r="I407" s="1"/>
  <c r="G392"/>
  <c r="H392" s="1"/>
  <c r="I392" s="1"/>
  <c r="G377"/>
  <c r="H377" s="1"/>
  <c r="I377" s="1"/>
  <c r="G371"/>
  <c r="H371" s="1"/>
  <c r="I371" s="1"/>
  <c r="G353"/>
  <c r="H353" s="1"/>
  <c r="I353" s="1"/>
  <c r="G335"/>
  <c r="H335" s="1"/>
  <c r="I335" s="1"/>
  <c r="G323"/>
  <c r="H323" s="1"/>
  <c r="I323" s="1"/>
  <c r="G338"/>
  <c r="H338" s="1"/>
  <c r="I338" s="1"/>
  <c r="G305"/>
  <c r="H305" s="1"/>
  <c r="I305" s="1"/>
  <c r="G275"/>
  <c r="H275" s="1"/>
  <c r="I275" s="1"/>
  <c r="G266"/>
  <c r="H266" s="1"/>
  <c r="I266" s="1"/>
  <c r="G233"/>
  <c r="H233" s="1"/>
  <c r="I233" s="1"/>
  <c r="G209"/>
  <c r="H209" s="1"/>
  <c r="I209" s="1"/>
  <c r="G170"/>
  <c r="G200"/>
  <c r="H200" s="1"/>
  <c r="I200" s="1"/>
  <c r="G173"/>
  <c r="H173" s="1"/>
  <c r="I173" s="1"/>
  <c r="G167"/>
  <c r="G155"/>
  <c r="G143"/>
  <c r="G140"/>
  <c r="H140" s="1"/>
  <c r="I140" s="1"/>
  <c r="G134"/>
  <c r="H134" s="1"/>
  <c r="I134" s="1"/>
  <c r="G119"/>
  <c r="G107"/>
  <c r="G101"/>
  <c r="G434"/>
  <c r="H434" s="1"/>
  <c r="I434" s="1"/>
  <c r="G425"/>
  <c r="H425" s="1"/>
  <c r="I425" s="1"/>
  <c r="G461"/>
  <c r="H461" s="1"/>
  <c r="I461" s="1"/>
  <c r="G464"/>
  <c r="H464" s="1"/>
  <c r="I464" s="1"/>
  <c r="G488"/>
  <c r="H488" s="1"/>
  <c r="I488" s="1"/>
  <c r="G410"/>
  <c r="H410" s="1"/>
  <c r="I410" s="1"/>
  <c r="G356"/>
  <c r="G317"/>
  <c r="H317" s="1"/>
  <c r="I317" s="1"/>
  <c r="G308"/>
  <c r="H308" s="1"/>
  <c r="I308" s="1"/>
  <c r="G293"/>
  <c r="H293" s="1"/>
  <c r="I293" s="1"/>
  <c r="G278"/>
  <c r="H278" s="1"/>
  <c r="I278" s="1"/>
  <c r="G269"/>
  <c r="H269" s="1"/>
  <c r="I269" s="1"/>
  <c r="G260"/>
  <c r="H260" s="1"/>
  <c r="I260" s="1"/>
  <c r="G242"/>
  <c r="H242" s="1"/>
  <c r="I242" s="1"/>
  <c r="G212"/>
  <c r="H212" s="1"/>
  <c r="I212" s="1"/>
  <c r="G179"/>
  <c r="H179" s="1"/>
  <c r="I179" s="1"/>
  <c r="G164"/>
  <c r="H164" s="1"/>
  <c r="I164" s="1"/>
  <c r="G152"/>
  <c r="H152" s="1"/>
  <c r="I152" s="1"/>
  <c r="G149"/>
  <c r="G131"/>
  <c r="G116"/>
  <c r="H116" s="1"/>
  <c r="I116" s="1"/>
  <c r="G98"/>
  <c r="H98" s="1"/>
  <c r="I98" s="1"/>
  <c r="G92"/>
  <c r="H92" s="1"/>
  <c r="I92" s="1"/>
  <c r="G446"/>
  <c r="H446" s="1"/>
  <c r="I446" s="1"/>
  <c r="G470"/>
  <c r="H470" s="1"/>
  <c r="I470" s="1"/>
  <c r="G479"/>
  <c r="H479" s="1"/>
  <c r="I479" s="1"/>
  <c r="G383"/>
  <c r="H383" s="1"/>
  <c r="I383" s="1"/>
  <c r="G272"/>
  <c r="H272" s="1"/>
  <c r="I272" s="1"/>
  <c r="G224"/>
  <c r="H224" s="1"/>
  <c r="I224" s="1"/>
  <c r="G194"/>
  <c r="H194" s="1"/>
  <c r="I194" s="1"/>
  <c r="G125"/>
  <c r="G80"/>
  <c r="H80" s="1"/>
  <c r="I80" s="1"/>
  <c r="G74"/>
  <c r="H74" s="1"/>
  <c r="I74" s="1"/>
  <c r="G68"/>
  <c r="H68" s="1"/>
  <c r="I68" s="1"/>
  <c r="G59"/>
  <c r="G50"/>
  <c r="H50" s="1"/>
  <c r="I50" s="1"/>
  <c r="G47"/>
  <c r="G29"/>
  <c r="G8"/>
  <c r="H8" s="1"/>
  <c r="I8" s="1"/>
  <c r="A8" s="1"/>
  <c r="G443"/>
  <c r="H443" s="1"/>
  <c r="I443" s="1"/>
  <c r="G380"/>
  <c r="G365"/>
  <c r="H365" s="1"/>
  <c r="I365" s="1"/>
  <c r="G329"/>
  <c r="H329" s="1"/>
  <c r="I329" s="1"/>
  <c r="G221"/>
  <c r="H221" s="1"/>
  <c r="I221" s="1"/>
  <c r="G191"/>
  <c r="H191" s="1"/>
  <c r="I191" s="1"/>
  <c r="G161"/>
  <c r="G146"/>
  <c r="H146" s="1"/>
  <c r="I146" s="1"/>
  <c r="G137"/>
  <c r="G113"/>
  <c r="G89"/>
  <c r="G86"/>
  <c r="H86" s="1"/>
  <c r="I86" s="1"/>
  <c r="G41"/>
  <c r="G23"/>
  <c r="G17"/>
  <c r="G11"/>
  <c r="G455"/>
  <c r="H455" s="1"/>
  <c r="I455" s="1"/>
  <c r="G473"/>
  <c r="H473" s="1"/>
  <c r="I473" s="1"/>
  <c r="G344"/>
  <c r="H344" s="1"/>
  <c r="I344" s="1"/>
  <c r="G296"/>
  <c r="H296" s="1"/>
  <c r="I296" s="1"/>
  <c r="G248"/>
  <c r="G176"/>
  <c r="H176" s="1"/>
  <c r="I176" s="1"/>
  <c r="G158"/>
  <c r="H158" s="1"/>
  <c r="I158" s="1"/>
  <c r="G110"/>
  <c r="H110" s="1"/>
  <c r="I110" s="1"/>
  <c r="G104"/>
  <c r="H104" s="1"/>
  <c r="I104" s="1"/>
  <c r="G71"/>
  <c r="G83"/>
  <c r="G38"/>
  <c r="H38" s="1"/>
  <c r="I38" s="1"/>
  <c r="G14"/>
  <c r="H14" s="1"/>
  <c r="I14" s="1"/>
  <c r="G452"/>
  <c r="H452" s="1"/>
  <c r="I452" s="1"/>
  <c r="G341"/>
  <c r="H341" s="1"/>
  <c r="I341" s="1"/>
  <c r="G284"/>
  <c r="H284" s="1"/>
  <c r="I284" s="1"/>
  <c r="G122"/>
  <c r="H122" s="1"/>
  <c r="I122" s="1"/>
  <c r="G128"/>
  <c r="H128" s="1"/>
  <c r="I128" s="1"/>
  <c r="G95"/>
  <c r="G77"/>
  <c r="G65"/>
  <c r="G56"/>
  <c r="H56" s="1"/>
  <c r="I56" s="1"/>
  <c r="G53"/>
  <c r="G35"/>
  <c r="G26"/>
  <c r="H26" s="1"/>
  <c r="I26" s="1"/>
  <c r="G20"/>
  <c r="H20" s="1"/>
  <c r="I20" s="1"/>
  <c r="G413"/>
  <c r="H413" s="1"/>
  <c r="I413" s="1"/>
  <c r="G62"/>
  <c r="H62" s="1"/>
  <c r="I62" s="1"/>
  <c r="G44"/>
  <c r="H44" s="1"/>
  <c r="I44" s="1"/>
  <c r="G32"/>
  <c r="H32" s="1"/>
  <c r="I32" s="1"/>
  <c r="G9" i="13"/>
  <c r="H9" s="1"/>
  <c r="I9" s="1"/>
  <c r="G167" i="18"/>
  <c r="H167" s="1"/>
  <c r="I167" s="1"/>
  <c r="G161"/>
  <c r="H161" s="1"/>
  <c r="I161" s="1"/>
  <c r="G157"/>
  <c r="H157" s="1"/>
  <c r="I157" s="1"/>
  <c r="G153"/>
  <c r="H153" s="1"/>
  <c r="I153" s="1"/>
  <c r="G149"/>
  <c r="H149" s="1"/>
  <c r="I149" s="1"/>
  <c r="G145"/>
  <c r="H145" s="1"/>
  <c r="I145" s="1"/>
  <c r="G141"/>
  <c r="H141" s="1"/>
  <c r="I141" s="1"/>
  <c r="G137"/>
  <c r="H137" s="1"/>
  <c r="I137" s="1"/>
  <c r="G133"/>
  <c r="H133" s="1"/>
  <c r="I133" s="1"/>
  <c r="G129"/>
  <c r="H129" s="1"/>
  <c r="I129" s="1"/>
  <c r="G125"/>
  <c r="H125" s="1"/>
  <c r="I125" s="1"/>
  <c r="G109"/>
  <c r="H109" s="1"/>
  <c r="I109" s="1"/>
  <c r="G97"/>
  <c r="H97" s="1"/>
  <c r="I97" s="1"/>
  <c r="G93"/>
  <c r="H93" s="1"/>
  <c r="I93" s="1"/>
  <c r="G89"/>
  <c r="H89" s="1"/>
  <c r="I89" s="1"/>
  <c r="G83"/>
  <c r="H83" s="1"/>
  <c r="I83" s="1"/>
  <c r="G81"/>
  <c r="H81" s="1"/>
  <c r="I81" s="1"/>
  <c r="G77"/>
  <c r="H77" s="1"/>
  <c r="I77" s="1"/>
  <c r="G71"/>
  <c r="H71" s="1"/>
  <c r="I71" s="1"/>
  <c r="G53"/>
  <c r="H53" s="1"/>
  <c r="I53" s="1"/>
  <c r="G67"/>
  <c r="H67" s="1"/>
  <c r="I67" s="1"/>
  <c r="G59"/>
  <c r="H59" s="1"/>
  <c r="I59" s="1"/>
  <c r="G49"/>
  <c r="H49" s="1"/>
  <c r="I49" s="1"/>
  <c r="G45"/>
  <c r="H45" s="1"/>
  <c r="I45" s="1"/>
  <c r="G41"/>
  <c r="H41" s="1"/>
  <c r="I41" s="1"/>
  <c r="G21"/>
  <c r="G11"/>
  <c r="H11" s="1"/>
  <c r="I11" s="1"/>
  <c r="G163"/>
  <c r="H163" s="1"/>
  <c r="I163" s="1"/>
  <c r="G151"/>
  <c r="H151" s="1"/>
  <c r="I151" s="1"/>
  <c r="G135"/>
  <c r="H135" s="1"/>
  <c r="I135" s="1"/>
  <c r="G119"/>
  <c r="H119" s="1"/>
  <c r="I119" s="1"/>
  <c r="G99"/>
  <c r="H99" s="1"/>
  <c r="I99" s="1"/>
  <c r="G107"/>
  <c r="H107" s="1"/>
  <c r="I107" s="1"/>
  <c r="G95"/>
  <c r="H95" s="1"/>
  <c r="I95" s="1"/>
  <c r="G73"/>
  <c r="H73" s="1"/>
  <c r="I73" s="1"/>
  <c r="G69"/>
  <c r="H69" s="1"/>
  <c r="I69" s="1"/>
  <c r="G57"/>
  <c r="H57" s="1"/>
  <c r="I57" s="1"/>
  <c r="G47"/>
  <c r="H47" s="1"/>
  <c r="I47" s="1"/>
  <c r="G35"/>
  <c r="G25"/>
  <c r="G19"/>
  <c r="G165"/>
  <c r="H165" s="1"/>
  <c r="I165" s="1"/>
  <c r="G147"/>
  <c r="H147" s="1"/>
  <c r="I147" s="1"/>
  <c r="G131"/>
  <c r="H131" s="1"/>
  <c r="I131" s="1"/>
  <c r="G121"/>
  <c r="H121" s="1"/>
  <c r="I121" s="1"/>
  <c r="G111"/>
  <c r="H111" s="1"/>
  <c r="I111" s="1"/>
  <c r="G91"/>
  <c r="H91" s="1"/>
  <c r="I91" s="1"/>
  <c r="G61"/>
  <c r="H61" s="1"/>
  <c r="I61" s="1"/>
  <c r="G43"/>
  <c r="H43" s="1"/>
  <c r="I43" s="1"/>
  <c r="G37"/>
  <c r="G31"/>
  <c r="G15"/>
  <c r="G159"/>
  <c r="H159" s="1"/>
  <c r="I159" s="1"/>
  <c r="G143"/>
  <c r="H143" s="1"/>
  <c r="I143" s="1"/>
  <c r="G127"/>
  <c r="H127" s="1"/>
  <c r="I127" s="1"/>
  <c r="G101"/>
  <c r="H101" s="1"/>
  <c r="I101" s="1"/>
  <c r="G113"/>
  <c r="H113" s="1"/>
  <c r="I113" s="1"/>
  <c r="G103"/>
  <c r="H103" s="1"/>
  <c r="I103" s="1"/>
  <c r="G85"/>
  <c r="H85" s="1"/>
  <c r="I85" s="1"/>
  <c r="G75"/>
  <c r="H75" s="1"/>
  <c r="I75" s="1"/>
  <c r="G63"/>
  <c r="H63" s="1"/>
  <c r="I63" s="1"/>
  <c r="G51"/>
  <c r="H51" s="1"/>
  <c r="I51" s="1"/>
  <c r="G33"/>
  <c r="G27"/>
  <c r="G39"/>
  <c r="H39" s="1"/>
  <c r="I39" s="1"/>
  <c r="G13"/>
  <c r="G9"/>
  <c r="G7"/>
  <c r="G123"/>
  <c r="H123" s="1"/>
  <c r="I123" s="1"/>
  <c r="G23"/>
  <c r="G55"/>
  <c r="H55" s="1"/>
  <c r="I55" s="1"/>
  <c r="G29"/>
  <c r="G155"/>
  <c r="H155" s="1"/>
  <c r="I155" s="1"/>
  <c r="G105"/>
  <c r="H105" s="1"/>
  <c r="I105" s="1"/>
  <c r="G79"/>
  <c r="H79" s="1"/>
  <c r="I79" s="1"/>
  <c r="G65"/>
  <c r="H65" s="1"/>
  <c r="I65" s="1"/>
  <c r="G139"/>
  <c r="H139" s="1"/>
  <c r="I139" s="1"/>
  <c r="G117"/>
  <c r="H117" s="1"/>
  <c r="I117" s="1"/>
  <c r="G115"/>
  <c r="H115" s="1"/>
  <c r="I115" s="1"/>
  <c r="G87"/>
  <c r="H87" s="1"/>
  <c r="I87" s="1"/>
  <c r="G17"/>
  <c r="H55" i="7"/>
  <c r="I55" s="1"/>
  <c r="H56"/>
  <c r="I56" s="1"/>
  <c r="H162"/>
  <c r="I162" s="1"/>
  <c r="G13" i="13"/>
  <c r="H13" s="1"/>
  <c r="I13" s="1"/>
  <c r="G8" i="12"/>
  <c r="H8" s="1"/>
  <c r="I8" s="1"/>
  <c r="A8" s="1"/>
  <c r="G43" i="13"/>
  <c r="H43" s="1"/>
  <c r="I43" s="1"/>
  <c r="G10" i="12"/>
  <c r="H10" s="1"/>
  <c r="I10" s="1"/>
  <c r="G12"/>
  <c r="H12" s="1"/>
  <c r="I12" s="1"/>
  <c r="G16"/>
  <c r="H16" s="1"/>
  <c r="I16" s="1"/>
  <c r="G20"/>
  <c r="H20" s="1"/>
  <c r="I20" s="1"/>
  <c r="G33" i="7"/>
  <c r="G35"/>
  <c r="H35" s="1"/>
  <c r="I35" s="1"/>
  <c r="G48"/>
  <c r="G47"/>
  <c r="G17"/>
  <c r="G36"/>
  <c r="G39"/>
  <c r="G45"/>
  <c r="G40"/>
  <c r="G46"/>
  <c r="G34"/>
  <c r="G18"/>
  <c r="G42"/>
  <c r="G41"/>
  <c r="G19" i="13"/>
  <c r="H19" s="1"/>
  <c r="I19" s="1"/>
  <c r="G18"/>
  <c r="G8"/>
  <c r="H12"/>
  <c r="I12" s="1"/>
  <c r="H30" i="7"/>
  <c r="I30" s="1"/>
  <c r="H22"/>
  <c r="I22" s="1"/>
  <c r="H99"/>
  <c r="I99" s="1"/>
  <c r="H89"/>
  <c r="I89" s="1"/>
  <c r="I25"/>
  <c r="H103"/>
  <c r="I103" s="1"/>
  <c r="H94"/>
  <c r="I94" s="1"/>
  <c r="H102"/>
  <c r="I102" s="1"/>
  <c r="H95"/>
  <c r="I95" s="1"/>
  <c r="I24"/>
  <c r="I131"/>
  <c r="H93"/>
  <c r="I93" s="1"/>
  <c r="H105"/>
  <c r="I105" s="1"/>
  <c r="H53"/>
  <c r="I53" s="1"/>
  <c r="H86"/>
  <c r="I86" s="1"/>
  <c r="H85"/>
  <c r="I85" s="1"/>
  <c r="H19"/>
  <c r="I19" s="1"/>
  <c r="H16"/>
  <c r="I16" s="1"/>
  <c r="C38" i="1"/>
  <c r="C50"/>
  <c r="G106" i="7"/>
  <c r="C37" i="1"/>
  <c r="C35"/>
  <c r="G69" i="12"/>
  <c r="H69" s="1"/>
  <c r="I69" s="1"/>
  <c r="G61"/>
  <c r="H61" s="1"/>
  <c r="I61" s="1"/>
  <c r="G53"/>
  <c r="H53" s="1"/>
  <c r="I53" s="1"/>
  <c r="G45"/>
  <c r="H45" s="1"/>
  <c r="I45" s="1"/>
  <c r="G36"/>
  <c r="H36" s="1"/>
  <c r="I36" s="1"/>
  <c r="G28"/>
  <c r="H28" s="1"/>
  <c r="I28" s="1"/>
  <c r="G67"/>
  <c r="H67" s="1"/>
  <c r="I67" s="1"/>
  <c r="G59"/>
  <c r="H59" s="1"/>
  <c r="I59" s="1"/>
  <c r="G51"/>
  <c r="H51" s="1"/>
  <c r="I51" s="1"/>
  <c r="G43"/>
  <c r="H43" s="1"/>
  <c r="I43" s="1"/>
  <c r="G34"/>
  <c r="H34" s="1"/>
  <c r="I34" s="1"/>
  <c r="G26"/>
  <c r="H26" s="1"/>
  <c r="I26" s="1"/>
  <c r="G18"/>
  <c r="H18" s="1"/>
  <c r="I18" s="1"/>
  <c r="G65"/>
  <c r="H65" s="1"/>
  <c r="I65" s="1"/>
  <c r="G49"/>
  <c r="H49" s="1"/>
  <c r="I49" s="1"/>
  <c r="G41"/>
  <c r="H41" s="1"/>
  <c r="I41" s="1"/>
  <c r="G32"/>
  <c r="H32" s="1"/>
  <c r="I32" s="1"/>
  <c r="G24"/>
  <c r="H24" s="1"/>
  <c r="I24" s="1"/>
  <c r="G71"/>
  <c r="H71" s="1"/>
  <c r="I71" s="1"/>
  <c r="G63"/>
  <c r="H63" s="1"/>
  <c r="I63" s="1"/>
  <c r="G55"/>
  <c r="H55" s="1"/>
  <c r="I55" s="1"/>
  <c r="G47"/>
  <c r="H47" s="1"/>
  <c r="I47" s="1"/>
  <c r="G38"/>
  <c r="H38" s="1"/>
  <c r="I38" s="1"/>
  <c r="G30"/>
  <c r="H30" s="1"/>
  <c r="I30" s="1"/>
  <c r="G22"/>
  <c r="H22" s="1"/>
  <c r="I22" s="1"/>
  <c r="G14"/>
  <c r="H14" s="1"/>
  <c r="I14" s="1"/>
  <c r="G57"/>
  <c r="H57" s="1"/>
  <c r="I57" s="1"/>
  <c r="G97" i="7"/>
  <c r="G144"/>
  <c r="H144" s="1"/>
  <c r="G96"/>
  <c r="G142"/>
  <c r="H142" s="1"/>
  <c r="G98"/>
  <c r="H137"/>
  <c r="G143"/>
  <c r="H143" s="1"/>
  <c r="G141"/>
  <c r="H141" s="1"/>
  <c r="G129"/>
  <c r="H129"/>
  <c r="H134"/>
  <c r="I134" l="1"/>
  <c r="H170" i="19"/>
  <c r="I170" s="1"/>
  <c r="H182"/>
  <c r="I182" s="1"/>
  <c r="H380"/>
  <c r="I380" s="1"/>
  <c r="H236"/>
  <c r="I236" s="1"/>
  <c r="H248"/>
  <c r="I248" s="1"/>
  <c r="H404"/>
  <c r="I404" s="1"/>
  <c r="H356"/>
  <c r="I356" s="1"/>
  <c r="H320"/>
  <c r="I320" s="1"/>
  <c r="H416"/>
  <c r="I416" s="1"/>
  <c r="H440"/>
  <c r="I440" s="1"/>
  <c r="H135"/>
  <c r="I135" s="1"/>
  <c r="H147"/>
  <c r="I147" s="1"/>
  <c r="H159"/>
  <c r="I159" s="1"/>
  <c r="H9" i="18"/>
  <c r="I9" s="1"/>
  <c r="H33"/>
  <c r="I33" s="1"/>
  <c r="H31"/>
  <c r="I31" s="1"/>
  <c r="H35"/>
  <c r="I35" s="1"/>
  <c r="H7" i="19"/>
  <c r="I7" s="1"/>
  <c r="H15"/>
  <c r="I15" s="1"/>
  <c r="H23"/>
  <c r="I23" s="1"/>
  <c r="H31"/>
  <c r="I31" s="1"/>
  <c r="H39"/>
  <c r="I39" s="1"/>
  <c r="H47"/>
  <c r="I47" s="1"/>
  <c r="H55"/>
  <c r="I55" s="1"/>
  <c r="H63"/>
  <c r="I63" s="1"/>
  <c r="H71"/>
  <c r="I71" s="1"/>
  <c r="H79"/>
  <c r="I79" s="1"/>
  <c r="H87"/>
  <c r="I87" s="1"/>
  <c r="H95"/>
  <c r="I95" s="1"/>
  <c r="H103"/>
  <c r="I103" s="1"/>
  <c r="H111"/>
  <c r="I111" s="1"/>
  <c r="H121"/>
  <c r="I121" s="1"/>
  <c r="H137"/>
  <c r="I137" s="1"/>
  <c r="H153"/>
  <c r="I153" s="1"/>
  <c r="H127"/>
  <c r="I127" s="1"/>
  <c r="H29" i="18"/>
  <c r="I29" s="1"/>
  <c r="H139" i="19"/>
  <c r="I139" s="1"/>
  <c r="H7" i="18"/>
  <c r="I7" s="1"/>
  <c r="H27"/>
  <c r="I27" s="1"/>
  <c r="H15"/>
  <c r="I15" s="1"/>
  <c r="H25"/>
  <c r="I25" s="1"/>
  <c r="H13" i="19"/>
  <c r="I13" s="1"/>
  <c r="H21"/>
  <c r="I21" s="1"/>
  <c r="H29"/>
  <c r="I29" s="1"/>
  <c r="H37"/>
  <c r="I37" s="1"/>
  <c r="H45"/>
  <c r="I45" s="1"/>
  <c r="H53"/>
  <c r="I53" s="1"/>
  <c r="H61"/>
  <c r="I61" s="1"/>
  <c r="H69"/>
  <c r="I69" s="1"/>
  <c r="H77"/>
  <c r="I77" s="1"/>
  <c r="H85"/>
  <c r="I85" s="1"/>
  <c r="H93"/>
  <c r="I93" s="1"/>
  <c r="H101"/>
  <c r="I101" s="1"/>
  <c r="H109"/>
  <c r="I109" s="1"/>
  <c r="H117"/>
  <c r="I117" s="1"/>
  <c r="H133"/>
  <c r="I133" s="1"/>
  <c r="H149"/>
  <c r="I149" s="1"/>
  <c r="H165"/>
  <c r="I165" s="1"/>
  <c r="H119"/>
  <c r="I119" s="1"/>
  <c r="H151"/>
  <c r="I151" s="1"/>
  <c r="H131"/>
  <c r="I131" s="1"/>
  <c r="H23" i="18"/>
  <c r="I23" s="1"/>
  <c r="H167" i="19"/>
  <c r="I167" s="1"/>
  <c r="H19" i="18"/>
  <c r="I19" s="1"/>
  <c r="H11" i="19"/>
  <c r="I11" s="1"/>
  <c r="H19"/>
  <c r="I19" s="1"/>
  <c r="H27"/>
  <c r="I27" s="1"/>
  <c r="H35"/>
  <c r="I35" s="1"/>
  <c r="H43"/>
  <c r="I43" s="1"/>
  <c r="H51"/>
  <c r="I51" s="1"/>
  <c r="H59"/>
  <c r="I59" s="1"/>
  <c r="H67"/>
  <c r="I67" s="1"/>
  <c r="H75"/>
  <c r="I75" s="1"/>
  <c r="H83"/>
  <c r="I83" s="1"/>
  <c r="H91"/>
  <c r="I91" s="1"/>
  <c r="H99"/>
  <c r="I99" s="1"/>
  <c r="H107"/>
  <c r="I107" s="1"/>
  <c r="H115"/>
  <c r="I115" s="1"/>
  <c r="H129"/>
  <c r="I129" s="1"/>
  <c r="H145"/>
  <c r="I145" s="1"/>
  <c r="H161"/>
  <c r="I161" s="1"/>
  <c r="H17" i="18"/>
  <c r="I17" s="1"/>
  <c r="H143" i="19"/>
  <c r="I143" s="1"/>
  <c r="H123"/>
  <c r="I123" s="1"/>
  <c r="H155"/>
  <c r="I155" s="1"/>
  <c r="H163"/>
  <c r="I163" s="1"/>
  <c r="H13" i="18"/>
  <c r="I13" s="1"/>
  <c r="H37"/>
  <c r="I37" s="1"/>
  <c r="H9" i="19"/>
  <c r="I9" s="1"/>
  <c r="A9" s="1"/>
  <c r="H17"/>
  <c r="I17" s="1"/>
  <c r="H25"/>
  <c r="I25" s="1"/>
  <c r="H33"/>
  <c r="I33" s="1"/>
  <c r="H41"/>
  <c r="I41" s="1"/>
  <c r="H49"/>
  <c r="I49" s="1"/>
  <c r="H57"/>
  <c r="I57" s="1"/>
  <c r="H65"/>
  <c r="I65" s="1"/>
  <c r="H73"/>
  <c r="I73" s="1"/>
  <c r="H81"/>
  <c r="I81" s="1"/>
  <c r="H89"/>
  <c r="I89" s="1"/>
  <c r="H97"/>
  <c r="I97" s="1"/>
  <c r="H105"/>
  <c r="I105" s="1"/>
  <c r="H113"/>
  <c r="I113" s="1"/>
  <c r="H125"/>
  <c r="I125" s="1"/>
  <c r="H141"/>
  <c r="I141" s="1"/>
  <c r="H157"/>
  <c r="I157" s="1"/>
  <c r="H21" i="18"/>
  <c r="I21" s="1"/>
  <c r="H12"/>
  <c r="I12" s="1"/>
  <c r="H22"/>
  <c r="I22" s="1"/>
  <c r="H32"/>
  <c r="I32" s="1"/>
  <c r="H8"/>
  <c r="I8" s="1"/>
  <c r="A8" s="1"/>
  <c r="H34"/>
  <c r="I34" s="1"/>
  <c r="H20"/>
  <c r="I20" s="1"/>
  <c r="H28"/>
  <c r="I28" s="1"/>
  <c r="H14"/>
  <c r="I14" s="1"/>
  <c r="H30"/>
  <c r="I30" s="1"/>
  <c r="H38"/>
  <c r="I38" s="1"/>
  <c r="H36"/>
  <c r="I36" s="1"/>
  <c r="H18"/>
  <c r="I18" s="1"/>
  <c r="H16"/>
  <c r="I16" s="1"/>
  <c r="H24"/>
  <c r="I24" s="1"/>
  <c r="H10"/>
  <c r="I10" s="1"/>
  <c r="H26"/>
  <c r="I26" s="1"/>
  <c r="G114" i="7"/>
  <c r="G101"/>
  <c r="A9" i="12"/>
  <c r="A10" s="1"/>
  <c r="G13" i="7"/>
  <c r="H13" s="1"/>
  <c r="I13" s="1"/>
  <c r="G11"/>
  <c r="C40" i="1"/>
  <c r="G31" i="7" s="1"/>
  <c r="G21"/>
  <c r="H21" s="1"/>
  <c r="I21" s="1"/>
  <c r="I141"/>
  <c r="I144"/>
  <c r="I143"/>
  <c r="I142"/>
  <c r="I137"/>
  <c r="H18" i="13"/>
  <c r="I18" s="1"/>
  <c r="H8"/>
  <c r="I8" s="1"/>
  <c r="A8" s="1"/>
  <c r="C39" i="1"/>
  <c r="G46" i="13" s="1"/>
  <c r="H46" s="1"/>
  <c r="I46" s="1"/>
  <c r="C53" i="1"/>
  <c r="H98" i="7"/>
  <c r="I98" s="1"/>
  <c r="H83"/>
  <c r="I83" s="1"/>
  <c r="H106"/>
  <c r="I106" s="1"/>
  <c r="H97"/>
  <c r="I97" s="1"/>
  <c r="H96"/>
  <c r="I96" s="1"/>
  <c r="H34"/>
  <c r="I34" s="1"/>
  <c r="I129"/>
  <c r="H48"/>
  <c r="I48" s="1"/>
  <c r="H45"/>
  <c r="I45" s="1"/>
  <c r="H42"/>
  <c r="I42" s="1"/>
  <c r="H41"/>
  <c r="I41" s="1"/>
  <c r="H36"/>
  <c r="I36" s="1"/>
  <c r="H40"/>
  <c r="I40" s="1"/>
  <c r="H39"/>
  <c r="I39" s="1"/>
  <c r="H17"/>
  <c r="I17" s="1"/>
  <c r="H33"/>
  <c r="I33" s="1"/>
  <c r="H46"/>
  <c r="I46" s="1"/>
  <c r="H18"/>
  <c r="I18" s="1"/>
  <c r="H47"/>
  <c r="I47" s="1"/>
  <c r="H29"/>
  <c r="I29" s="1"/>
  <c r="A10" i="19" l="1"/>
  <c r="A11" s="1"/>
  <c r="A12" s="1"/>
  <c r="A9" i="18"/>
  <c r="A10" s="1"/>
  <c r="G57" i="7"/>
  <c r="H57" s="1"/>
  <c r="I57" s="1"/>
  <c r="G65"/>
  <c r="H65" s="1"/>
  <c r="I65" s="1"/>
  <c r="G161"/>
  <c r="H161" s="1"/>
  <c r="I161" s="1"/>
  <c r="G122"/>
  <c r="H31"/>
  <c r="I31" s="1"/>
  <c r="G21" i="13"/>
  <c r="H21" s="1"/>
  <c r="I21" s="1"/>
  <c r="G27"/>
  <c r="H27" s="1"/>
  <c r="I27" s="1"/>
  <c r="G104" i="7"/>
  <c r="H104" s="1"/>
  <c r="I104" s="1"/>
  <c r="G15"/>
  <c r="H15" s="1"/>
  <c r="I15" s="1"/>
  <c r="G14" i="13"/>
  <c r="G25"/>
  <c r="H25" s="1"/>
  <c r="I25" s="1"/>
  <c r="G123" i="7"/>
  <c r="H123" s="1"/>
  <c r="I123" s="1"/>
  <c r="G124"/>
  <c r="H124" s="1"/>
  <c r="I124" s="1"/>
  <c r="A11" i="12"/>
  <c r="A12" s="1"/>
  <c r="G43" i="7"/>
  <c r="H43" s="1"/>
  <c r="I43" s="1"/>
  <c r="G49"/>
  <c r="H49" s="1"/>
  <c r="I49" s="1"/>
  <c r="G73"/>
  <c r="H73" s="1"/>
  <c r="I73" s="1"/>
  <c r="G26"/>
  <c r="G74"/>
  <c r="H74" s="1"/>
  <c r="I74" s="1"/>
  <c r="G37"/>
  <c r="H37" s="1"/>
  <c r="I37" s="1"/>
  <c r="G121"/>
  <c r="H114"/>
  <c r="I114" s="1"/>
  <c r="A9" i="13"/>
  <c r="G39"/>
  <c r="H39" s="1"/>
  <c r="I39" s="1"/>
  <c r="G37"/>
  <c r="H37" s="1"/>
  <c r="I37" s="1"/>
  <c r="G35"/>
  <c r="H35" s="1"/>
  <c r="I35" s="1"/>
  <c r="G33"/>
  <c r="H33" s="1"/>
  <c r="I33" s="1"/>
  <c r="G31"/>
  <c r="H31" s="1"/>
  <c r="I31" s="1"/>
  <c r="G29"/>
  <c r="H29" s="1"/>
  <c r="I29" s="1"/>
  <c r="G23"/>
  <c r="H23" s="1"/>
  <c r="I23" s="1"/>
  <c r="G15"/>
  <c r="H15" s="1"/>
  <c r="I15" s="1"/>
  <c r="G44"/>
  <c r="G38"/>
  <c r="G34"/>
  <c r="G30"/>
  <c r="H30" s="1"/>
  <c r="I30" s="1"/>
  <c r="G22"/>
  <c r="H22" s="1"/>
  <c r="I22" s="1"/>
  <c r="G26"/>
  <c r="H107" i="7"/>
  <c r="I107" s="1"/>
  <c r="G127"/>
  <c r="C58" i="1"/>
  <c r="H101" i="7"/>
  <c r="I101" s="1"/>
  <c r="H11"/>
  <c r="I11" s="1"/>
  <c r="A11" s="1"/>
  <c r="H6"/>
  <c r="H44" i="13"/>
  <c r="H26" i="7"/>
  <c r="H121"/>
  <c r="H127"/>
  <c r="H122"/>
  <c r="A13" i="19" l="1"/>
  <c r="A11" i="18"/>
  <c r="A12" i="7"/>
  <c r="A13" i="12"/>
  <c r="I122" i="7"/>
  <c r="I121"/>
  <c r="H26" i="13"/>
  <c r="I26" s="1"/>
  <c r="H14"/>
  <c r="I14" s="1"/>
  <c r="H38"/>
  <c r="I38" s="1"/>
  <c r="H34"/>
  <c r="I34" s="1"/>
  <c r="I44"/>
  <c r="A10"/>
  <c r="A11" s="1"/>
  <c r="I127" i="7"/>
  <c r="I26"/>
  <c r="A14" i="19" l="1"/>
  <c r="A15" s="1"/>
  <c r="A16" s="1"/>
  <c r="A17" s="1"/>
  <c r="A12" i="18"/>
  <c r="A13" i="7"/>
  <c r="A14" i="12"/>
  <c r="A15" s="1"/>
  <c r="A12" i="13"/>
  <c r="A13" l="1"/>
  <c r="A14" s="1"/>
  <c r="A14" i="7"/>
  <c r="A15" s="1"/>
  <c r="A18" i="19"/>
  <c r="A13" i="18"/>
  <c r="A8" i="14"/>
  <c r="A16" i="12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G72" s="1"/>
  <c r="H72" s="1"/>
  <c r="I72" s="1"/>
  <c r="A72" s="1"/>
  <c r="A19" i="19" l="1"/>
  <c r="A14" i="18"/>
  <c r="A16" i="7"/>
  <c r="A9" i="14"/>
  <c r="A10" s="1"/>
  <c r="A11" s="1"/>
  <c r="A12" s="1"/>
  <c r="A13" s="1"/>
  <c r="A14" s="1"/>
  <c r="A15" s="1"/>
  <c r="A15" i="13"/>
  <c r="A20" i="19" l="1"/>
  <c r="A15" i="18"/>
  <c r="A16" s="1"/>
  <c r="A17" i="7"/>
  <c r="A16" i="14"/>
  <c r="A17" s="1"/>
  <c r="A18" s="1"/>
  <c r="A19" s="1"/>
  <c r="A20" s="1"/>
  <c r="A21" s="1"/>
  <c r="A22" s="1"/>
  <c r="A23" s="1"/>
  <c r="A16" i="13"/>
  <c r="A17" s="1"/>
  <c r="A18" s="1"/>
  <c r="A18" i="7" l="1"/>
  <c r="A19" s="1"/>
  <c r="A20" s="1"/>
  <c r="A21" s="1"/>
  <c r="A21" i="19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17" i="18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24" i="14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9" i="13"/>
  <c r="A20" s="1"/>
  <c r="A139" i="14" l="1"/>
  <c r="G140"/>
  <c r="H140" s="1"/>
  <c r="I140" s="1"/>
  <c r="A55" i="19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117" i="18"/>
  <c r="A118" s="1"/>
  <c r="A22" i="7"/>
  <c r="A23" s="1"/>
  <c r="A21" i="13"/>
  <c r="A140" i="14" l="1"/>
  <c r="A24" i="7"/>
  <c r="A25" s="1"/>
  <c r="A26" s="1"/>
  <c r="A29" s="1"/>
  <c r="A30" s="1"/>
  <c r="A31" s="1"/>
  <c r="A74" i="19"/>
  <c r="A75" s="1"/>
  <c r="A119" i="18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22" i="13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32" i="7" l="1"/>
  <c r="A33" s="1"/>
  <c r="A169" i="18"/>
  <c r="G170"/>
  <c r="H170" s="1"/>
  <c r="I170" s="1"/>
  <c r="A76" i="19"/>
  <c r="A77" s="1"/>
  <c r="A78" s="1"/>
  <c r="A170" i="18" l="1"/>
  <c r="A34" i="7"/>
  <c r="A79" i="19"/>
  <c r="A80" s="1"/>
  <c r="A81" s="1"/>
  <c r="A35" i="7" l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3" s="1"/>
  <c r="A82" i="19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54" i="7" l="1"/>
  <c r="A123" i="19"/>
  <c r="A124" s="1"/>
  <c r="A125" s="1"/>
  <c r="A126" s="1"/>
  <c r="A127" s="1"/>
  <c r="A128" s="1"/>
  <c r="A129" s="1"/>
  <c r="A130" s="1"/>
  <c r="A131" s="1"/>
  <c r="A132" s="1"/>
  <c r="A55" i="7" l="1"/>
  <c r="A133" i="19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56" i="7" l="1"/>
  <c r="A179" i="19"/>
  <c r="A180" s="1"/>
  <c r="A57" i="7" l="1"/>
  <c r="A181" i="19"/>
  <c r="A58" i="7" l="1"/>
  <c r="A182" i="19"/>
  <c r="A59" i="7" l="1"/>
  <c r="A183" i="19"/>
  <c r="A184" s="1"/>
  <c r="A185" s="1"/>
  <c r="A60" i="7" l="1"/>
  <c r="A186" i="19"/>
  <c r="A61" i="7" l="1"/>
  <c r="A62" s="1"/>
  <c r="A63" s="1"/>
  <c r="A64" s="1"/>
  <c r="A65" s="1"/>
  <c r="A66" s="1"/>
  <c r="A67" s="1"/>
  <c r="A68" s="1"/>
  <c r="A187" i="19"/>
  <c r="A188" s="1"/>
  <c r="A189" s="1"/>
  <c r="A69" i="7" l="1"/>
  <c r="A70" s="1"/>
  <c r="A73" s="1"/>
  <c r="A74" s="1"/>
  <c r="A75" s="1"/>
  <c r="A76" s="1"/>
  <c r="A77" s="1"/>
  <c r="A78" s="1"/>
  <c r="A79" s="1"/>
  <c r="A80" s="1"/>
  <c r="A190" i="19"/>
  <c r="A191" s="1"/>
  <c r="A192" s="1"/>
  <c r="A193" s="1"/>
  <c r="A194" s="1"/>
  <c r="A83" i="7" l="1"/>
  <c r="A84" s="1"/>
  <c r="A85" s="1"/>
  <c r="A86" s="1"/>
  <c r="A89" s="1"/>
  <c r="A90" s="1"/>
  <c r="A91" s="1"/>
  <c r="A92" s="1"/>
  <c r="A93" s="1"/>
  <c r="A94" s="1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4" s="1"/>
  <c r="A115" s="1"/>
  <c r="A116" s="1"/>
  <c r="A117" s="1"/>
  <c r="A118" s="1"/>
  <c r="A121" s="1"/>
  <c r="A122" s="1"/>
  <c r="A123" s="1"/>
  <c r="A124" s="1"/>
  <c r="A127" s="1"/>
  <c r="A195" i="19"/>
  <c r="A128" i="7" l="1"/>
  <c r="A129" s="1"/>
  <c r="A196" i="19"/>
  <c r="A130" i="7" l="1"/>
  <c r="A131" s="1"/>
  <c r="A132" s="1"/>
  <c r="A133" s="1"/>
  <c r="A134" s="1"/>
  <c r="A197" i="19"/>
  <c r="A198" s="1"/>
  <c r="A137" i="7" l="1"/>
  <c r="A138" s="1"/>
  <c r="A139" s="1"/>
  <c r="A199" i="19"/>
  <c r="A200" s="1"/>
  <c r="A140" i="7" l="1"/>
  <c r="A141" s="1"/>
  <c r="A201" i="19"/>
  <c r="A202" s="1"/>
  <c r="A142" i="7" l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61" s="1"/>
  <c r="A162" s="1"/>
  <c r="A203" i="19"/>
  <c r="A204" l="1"/>
  <c r="A205" l="1"/>
  <c r="A206" l="1"/>
  <c r="A207" s="1"/>
  <c r="A208" l="1"/>
  <c r="A209" s="1"/>
  <c r="A210" s="1"/>
  <c r="A211" s="1"/>
  <c r="A212" s="1"/>
  <c r="A213" s="1"/>
  <c r="A214" s="1"/>
  <c r="A215" s="1"/>
  <c r="A216" s="1"/>
  <c r="A217" s="1"/>
  <c r="A218" s="1"/>
  <c r="A219" s="1"/>
  <c r="A220" s="1"/>
  <c r="A221" s="1"/>
  <c r="A222" s="1"/>
  <c r="A223" s="1"/>
  <c r="A224" s="1"/>
  <c r="A225" s="1"/>
  <c r="A226" s="1"/>
  <c r="A227" s="1"/>
  <c r="A228" s="1"/>
  <c r="A229" s="1"/>
  <c r="A230" s="1"/>
  <c r="A231" s="1"/>
  <c r="A232" s="1"/>
  <c r="A233" s="1"/>
  <c r="A234" s="1"/>
  <c r="A235" s="1"/>
  <c r="A236" s="1"/>
  <c r="A237" s="1"/>
  <c r="A238" l="1"/>
  <c r="A239" s="1"/>
  <c r="A240" s="1"/>
  <c r="A241" s="1"/>
  <c r="A242" s="1"/>
  <c r="A243" s="1"/>
  <c r="A244" s="1"/>
  <c r="A245" s="1"/>
  <c r="A246" s="1"/>
  <c r="A247" s="1"/>
  <c r="A248" s="1"/>
  <c r="A249" s="1"/>
  <c r="A250" s="1"/>
  <c r="A251" s="1"/>
  <c r="A252" s="1"/>
  <c r="A253" s="1"/>
  <c r="A254" s="1"/>
  <c r="A255" s="1"/>
  <c r="A256" s="1"/>
  <c r="A257" s="1"/>
  <c r="A258" s="1"/>
  <c r="A259" s="1"/>
  <c r="A260" s="1"/>
  <c r="A261" s="1"/>
  <c r="A262" s="1"/>
  <c r="A263" s="1"/>
  <c r="A264" s="1"/>
  <c r="A265" s="1"/>
  <c r="A266" s="1"/>
  <c r="A267" l="1"/>
  <c r="A268" s="1"/>
  <c r="A269" l="1"/>
  <c r="A270" l="1"/>
  <c r="A271" l="1"/>
  <c r="A272" l="1"/>
  <c r="A273" l="1"/>
  <c r="A274" l="1"/>
  <c r="A275" l="1"/>
  <c r="A276" l="1"/>
  <c r="A277" l="1"/>
  <c r="A278" l="1"/>
  <c r="A279" l="1"/>
  <c r="A280" s="1"/>
  <c r="A281" s="1"/>
  <c r="A282" s="1"/>
  <c r="A283" s="1"/>
  <c r="A284" s="1"/>
  <c r="A285" s="1"/>
  <c r="A286" s="1"/>
  <c r="A287" s="1"/>
  <c r="A288" s="1"/>
  <c r="A289" s="1"/>
  <c r="A290" s="1"/>
  <c r="A291" s="1"/>
  <c r="A292" s="1"/>
  <c r="A293" s="1"/>
  <c r="A294" s="1"/>
  <c r="A295" s="1"/>
  <c r="A296" s="1"/>
  <c r="A297" s="1"/>
  <c r="A298" s="1"/>
  <c r="A299" s="1"/>
  <c r="A300" s="1"/>
  <c r="A301" s="1"/>
  <c r="A302" s="1"/>
  <c r="A303" s="1"/>
  <c r="A304" s="1"/>
  <c r="A305" s="1"/>
  <c r="A306" s="1"/>
  <c r="A307" s="1"/>
  <c r="A308" s="1"/>
  <c r="A309" s="1"/>
  <c r="A310" s="1"/>
  <c r="A311" s="1"/>
  <c r="A312" s="1"/>
  <c r="A313" s="1"/>
  <c r="A314" s="1"/>
  <c r="A315" s="1"/>
  <c r="A316" s="1"/>
  <c r="A317" s="1"/>
  <c r="A318" s="1"/>
  <c r="A319" s="1"/>
  <c r="A320" s="1"/>
  <c r="A321" s="1"/>
  <c r="A322" s="1"/>
  <c r="A323" s="1"/>
  <c r="A324" s="1"/>
  <c r="A325" s="1"/>
  <c r="A326" s="1"/>
  <c r="A327" s="1"/>
  <c r="A328" s="1"/>
  <c r="A329" s="1"/>
  <c r="A330" s="1"/>
  <c r="A331" s="1"/>
  <c r="A332" s="1"/>
  <c r="A333" s="1"/>
  <c r="A334" s="1"/>
  <c r="A335" s="1"/>
  <c r="A336" s="1"/>
  <c r="A337" s="1"/>
  <c r="A338" s="1"/>
  <c r="A339" s="1"/>
  <c r="A340" s="1"/>
  <c r="A341" s="1"/>
  <c r="A342" s="1"/>
  <c r="A343" s="1"/>
  <c r="A344" s="1"/>
  <c r="A345" s="1"/>
  <c r="A346" s="1"/>
  <c r="A347" s="1"/>
  <c r="A348" s="1"/>
  <c r="A349" s="1"/>
  <c r="A350" s="1"/>
  <c r="A351" s="1"/>
  <c r="A352" s="1"/>
  <c r="A353" s="1"/>
  <c r="A354" s="1"/>
  <c r="A355" s="1"/>
  <c r="A356" s="1"/>
  <c r="A357" s="1"/>
  <c r="A358" s="1"/>
  <c r="A359" s="1"/>
  <c r="A360" s="1"/>
  <c r="A361" s="1"/>
  <c r="A362" s="1"/>
  <c r="A363" s="1"/>
  <c r="A364" s="1"/>
  <c r="A365" s="1"/>
  <c r="A366" s="1"/>
  <c r="A367" s="1"/>
  <c r="A368" s="1"/>
  <c r="A369" s="1"/>
  <c r="A370" s="1"/>
  <c r="A371" s="1"/>
  <c r="A372" s="1"/>
  <c r="A373" l="1"/>
  <c r="A374" s="1"/>
  <c r="A375" s="1"/>
  <c r="A376" s="1"/>
  <c r="A377" s="1"/>
  <c r="A378" s="1"/>
  <c r="A379" s="1"/>
  <c r="A380" s="1"/>
  <c r="A381" s="1"/>
  <c r="A382" s="1"/>
  <c r="A383" s="1"/>
  <c r="A384" s="1"/>
  <c r="A385" s="1"/>
  <c r="A386" s="1"/>
  <c r="A387" s="1"/>
  <c r="A388" s="1"/>
  <c r="A389" s="1"/>
  <c r="A390" s="1"/>
  <c r="A391" s="1"/>
  <c r="A392" s="1"/>
  <c r="A393" s="1"/>
  <c r="A394" s="1"/>
  <c r="A395" s="1"/>
  <c r="A396" s="1"/>
  <c r="A397" s="1"/>
  <c r="A398" s="1"/>
  <c r="A399" s="1"/>
  <c r="A400" s="1"/>
  <c r="A401" s="1"/>
  <c r="A402" s="1"/>
  <c r="A403" s="1"/>
  <c r="A404" s="1"/>
  <c r="A405" s="1"/>
  <c r="A406" s="1"/>
  <c r="A407" s="1"/>
  <c r="A408" s="1"/>
  <c r="A409" s="1"/>
  <c r="A410" s="1"/>
  <c r="A411" s="1"/>
  <c r="A412" s="1"/>
  <c r="A413" s="1"/>
  <c r="A414" s="1"/>
  <c r="A415" s="1"/>
  <c r="A416" l="1"/>
  <c r="A417" s="1"/>
  <c r="A418" s="1"/>
  <c r="A419" s="1"/>
  <c r="A420" s="1"/>
  <c r="A421" s="1"/>
  <c r="A422" s="1"/>
  <c r="A423" s="1"/>
  <c r="A424" s="1"/>
  <c r="A425" s="1"/>
  <c r="A426" s="1"/>
  <c r="A427" s="1"/>
  <c r="A428" s="1"/>
  <c r="A429" s="1"/>
  <c r="A430" s="1"/>
  <c r="A431" s="1"/>
  <c r="A432" s="1"/>
  <c r="A433" s="1"/>
  <c r="A434" s="1"/>
  <c r="A435" s="1"/>
  <c r="A436" s="1"/>
  <c r="A437" s="1"/>
  <c r="A438" s="1"/>
  <c r="A439" s="1"/>
  <c r="A440" s="1"/>
  <c r="A441" s="1"/>
  <c r="A442" s="1"/>
  <c r="A443" s="1"/>
  <c r="A444" s="1"/>
  <c r="A445" s="1"/>
  <c r="A446" s="1"/>
  <c r="A447" s="1"/>
  <c r="A448" s="1"/>
  <c r="A449" s="1"/>
  <c r="A450" s="1"/>
  <c r="A451" s="1"/>
  <c r="A452" s="1"/>
  <c r="A453" s="1"/>
  <c r="A454" s="1"/>
  <c r="A455" l="1"/>
  <c r="A456" s="1"/>
  <c r="A457" l="1"/>
  <c r="A458" s="1"/>
  <c r="A459" s="1"/>
  <c r="A460" s="1"/>
  <c r="A461" s="1"/>
  <c r="A462" s="1"/>
  <c r="A463" s="1"/>
  <c r="A464" s="1"/>
  <c r="A465" s="1"/>
  <c r="A466" s="1"/>
  <c r="A467" s="1"/>
  <c r="A468" s="1"/>
  <c r="A469" s="1"/>
  <c r="A470" s="1"/>
  <c r="A471" s="1"/>
  <c r="A472" s="1"/>
  <c r="A473" s="1"/>
  <c r="A474" s="1"/>
  <c r="A475" s="1"/>
  <c r="A476" s="1"/>
  <c r="A477" s="1"/>
  <c r="A478" s="1"/>
  <c r="A479" s="1"/>
  <c r="A480" s="1"/>
  <c r="A481" s="1"/>
  <c r="A482" s="1"/>
  <c r="A483" s="1"/>
  <c r="A484" s="1"/>
  <c r="A485" s="1"/>
  <c r="A486" s="1"/>
  <c r="A487" s="1"/>
  <c r="A488" s="1"/>
  <c r="A489" s="1"/>
  <c r="A490" l="1"/>
  <c r="G491"/>
  <c r="H491" s="1"/>
  <c r="I491" s="1"/>
  <c r="A491" l="1"/>
</calcChain>
</file>

<file path=xl/comments1.xml><?xml version="1.0" encoding="utf-8"?>
<comments xmlns="http://schemas.openxmlformats.org/spreadsheetml/2006/main">
  <authors>
    <author>Marcelo Campos Silva</author>
    <author>Verônica Marin</author>
  </authors>
  <commentList>
    <comment ref="A3" authorId="0">
      <text>
        <r>
          <rPr>
            <sz val="9"/>
            <color indexed="81"/>
            <rFont val="Tahoma"/>
            <family val="2"/>
          </rPr>
          <t>[%] Q15 - Limits the max vs voltage, this factor is correlated to the max pwm duty.</t>
        </r>
      </text>
    </comment>
    <comment ref="A11" author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12" authorId="0">
      <text>
        <r>
          <rPr>
            <sz val="9"/>
            <color indexed="81"/>
            <rFont val="Tahoma"/>
            <family val="2"/>
          </rPr>
          <t>Refer to the observer for further saturation compensation.</t>
        </r>
      </text>
    </comment>
    <comment ref="A51" authorId="0">
      <text>
        <r>
          <rPr>
            <sz val="9"/>
            <color indexed="81"/>
            <rFont val="Tahoma"/>
            <family val="2"/>
          </rPr>
          <t>this is not used by Class B nor there is no use to find the zero speed.</t>
        </r>
      </text>
    </comment>
    <comment ref="A176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0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181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2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3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4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5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6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187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</t>
        </r>
      </text>
    </comment>
    <comment ref="A360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Forced_Flux_Plateau_After_Ramp</t>
        </r>
      </text>
    </comment>
    <comment ref="A361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Min_Current_Build_Flux</t>
        </r>
      </text>
    </comment>
    <comment ref="A362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Higher than 100% means the forced flux will be higher than the minimum flux in the machine (w/o current), e.g. rotor fluxes
Forced_Flux_Ref_After_Build_Flux</t>
        </r>
      </text>
    </comment>
    <comment ref="A363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Build_Flux_Increment</t>
        </r>
      </text>
    </comment>
    <comment ref="A369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Debounce_Off_Running_Finished</t>
        </r>
      </text>
    </comment>
    <comment ref="A370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Time_All_Dev_Below_Min_Speed</t>
        </r>
      </text>
    </comment>
    <comment ref="A371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
</t>
        </r>
      </text>
    </comment>
    <comment ref="A372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73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parameter</t>
        </r>
      </text>
    </comment>
    <comment ref="A393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4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395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Voltage add on every 1 ms</t>
        </r>
      </text>
    </comment>
    <comment ref="A403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timer_prescaler</t>
        </r>
      </text>
    </comment>
    <comment ref="A413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Temperature coefficient for temperature estimation in Celsius degree (copper 0.00383, aluminium 0.00403)</t>
        </r>
      </text>
    </comment>
    <comment ref="A418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section to hold speed reference parameters</t>
        </r>
      </text>
    </comment>
  </commentList>
</comments>
</file>

<file path=xl/comments2.xml><?xml version="1.0" encoding="utf-8"?>
<comments xmlns="http://schemas.openxmlformats.org/spreadsheetml/2006/main">
  <authors>
    <author>Marcelo Campos Silva</author>
    <author>Verônica Marin</author>
  </authors>
  <commentList>
    <comment ref="B8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MCL_INPUT_CALL_RATE_HZ</t>
        </r>
      </text>
    </comment>
    <comment ref="B12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E24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 trapezoidal integration</t>
        </r>
      </text>
    </comment>
    <comment ref="E25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0.5 means trapezoidal integration</t>
        </r>
      </text>
    </comment>
    <comment ref="E29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  <comment ref="B57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58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0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1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2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4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65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6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7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8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69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sBPM Variable
</t>
        </r>
      </text>
    </comment>
    <comment ref="B77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8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79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80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New variable, added on the newer version of the code</t>
        </r>
      </text>
    </comment>
    <comment ref="B107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RES_MEASURE_RATE_SPD_TRS_SPIN</t>
        </r>
      </text>
    </comment>
    <comment ref="B108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RES_RELOAD_MEAS_RATE_TIMER_AFTER_RESET</t>
        </r>
      </text>
    </comment>
    <comment ref="B109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RES_MEASURE_RATE_TSHD_RESET</t>
        </r>
      </text>
    </comment>
    <comment ref="B110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RES_RELOAD_MEAS_RATE_TIMER_NORMAL</t>
        </r>
      </text>
    </comment>
    <comment ref="B111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RES_MEASURE_RATE_TSHD_SPIN</t>
        </r>
      </text>
    </comment>
    <comment ref="B123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4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Variable added to excel - Exist and is being used on the code. </t>
        </r>
      </text>
    </comment>
    <comment ref="B127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BASE_SPEED_RPM</t>
        </r>
      </text>
    </comment>
    <comment ref="B128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BASE_TORQ</t>
        </r>
      </text>
    </comment>
    <comment ref="B136" authorId="1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Manual_Injection is a parameter with the structure MCL_DQ_CTRL_PARAMS_TYPE, so the other variables on this structure had to be added to the excel</t>
        </r>
      </text>
    </comment>
    <comment ref="E137" authorId="0">
      <text>
        <r>
          <rPr>
            <b/>
            <sz val="9"/>
            <color indexed="81"/>
            <rFont val="Tahoma"/>
            <family val="2"/>
          </rPr>
          <t>Marcelo Campos Silva:</t>
        </r>
        <r>
          <rPr>
            <sz val="9"/>
            <color indexed="81"/>
            <rFont val="Tahoma"/>
            <family val="2"/>
          </rPr>
          <t xml:space="preserve">
1.5 = 50% above nominal resistance.
7 = 7V as margin for the PI - to no clamp the output.</t>
        </r>
      </text>
    </comment>
  </commentList>
</comments>
</file>

<file path=xl/comments3.xml><?xml version="1.0" encoding="utf-8"?>
<comments xmlns="http://schemas.openxmlformats.org/spreadsheetml/2006/main">
  <authors>
    <author>Verônica Marin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4.xml><?xml version="1.0" encoding="utf-8"?>
<comments xmlns="http://schemas.openxmlformats.org/spreadsheetml/2006/main">
  <authors>
    <author>Verônica Marin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
</t>
        </r>
      </text>
    </comment>
  </commentList>
</comments>
</file>

<file path=xl/comments5.xml><?xml version="1.0" encoding="utf-8"?>
<comments xmlns="http://schemas.openxmlformats.org/spreadsheetml/2006/main">
  <authors>
    <author>Verônica Marin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comments6.xml><?xml version="1.0" encoding="utf-8"?>
<comments xmlns="http://schemas.openxmlformats.org/spreadsheetml/2006/main">
  <authors>
    <author>Verônica Marin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Verônica Marin:</t>
        </r>
        <r>
          <rPr>
            <sz val="9"/>
            <color indexed="81"/>
            <rFont val="Tahoma"/>
            <family val="2"/>
          </rPr>
          <t xml:space="preserve">
Had to change the order to have one input followed by one output</t>
        </r>
      </text>
    </comment>
  </commentList>
</comments>
</file>

<file path=xl/sharedStrings.xml><?xml version="1.0" encoding="utf-8"?>
<sst xmlns="http://schemas.openxmlformats.org/spreadsheetml/2006/main" count="5718" uniqueCount="3142">
  <si>
    <t>Parameter</t>
  </si>
  <si>
    <t>Unit</t>
  </si>
  <si>
    <t>Typical Value</t>
  </si>
  <si>
    <t>Max</t>
  </si>
  <si>
    <t>Min</t>
  </si>
  <si>
    <t>This template is used for the requirements  of GESE implementation for motor control</t>
  </si>
  <si>
    <t>- GUI Form arrangement (number and name of GESE forms)</t>
  </si>
  <si>
    <t>- GESE parameters</t>
  </si>
  <si>
    <t>For every displacement, the requirements consist in:</t>
  </si>
  <si>
    <t>- GESE parameters to Data Structure conversion formula</t>
  </si>
  <si>
    <t>The xls file shall be attached in DNG requirement of the displacement</t>
  </si>
  <si>
    <t>NAME</t>
  </si>
  <si>
    <t xml:space="preserve">Put here the names of the GESE tables required by the displacement implementation  </t>
  </si>
  <si>
    <t>Form A</t>
  </si>
  <si>
    <t>Form B</t>
  </si>
  <si>
    <t>Form …</t>
  </si>
  <si>
    <t>Name</t>
  </si>
  <si>
    <t>Formula</t>
  </si>
  <si>
    <t>Max_Available_Voltage_Factor</t>
  </si>
  <si>
    <t>%</t>
  </si>
  <si>
    <t>Maximum available voltage factor</t>
  </si>
  <si>
    <t>Decimal</t>
  </si>
  <si>
    <t>Format</t>
  </si>
  <si>
    <t>Q15</t>
  </si>
  <si>
    <t>Q16</t>
  </si>
  <si>
    <t>Q30</t>
  </si>
  <si>
    <t>Q20</t>
  </si>
  <si>
    <t xml:space="preserve">Stator_Resistance            </t>
  </si>
  <si>
    <t xml:space="preserve">Stator_Resistance_Gain       </t>
  </si>
  <si>
    <t xml:space="preserve">Curr_Resistance_Threshold    </t>
  </si>
  <si>
    <t>Curr_Resistance_Spd_Threshold</t>
  </si>
  <si>
    <t xml:space="preserve">Rotor_Flux_Nominal           </t>
  </si>
  <si>
    <t>Observer_G_gain</t>
  </si>
  <si>
    <t xml:space="preserve">Emf_Int_Constant             </t>
  </si>
  <si>
    <t>Min_Flux_Zero_Speed</t>
  </si>
  <si>
    <t>Pole_Pairs</t>
  </si>
  <si>
    <t>Factor_DeltaTheta_to_Omega</t>
  </si>
  <si>
    <t xml:space="preserve">Starting_Threshold           </t>
  </si>
  <si>
    <t xml:space="preserve">PLL_Kp                       </t>
  </si>
  <si>
    <t xml:space="preserve">PLL_Ki                       </t>
  </si>
  <si>
    <t xml:space="preserve">integ_k                      </t>
  </si>
  <si>
    <t xml:space="preserve">omega_2pu                    </t>
  </si>
  <si>
    <t>Stator resistance</t>
  </si>
  <si>
    <t>Stator Resistance adaptation gain</t>
  </si>
  <si>
    <t>Current threshold to enable resistance adaptation</t>
  </si>
  <si>
    <t>Speed threshold to enable resistance adaptation</t>
  </si>
  <si>
    <t>Rotor magnets - nominal flux</t>
  </si>
  <si>
    <t>Observer G gain</t>
  </si>
  <si>
    <t>Stator flux integration constant</t>
  </si>
  <si>
    <t>Minimum flux for zero speed</t>
  </si>
  <si>
    <t>Pole pairs</t>
  </si>
  <si>
    <t>Factor to convert rotor flux rate to speed</t>
  </si>
  <si>
    <t>Starting time threshold</t>
  </si>
  <si>
    <t>Speed - PLL Proportional Kp gain</t>
  </si>
  <si>
    <t>Speed - PLL Proportional Ki gain</t>
  </si>
  <si>
    <t>Speed - PLL integration constant</t>
  </si>
  <si>
    <t>Speed - PLL convert flux rate to speed</t>
  </si>
  <si>
    <t>sint32</t>
  </si>
  <si>
    <t>uint8</t>
  </si>
  <si>
    <t>sint8</t>
  </si>
  <si>
    <t>sint16</t>
  </si>
  <si>
    <t>sint64</t>
  </si>
  <si>
    <t>uint16</t>
  </si>
  <si>
    <t>uint32</t>
  </si>
  <si>
    <t>uint64</t>
  </si>
  <si>
    <t>float32</t>
  </si>
  <si>
    <t>double64</t>
  </si>
  <si>
    <t>Variable size name</t>
  </si>
  <si>
    <t>Variable size (bits)</t>
  </si>
  <si>
    <t>NA</t>
  </si>
  <si>
    <t>Motor Control Block - Observer</t>
  </si>
  <si>
    <t>Motor Control Block - Input processing</t>
  </si>
  <si>
    <t>transtion_time[0]</t>
  </si>
  <si>
    <t>transtion_time[1]</t>
  </si>
  <si>
    <t>transtion_time[2]</t>
  </si>
  <si>
    <t>Motor Control Block - DQ Controller</t>
  </si>
  <si>
    <t>torque_kp[0]</t>
  </si>
  <si>
    <t>torque_ki[0]</t>
  </si>
  <si>
    <t>flux_kp[0]</t>
  </si>
  <si>
    <t>flux_ki[0]</t>
  </si>
  <si>
    <t>abs_speed[0]</t>
  </si>
  <si>
    <t>torque_kp[1]</t>
  </si>
  <si>
    <t>torque_ki[1]</t>
  </si>
  <si>
    <t>flux_kp[1]</t>
  </si>
  <si>
    <t>flux_ki[1]</t>
  </si>
  <si>
    <t>abs_speed[1]</t>
  </si>
  <si>
    <t>torque_kp[2]</t>
  </si>
  <si>
    <t>torque_ki[2]</t>
  </si>
  <si>
    <t>flux_kp[2]</t>
  </si>
  <si>
    <t>flux_ki[2]</t>
  </si>
  <si>
    <t>abs_speed[2]</t>
  </si>
  <si>
    <t>Force_Gains_Starting_Time</t>
  </si>
  <si>
    <t>Vd_Max</t>
  </si>
  <si>
    <t>Phase_Advance_Coeff</t>
  </si>
  <si>
    <t>Motor Control Block - DQ Reference generator</t>
  </si>
  <si>
    <t>Forced_Flux_Decrement</t>
  </si>
  <si>
    <t>Rotor_Lambda_M</t>
  </si>
  <si>
    <t>Max_Flux</t>
  </si>
  <si>
    <t>Starting_Threshold</t>
  </si>
  <si>
    <t>Max_Voltage_Factor</t>
  </si>
  <si>
    <t>Motor Control Block - RUNNING Algorithms</t>
  </si>
  <si>
    <t>Motor Control Block - Speed Reference generator</t>
  </si>
  <si>
    <t>SpeedRef_Speed_Factor</t>
  </si>
  <si>
    <t>SpeedRef_Accel_Factor</t>
  </si>
  <si>
    <t>Motor Control Block - Resistance Estimation Algorithm</t>
  </si>
  <si>
    <t>timeout_threshold</t>
  </si>
  <si>
    <t>current_level_1st</t>
  </si>
  <si>
    <t>current_level_2nd</t>
  </si>
  <si>
    <t>current_level_3rd</t>
  </si>
  <si>
    <t>time_1st_step</t>
  </si>
  <si>
    <t>time_2nd_step</t>
  </si>
  <si>
    <t>time_3rd_step</t>
  </si>
  <si>
    <t>delta_voltage_to_1st_step</t>
  </si>
  <si>
    <t>delta_voltage_to_2nd_step</t>
  </si>
  <si>
    <t>delta_voltage_to_3rd_step</t>
  </si>
  <si>
    <t>oscillation_check_timer</t>
  </si>
  <si>
    <t>min_number_of_samples</t>
  </si>
  <si>
    <t>nominal_resistance</t>
  </si>
  <si>
    <t>timeout_1st_plateau</t>
  </si>
  <si>
    <t>timeout_2nd_plateau</t>
  </si>
  <si>
    <t>oscillation_speed_threshold</t>
  </si>
  <si>
    <t>timer_to_reset_resistance</t>
  </si>
  <si>
    <t>timer_prescaler</t>
  </si>
  <si>
    <t>speed_threshold_to_estimate_resistance</t>
  </si>
  <si>
    <t>time_estimate_resistance_after_reset</t>
  </si>
  <si>
    <t>number_estimation_after_reset</t>
  </si>
  <si>
    <t>number_estimation_after_spin</t>
  </si>
  <si>
    <t>Motor Control Block - Base System</t>
  </si>
  <si>
    <t>Ld_Lut_Current[0]</t>
  </si>
  <si>
    <t>Ld_Lut_Current[1]</t>
  </si>
  <si>
    <t>Ld_Lut_Current[2]</t>
  </si>
  <si>
    <t>Ld_Lut_Current[3]</t>
  </si>
  <si>
    <t>Ld_Lut_Current[4]</t>
  </si>
  <si>
    <t>Ld_Lut_Current[5]</t>
  </si>
  <si>
    <t>Ld_Lut_Current[6]</t>
  </si>
  <si>
    <t>Ld_Lut_Current[7]</t>
  </si>
  <si>
    <t>Ld_Lut_Current[8]</t>
  </si>
  <si>
    <t>Ld_Lut_Current[9]</t>
  </si>
  <si>
    <t>Ld_Lut_Current[10]</t>
  </si>
  <si>
    <t>Ld_Lut_Current[12]</t>
  </si>
  <si>
    <t>Ld_Lut_Current[11]</t>
  </si>
  <si>
    <t>Ld_Lut_Current[13]</t>
  </si>
  <si>
    <t>Ld_Lut_Current[14]</t>
  </si>
  <si>
    <t>Ld_Lut_Current[15]</t>
  </si>
  <si>
    <t>Ld_Lut_Inductance[0]</t>
  </si>
  <si>
    <t>Ld_Lut_Inductance[1]</t>
  </si>
  <si>
    <t>Ld_Lut_Inductance[2]</t>
  </si>
  <si>
    <t>Ld_Lut_Inductance[3]</t>
  </si>
  <si>
    <t>Ld_Lut_Inductance[4]</t>
  </si>
  <si>
    <t>Ld_Lut_Inductance[5]</t>
  </si>
  <si>
    <t>Ld_Lut_Inductance[6]</t>
  </si>
  <si>
    <t>Ld_Lut_Inductance[7]</t>
  </si>
  <si>
    <t>Ld_Lut_Inductance[8]</t>
  </si>
  <si>
    <t>Ld_Lut_Inductance[9]</t>
  </si>
  <si>
    <t>Ld_Lut_Inductance[10]</t>
  </si>
  <si>
    <t>Ld_Lut_Inductance[11]</t>
  </si>
  <si>
    <t>Ld_Lut_Inductance[12]</t>
  </si>
  <si>
    <t>Ld_Lut_Inductance[13]</t>
  </si>
  <si>
    <t>Ld_Lut_Inductance[14]</t>
  </si>
  <si>
    <t>Ld_Lut_Inductance[15]</t>
  </si>
  <si>
    <t>Lq_Lut_Current[0]</t>
  </si>
  <si>
    <t>Lq_Lut_Current[1]</t>
  </si>
  <si>
    <t>Lq_Lut_Current[2]</t>
  </si>
  <si>
    <t>Lq_Lut_Current[3]</t>
  </si>
  <si>
    <t>Lq_Lut_Current[4]</t>
  </si>
  <si>
    <t>Lq_Lut_Current[5]</t>
  </si>
  <si>
    <t>Lq_Lut_Current[6]</t>
  </si>
  <si>
    <t>Lq_Lut_Current[7]</t>
  </si>
  <si>
    <t>Lq_Lut_Current[8]</t>
  </si>
  <si>
    <t>Lq_Lut_Current[9]</t>
  </si>
  <si>
    <t>Lq_Lut_Current[10]</t>
  </si>
  <si>
    <t>Lq_Lut_Current[11]</t>
  </si>
  <si>
    <t>Lq_Lut_Current[12]</t>
  </si>
  <si>
    <t>Lq_Lut_Current[13]</t>
  </si>
  <si>
    <t>Lq_Lut_Current[14]</t>
  </si>
  <si>
    <t>Lq_Lut_Current[15]</t>
  </si>
  <si>
    <t>Lq_Lut_Inductance[0]</t>
  </si>
  <si>
    <t>Lq_Lut_Inductance[1]</t>
  </si>
  <si>
    <t>Lq_Lut_Inductance[2]</t>
  </si>
  <si>
    <t>Lq_Lut_Inductance[3]</t>
  </si>
  <si>
    <t>Lq_Lut_Inductance[4]</t>
  </si>
  <si>
    <t>Lq_Lut_Inductance[5]</t>
  </si>
  <si>
    <t>Lq_Lut_Inductance[6]</t>
  </si>
  <si>
    <t>Lq_Lut_Inductance[7]</t>
  </si>
  <si>
    <t>Lq_Lut_Inductance[8]</t>
  </si>
  <si>
    <t>Lq_Lut_Inductance[9]</t>
  </si>
  <si>
    <t>Lq_Lut_Inductance[10]</t>
  </si>
  <si>
    <t>Lq_Lut_Inductance[11]</t>
  </si>
  <si>
    <t>Lq_Lut_Inductance[12]</t>
  </si>
  <si>
    <t>Lq_Lut_Inductance[13]</t>
  </si>
  <si>
    <t>Lq_Lut_Inductance[14]</t>
  </si>
  <si>
    <t>Lq_Lut_Inductance[15]</t>
  </si>
  <si>
    <t>Size bytes</t>
  </si>
  <si>
    <t>Type</t>
  </si>
  <si>
    <t>Settings file size [bytes]:</t>
  </si>
  <si>
    <t>Mcl Input Processing Call rate</t>
  </si>
  <si>
    <t>Index</t>
  </si>
  <si>
    <t>Hz</t>
  </si>
  <si>
    <t>Ohm</t>
  </si>
  <si>
    <t>A</t>
  </si>
  <si>
    <t>rpm</t>
  </si>
  <si>
    <t>Wb</t>
  </si>
  <si>
    <t>Ohm/Wb</t>
  </si>
  <si>
    <t>Wb/V</t>
  </si>
  <si>
    <t>V/Wb</t>
  </si>
  <si>
    <t>s</t>
  </si>
  <si>
    <t>= (Max_Available_Voltage_Factor/100)*32768</t>
  </si>
  <si>
    <t>= MCL_INPUT_CALL_RATE_HZ</t>
  </si>
  <si>
    <t>Stator Resistance</t>
  </si>
  <si>
    <t>Input Processing Parameters</t>
  </si>
  <si>
    <t>Motor model parameters</t>
  </si>
  <si>
    <t>Hardware (inverter) configuration</t>
  </si>
  <si>
    <t>Per Unit (pu) Model - Base system</t>
  </si>
  <si>
    <t xml:space="preserve">Rotor flux </t>
  </si>
  <si>
    <t>Maximum electromagnetic torque</t>
  </si>
  <si>
    <t>Nm</t>
  </si>
  <si>
    <t>Maximum DC bus voltage</t>
  </si>
  <si>
    <t>Maximum peak phase current</t>
  </si>
  <si>
    <t>V</t>
  </si>
  <si>
    <t>Base DC Bus voltage</t>
  </si>
  <si>
    <t>Base voltage</t>
  </si>
  <si>
    <t>Base current</t>
  </si>
  <si>
    <t>Base angle</t>
  </si>
  <si>
    <t>Base radial</t>
  </si>
  <si>
    <t>Base Flux</t>
  </si>
  <si>
    <t>Base torque</t>
  </si>
  <si>
    <t>Base power</t>
  </si>
  <si>
    <t>Base inductance</t>
  </si>
  <si>
    <t>Base Impedance</t>
  </si>
  <si>
    <t>Base time</t>
  </si>
  <si>
    <t>rad</t>
  </si>
  <si>
    <t>degree</t>
  </si>
  <si>
    <t>mH</t>
  </si>
  <si>
    <t>Stator Direct Inductance (Ld)</t>
  </si>
  <si>
    <t>Stator Quadrature Inductance (Lq)</t>
  </si>
  <si>
    <t>Primary</t>
  </si>
  <si>
    <t>Secondary</t>
  </si>
  <si>
    <t>W</t>
  </si>
  <si>
    <t>rad/s</t>
  </si>
  <si>
    <t>Base omega</t>
  </si>
  <si>
    <t>Base speed</t>
  </si>
  <si>
    <t>Stator Inductance (Ls)</t>
  </si>
  <si>
    <t>Observer call rate (sampling time)</t>
  </si>
  <si>
    <t>Direct Inductance table[0]</t>
  </si>
  <si>
    <t>Direct Inductance table[1]</t>
  </si>
  <si>
    <t>Direct Inductance table[2]</t>
  </si>
  <si>
    <t>Direct Inductance table[3]</t>
  </si>
  <si>
    <t>Direct Inductance table[4]</t>
  </si>
  <si>
    <t>Direct Inductance table[5]</t>
  </si>
  <si>
    <t>Direct Inductance table[6]</t>
  </si>
  <si>
    <t>Direct Inductance table[7]</t>
  </si>
  <si>
    <t>Direct Inductance table[8]</t>
  </si>
  <si>
    <t>Direct Inductance table[9]</t>
  </si>
  <si>
    <t>Direct Inductance table[10]</t>
  </si>
  <si>
    <t>Direct Inductance table[11]</t>
  </si>
  <si>
    <t>Direct Inductance table[12]</t>
  </si>
  <si>
    <t>Direct Inductance table[13]</t>
  </si>
  <si>
    <t>Direct Inductance table[14]</t>
  </si>
  <si>
    <t>Direct Inductance table[15]</t>
  </si>
  <si>
    <t>Direct Current table[0]</t>
  </si>
  <si>
    <t>Direct Current table[1]</t>
  </si>
  <si>
    <t>Direct Current table[2]</t>
  </si>
  <si>
    <t>Direct Current table[3]</t>
  </si>
  <si>
    <t>Direct Current table[4]</t>
  </si>
  <si>
    <t>Direct Current table[5]</t>
  </si>
  <si>
    <t>Direct Current table[6]</t>
  </si>
  <si>
    <t>Direct Current table[7]</t>
  </si>
  <si>
    <t>Direct Current table[8]</t>
  </si>
  <si>
    <t>Direct Current table[9]</t>
  </si>
  <si>
    <t>Direct Current table[10]</t>
  </si>
  <si>
    <t>Direct Current table[11]</t>
  </si>
  <si>
    <t>Direct Current table[12]</t>
  </si>
  <si>
    <t>Direct Current table[13]</t>
  </si>
  <si>
    <t>Direct Current table[14]</t>
  </si>
  <si>
    <t>Direct Current table[15]</t>
  </si>
  <si>
    <t>Quadrature Inductance table[0]</t>
  </si>
  <si>
    <t>Quadrature Inductance table[1]</t>
  </si>
  <si>
    <t>Quadrature Inductance table[2]</t>
  </si>
  <si>
    <t>Quadrature Inductance table[3]</t>
  </si>
  <si>
    <t>Quadrature Inductance table[4]</t>
  </si>
  <si>
    <t>Quadrature Inductance table[5]</t>
  </si>
  <si>
    <t>Quadrature Inductance table[6]</t>
  </si>
  <si>
    <t>Quadrature Inductance table[7]</t>
  </si>
  <si>
    <t>Quadrature Inductance table[8]</t>
  </si>
  <si>
    <t>Quadrature Inductance table[9]</t>
  </si>
  <si>
    <t>Quadrature Inductance table[10]</t>
  </si>
  <si>
    <t>Quadrature Inductance table[11]</t>
  </si>
  <si>
    <t>Quadrature Inductance table[12]</t>
  </si>
  <si>
    <t>Quadrature Inductance table[13]</t>
  </si>
  <si>
    <t>Quadrature Inductance table[14]</t>
  </si>
  <si>
    <t>Quadrature Inductance table[15]</t>
  </si>
  <si>
    <t>Quadrature Current table[0]</t>
  </si>
  <si>
    <t>Quadrature Current table[1]</t>
  </si>
  <si>
    <t>Quadrature Current table[2]</t>
  </si>
  <si>
    <t>Quadrature Current table[3]</t>
  </si>
  <si>
    <t>Quadrature Current table[4]</t>
  </si>
  <si>
    <t>Quadrature Current table[5]</t>
  </si>
  <si>
    <t>Quadrature Current table[6]</t>
  </si>
  <si>
    <t>Quadrature Current table[7]</t>
  </si>
  <si>
    <t>Quadrature Current table[8]</t>
  </si>
  <si>
    <t>Quadrature Current table[9]</t>
  </si>
  <si>
    <t>Quadrature Current table[10]</t>
  </si>
  <si>
    <t>Quadrature Current table[11]</t>
  </si>
  <si>
    <t>Quadrature Current table[12]</t>
  </si>
  <si>
    <t>Quadrature Current table[13]</t>
  </si>
  <si>
    <t>Quadrature Current table[14]</t>
  </si>
  <si>
    <t>Quadrature Current table[15]</t>
  </si>
  <si>
    <t>rad/s/(Wb/s)</t>
  </si>
  <si>
    <t>Observer Parameters</t>
  </si>
  <si>
    <t>Speed Controller Parameters</t>
  </si>
  <si>
    <t>x</t>
  </si>
  <si>
    <t>Crossed  Inductance table[0]</t>
  </si>
  <si>
    <t>Crossed  Inductance table[1]</t>
  </si>
  <si>
    <t>Crossed  Inductance table[2]</t>
  </si>
  <si>
    <t>Crossed  Inductance table[3]</t>
  </si>
  <si>
    <t>Crossed  Inductance table[4]</t>
  </si>
  <si>
    <t>Crossed  Inductance table[5]</t>
  </si>
  <si>
    <t>Crossed  Inductance table[6]</t>
  </si>
  <si>
    <t>Crossed  Inductance table[7]</t>
  </si>
  <si>
    <t>Crossed  Current table[0]</t>
  </si>
  <si>
    <t>Crossed  Current table[1]</t>
  </si>
  <si>
    <t>Crossed  Current table[2]</t>
  </si>
  <si>
    <t>Crossed  Current table[3]</t>
  </si>
  <si>
    <t>Crossed  Current table[4]</t>
  </si>
  <si>
    <t>Crossed  Current table[5]</t>
  </si>
  <si>
    <t>Crossed  Current table[6]</t>
  </si>
  <si>
    <t>Crossed  Current table[7]</t>
  </si>
  <si>
    <t>Nm/rpm/s</t>
  </si>
  <si>
    <t>Nm/rpm</t>
  </si>
  <si>
    <t>Maximum cosine of load angle</t>
  </si>
  <si>
    <t>Load angle controller Kp</t>
  </si>
  <si>
    <t>Load angle controller Ki</t>
  </si>
  <si>
    <t>Time to force the use of default gains</t>
  </si>
  <si>
    <t>Maximum starting torque (speed controller output)</t>
  </si>
  <si>
    <t>Time to limit the starting torque</t>
  </si>
  <si>
    <t>Speed Kp - range[0]</t>
  </si>
  <si>
    <t>Speed Ki - range[0]</t>
  </si>
  <si>
    <t>Speed threshold - range[0]</t>
  </si>
  <si>
    <t>Speed gains time to switch - range [0]</t>
  </si>
  <si>
    <t>Speed Kp - range[1]</t>
  </si>
  <si>
    <t>Speed Ki - range[1]</t>
  </si>
  <si>
    <t>Speed threshold - range[1]</t>
  </si>
  <si>
    <t>Speed gains time to switch - range [1]</t>
  </si>
  <si>
    <t>Speed Kp - range[2]</t>
  </si>
  <si>
    <t>Speed Ki - range[2]</t>
  </si>
  <si>
    <t>Speed threshold - range[2]</t>
  </si>
  <si>
    <t>Speed gains time to switch - range [2]</t>
  </si>
  <si>
    <t>Speed Kp - range[3]</t>
  </si>
  <si>
    <t>Speed Ki - range[3]</t>
  </si>
  <si>
    <t>Speed threshold - range[3]</t>
  </si>
  <si>
    <t>Speed gains time to switch - range [3]</t>
  </si>
  <si>
    <t>Speed Kp - range[4]</t>
  </si>
  <si>
    <t>Speed Ki - range[4]</t>
  </si>
  <si>
    <t>Speed threshold - range[4]</t>
  </si>
  <si>
    <t>Speed gains time to switch - range [4]</t>
  </si>
  <si>
    <t>Braking current</t>
  </si>
  <si>
    <t>Maximum direct voltage</t>
  </si>
  <si>
    <t>Starting time to force gains</t>
  </si>
  <si>
    <t>Phase advance coefficient</t>
  </si>
  <si>
    <t>Starting time</t>
  </si>
  <si>
    <t>Maximum designed flux</t>
  </si>
  <si>
    <t>Overflux decrement (starting)</t>
  </si>
  <si>
    <t>Maximum voltage factor (high speed - MTPV)</t>
  </si>
  <si>
    <t>Torque controller Kp - region [0]</t>
  </si>
  <si>
    <t>Torque controller Ki - region [0]</t>
  </si>
  <si>
    <t>Flux controller Kp - region [0]</t>
  </si>
  <si>
    <t>Flux controller Ki - region [0]</t>
  </si>
  <si>
    <t>Absolute speed threshold range - region[0]</t>
  </si>
  <si>
    <t>Time  to switch gains - region[0]</t>
  </si>
  <si>
    <t>Torque controller Kp - region [1]</t>
  </si>
  <si>
    <t>Torque controller Ki - region [1]</t>
  </si>
  <si>
    <t>Flux controller Kp - region [1]</t>
  </si>
  <si>
    <t>Flux controller Ki - region [1]</t>
  </si>
  <si>
    <t>Absolute speed threshold range - region[1]</t>
  </si>
  <si>
    <t>Time  to switch gains - region[1]</t>
  </si>
  <si>
    <t>Torque controller Kp - region [2]</t>
  </si>
  <si>
    <t>Torque controller Ki - region [2]</t>
  </si>
  <si>
    <t>Flux controller Kp - region [2]</t>
  </si>
  <si>
    <t>Flux controller Ki - region [2]</t>
  </si>
  <si>
    <t>Absolute speed threshold range - region[2]</t>
  </si>
  <si>
    <t>Time  to switch gains - region[2]</t>
  </si>
  <si>
    <t>V/A</t>
  </si>
  <si>
    <t>Speed threshold to disable compensation (applied 5% hysteresis)</t>
  </si>
  <si>
    <t>Starting time to force compensation</t>
  </si>
  <si>
    <t>DQ Reference Generator Controller Parameters</t>
  </si>
  <si>
    <t>DQ Controllers Parameters</t>
  </si>
  <si>
    <t>Pwm Parameters</t>
  </si>
  <si>
    <t>Starting (build flux) algoritm</t>
  </si>
  <si>
    <t>Delay time to keep the flux after ramp</t>
  </si>
  <si>
    <t>Minimum current to build flux</t>
  </si>
  <si>
    <t>Forced flux reference after build flux</t>
  </si>
  <si>
    <t>Increment of flux to build the flux</t>
  </si>
  <si>
    <t>Running algorithm</t>
  </si>
  <si>
    <t>Minimum speed (guard condition) to enter stopping</t>
  </si>
  <si>
    <t>Minimum speed to switch off all IGBTs</t>
  </si>
  <si>
    <t>Debouncer of running finished check</t>
  </si>
  <si>
    <t>Time to set all devices off below minimum speed</t>
  </si>
  <si>
    <t>Manual injection</t>
  </si>
  <si>
    <t>V/A/s</t>
  </si>
  <si>
    <t>Resistance estimation algorithm</t>
  </si>
  <si>
    <t>Estimation timeout</t>
  </si>
  <si>
    <t>Current level - 1st plateau</t>
  </si>
  <si>
    <t>Current level - 2nd plateau</t>
  </si>
  <si>
    <t>Current level - 3rd plateau</t>
  </si>
  <si>
    <t>Time of 1st plateau</t>
  </si>
  <si>
    <t>Time of 2nd plateau</t>
  </si>
  <si>
    <t>Time of 3rd plateau</t>
  </si>
  <si>
    <t>Voltage step for 1st plateau</t>
  </si>
  <si>
    <t>Voltage step for 2nd plateau</t>
  </si>
  <si>
    <t>Voltage step for 3nd plateau</t>
  </si>
  <si>
    <t>Oscillation check timer</t>
  </si>
  <si>
    <t>Minimum numer of samples to average</t>
  </si>
  <si>
    <t>Nominal resistance</t>
  </si>
  <si>
    <t>Timeout 1st plateau</t>
  </si>
  <si>
    <t>Timeout 2nd plateau</t>
  </si>
  <si>
    <t>Oscillation speed threshold</t>
  </si>
  <si>
    <t>Temperature coefficient</t>
  </si>
  <si>
    <t>degC/Ohm</t>
  </si>
  <si>
    <t>Base temperature coefficient</t>
  </si>
  <si>
    <t>Base temperature</t>
  </si>
  <si>
    <t>degC</t>
  </si>
  <si>
    <t>=OBSERVER_SPEED_PLL_KP</t>
  </si>
  <si>
    <t>=0.5*OBSERVER_TS</t>
  </si>
  <si>
    <t>=(32768 / (BASE_SPEED_RPM * POLE_PAIRS * 2 * PI() / 60))</t>
  </si>
  <si>
    <t>Speed controller post scaler</t>
  </si>
  <si>
    <t>DQ Controllers call rate (sampling time)</t>
  </si>
  <si>
    <t>Pwm call rate</t>
  </si>
  <si>
    <t>Motor Control Block - starting (build flux) algorithm</t>
  </si>
  <si>
    <t>Build_Flux.Forced_Flux_Ref_After_Build_Flux</t>
  </si>
  <si>
    <t>Build_Flux.Forced_Flux_Plateau_After_Ramp</t>
  </si>
  <si>
    <t>Build_Flux.Min_Current_Build_Flux</t>
  </si>
  <si>
    <t>Build_Flux.Build_Flux_Increment</t>
  </si>
  <si>
    <t>Running.Min_Speed_Before_All_Devices_Off</t>
  </si>
  <si>
    <t>Running.Min_Speed_Before_Stopping</t>
  </si>
  <si>
    <t>Running.Debounce_Off_Running_Finished</t>
  </si>
  <si>
    <t>Running.Time_All_Dev_Below_Min_Speed</t>
  </si>
  <si>
    <t>Build flux starting algorithm</t>
  </si>
  <si>
    <t>ResTempCalc.RsBaseTemp</t>
  </si>
  <si>
    <t>ResTempCalc.Temp_Coeff</t>
  </si>
  <si>
    <t>ResTempCalc.Base_Temp_Coeff</t>
  </si>
  <si>
    <t>ResTempCalc.Base_Temp</t>
  </si>
  <si>
    <t>Time to reset resistance (declare resistance as outdated)</t>
  </si>
  <si>
    <t>Resistance estimation call rate (sampling time)</t>
  </si>
  <si>
    <t>Resistance estimation handler rate (sampling time)</t>
  </si>
  <si>
    <t>Phase resistance calibrated at temperature</t>
  </si>
  <si>
    <t>=BASE_SPEED_RPM</t>
  </si>
  <si>
    <t>=BASE_RADIAL</t>
  </si>
  <si>
    <t xml:space="preserve">Torque base </t>
  </si>
  <si>
    <t>Speed base</t>
  </si>
  <si>
    <t>Radial base</t>
  </si>
  <si>
    <t>=BASE_TORQ</t>
  </si>
  <si>
    <t>=BASE_VOLTAGE_BUS</t>
  </si>
  <si>
    <t>Phase current base</t>
  </si>
  <si>
    <t>DC bus voltage base</t>
  </si>
  <si>
    <t>=BASE_CURRENT</t>
  </si>
  <si>
    <t>Pwm compensation table - current[0]</t>
  </si>
  <si>
    <t>Pwm compensation table - current[1]</t>
  </si>
  <si>
    <t>Pwm compensation table - current[2]</t>
  </si>
  <si>
    <t>Pwm compensation table - current[3]</t>
  </si>
  <si>
    <t>Pwm compensation table - current[4]</t>
  </si>
  <si>
    <t>Pwm compensation table - current[5]</t>
  </si>
  <si>
    <t>Pwm compensation table - current[6]</t>
  </si>
  <si>
    <t>Pwm compensation table - current[7]</t>
  </si>
  <si>
    <t>Pwm compensation table - current[8]</t>
  </si>
  <si>
    <t>Pwm compensation table - current[9]</t>
  </si>
  <si>
    <t>Pwm compensation table - current[10]</t>
  </si>
  <si>
    <t>Pwm compensation table - current[11]</t>
  </si>
  <si>
    <t>Pwm compensation table - current[12]</t>
  </si>
  <si>
    <t>Pwm compensation table - current[13]</t>
  </si>
  <si>
    <t>Pwm compensation table - current[14]</t>
  </si>
  <si>
    <t>Pwm compensation table - current[15]</t>
  </si>
  <si>
    <t>Pwm compensation table - current[16]</t>
  </si>
  <si>
    <t>Pwm compensation table - current[17]</t>
  </si>
  <si>
    <t>Pwm compensation table - current[18]</t>
  </si>
  <si>
    <t>Pwm compensation table - current[19]</t>
  </si>
  <si>
    <t>Pwm compensation table - current[20]</t>
  </si>
  <si>
    <t>Pwm compensation table - current[21]</t>
  </si>
  <si>
    <t>Pwm compensation table - current[22]</t>
  </si>
  <si>
    <t>Pwm compensation table - current[23]</t>
  </si>
  <si>
    <t>Pwm compensation table - current[24]</t>
  </si>
  <si>
    <t>Pwm compensation table - current[25]</t>
  </si>
  <si>
    <t>Pwm compensation table - current[26]</t>
  </si>
  <si>
    <t>Pwm compensation table - current[27]</t>
  </si>
  <si>
    <t>Pwm compensation table - current[28]</t>
  </si>
  <si>
    <t>Pwm compensation table - current[29]</t>
  </si>
  <si>
    <t>Pwm compensation table - current[30]</t>
  </si>
  <si>
    <t>Pwm compensation table - current[31]</t>
  </si>
  <si>
    <t>Pwm compensation table - current[32]</t>
  </si>
  <si>
    <t>Pwm compensation table - current[33]</t>
  </si>
  <si>
    <t>Pwm compensation table - current[34]</t>
  </si>
  <si>
    <t>Pwm compensation table - current[35]</t>
  </si>
  <si>
    <t>Pwm compensation table - current[36]</t>
  </si>
  <si>
    <t>Pwm compensation table - current[37]</t>
  </si>
  <si>
    <t>Pwm compensation table - current[38]</t>
  </si>
  <si>
    <t>Pwm compensation table - current[39]</t>
  </si>
  <si>
    <t>Pwm compensation table - current[40]</t>
  </si>
  <si>
    <t>Pwm compensation table - current[41]</t>
  </si>
  <si>
    <t>Pwm compensation table - current[42]</t>
  </si>
  <si>
    <t>Pwm compensation table - current[43]</t>
  </si>
  <si>
    <t>Pwm compensation table - current[44]</t>
  </si>
  <si>
    <t>Pwm compensation table - current[45]</t>
  </si>
  <si>
    <t>Pwm compensation table - current[46]</t>
  </si>
  <si>
    <t>Pwm compensation table - current[47]</t>
  </si>
  <si>
    <t>Pwm compensation table - current[48]</t>
  </si>
  <si>
    <t>Pwm compensation table - current[49]</t>
  </si>
  <si>
    <t>Pwm compensation table - current[50]</t>
  </si>
  <si>
    <t>Pwm compensation table - current[51]</t>
  </si>
  <si>
    <t>Pwm compensation table - current[52]</t>
  </si>
  <si>
    <t>Pwm compensation table - current[53]</t>
  </si>
  <si>
    <t>Pwm compensation table - current[54]</t>
  </si>
  <si>
    <t>Pwm compensation table - current[55]</t>
  </si>
  <si>
    <t>Pwm compensation table - current[56]</t>
  </si>
  <si>
    <t>Pwm compensation table - current[57]</t>
  </si>
  <si>
    <t>Pwm compensation table - current[58]</t>
  </si>
  <si>
    <t>Pwm compensation table - current[59]</t>
  </si>
  <si>
    <t>Pwm compensation table - current[60]</t>
  </si>
  <si>
    <t>Pwm compensation table - current[61]</t>
  </si>
  <si>
    <t>Pwm compensation table - current[62]</t>
  </si>
  <si>
    <t>Pwm compensation table - current[63]</t>
  </si>
  <si>
    <t>Pwm compensation table - current[64]</t>
  </si>
  <si>
    <t>Pwm compensation table - current[65]</t>
  </si>
  <si>
    <t>Pwm compensation table - duty cycle[0]</t>
  </si>
  <si>
    <t>Pwm compensation table - duty cycle[1]</t>
  </si>
  <si>
    <t>Pwm compensation table - duty cycle[2]</t>
  </si>
  <si>
    <t>Pwm compensation table - duty cycle[3]</t>
  </si>
  <si>
    <t>Pwm compensation table - duty cycle[4]</t>
  </si>
  <si>
    <t>Pwm compensation table - duty cycle[5]</t>
  </si>
  <si>
    <t>Pwm compensation table - duty cycle[6]</t>
  </si>
  <si>
    <t>Pwm compensation table - duty cycle[7]</t>
  </si>
  <si>
    <t>Pwm compensation table - duty cycle[8]</t>
  </si>
  <si>
    <t>Pwm compensation table - duty cycle[9]</t>
  </si>
  <si>
    <t>Pwm compensation table - duty cycle[10]</t>
  </si>
  <si>
    <t>Pwm compensation table - duty cycle[11]</t>
  </si>
  <si>
    <t>Pwm compensation table - duty cycle[12]</t>
  </si>
  <si>
    <t>Pwm compensation table - duty cycle[13]</t>
  </si>
  <si>
    <t>Pwm compensation table - duty cycle[14]</t>
  </si>
  <si>
    <t>Pwm compensation table - duty cycle[15]</t>
  </si>
  <si>
    <t>Pwm compensation table - duty cycle[16]</t>
  </si>
  <si>
    <t>Pwm compensation table - duty cycle[17]</t>
  </si>
  <si>
    <t>Pwm compensation table - duty cycle[18]</t>
  </si>
  <si>
    <t>Pwm compensation table - duty cycle[19]</t>
  </si>
  <si>
    <t>Pwm compensation table - duty cycle[20]</t>
  </si>
  <si>
    <t>Pwm compensation table - duty cycle[21]</t>
  </si>
  <si>
    <t>Pwm compensation table - duty cycle[22]</t>
  </si>
  <si>
    <t>Pwm compensation table - duty cycle[23]</t>
  </si>
  <si>
    <t>Pwm compensation table - duty cycle[24]</t>
  </si>
  <si>
    <t>Pwm compensation table - duty cycle[25]</t>
  </si>
  <si>
    <t>Pwm compensation table - duty cycle[26]</t>
  </si>
  <si>
    <t>Pwm compensation table - duty cycle[27]</t>
  </si>
  <si>
    <t>Pwm compensation table - duty cycle[28]</t>
  </si>
  <si>
    <t>Pwm compensation table - duty cycle[29]</t>
  </si>
  <si>
    <t>Pwm compensation table - duty cycle[30]</t>
  </si>
  <si>
    <t>Pwm compensation table - duty cycle[31]</t>
  </si>
  <si>
    <t>Pwm compensation table - duty cycle[32]</t>
  </si>
  <si>
    <t>Pwm compensation table - duty cycle[33]</t>
  </si>
  <si>
    <t>Pwm compensation table - duty cycle[34]</t>
  </si>
  <si>
    <t>Pwm compensation table - duty cycle[35]</t>
  </si>
  <si>
    <t>Pwm compensation table - duty cycle[36]</t>
  </si>
  <si>
    <t>Pwm compensation table - duty cycle[37]</t>
  </si>
  <si>
    <t>Pwm compensation table - duty cycle[38]</t>
  </si>
  <si>
    <t>Pwm compensation table - duty cycle[39]</t>
  </si>
  <si>
    <t>Pwm compensation table - duty cycle[40]</t>
  </si>
  <si>
    <t>Pwm compensation table - duty cycle[41]</t>
  </si>
  <si>
    <t>Pwm compensation table - duty cycle[42]</t>
  </si>
  <si>
    <t>Pwm compensation table - duty cycle[43]</t>
  </si>
  <si>
    <t>Pwm compensation table - duty cycle[44]</t>
  </si>
  <si>
    <t>Pwm compensation table - duty cycle[45]</t>
  </si>
  <si>
    <t>Pwm compensation table - duty cycle[46]</t>
  </si>
  <si>
    <t>Pwm compensation table - duty cycle[47]</t>
  </si>
  <si>
    <t>Pwm compensation table - duty cycle[48]</t>
  </si>
  <si>
    <t>Pwm compensation table - duty cycle[49]</t>
  </si>
  <si>
    <t>Pwm compensation table - duty cycle[50]</t>
  </si>
  <si>
    <t>Pwm compensation table - duty cycle[51]</t>
  </si>
  <si>
    <t>Pwm compensation table - duty cycle[52]</t>
  </si>
  <si>
    <t>Pwm compensation table - duty cycle[53]</t>
  </si>
  <si>
    <t>Pwm compensation table - duty cycle[54]</t>
  </si>
  <si>
    <t>Pwm compensation table - duty cycle[55]</t>
  </si>
  <si>
    <t>Pwm compensation table - duty cycle[56]</t>
  </si>
  <si>
    <t>Pwm compensation table - duty cycle[57]</t>
  </si>
  <si>
    <t>Pwm compensation table - duty cycle[58]</t>
  </si>
  <si>
    <t>Pwm compensation table - duty cycle[59]</t>
  </si>
  <si>
    <t>Pwm compensation table - duty cycle[60]</t>
  </si>
  <si>
    <t>Pwm compensation table - duty cycle[61]</t>
  </si>
  <si>
    <t>Pwm compensation table - duty cycle[62]</t>
  </si>
  <si>
    <t>Pwm compensation table - duty cycle[63]</t>
  </si>
  <si>
    <t>Pwm compensation table - duty cycle[64]</t>
  </si>
  <si>
    <t>Pwm compensation table - duty cycle[65]</t>
  </si>
  <si>
    <t>Spin speed to trigger resistance on next start up</t>
  </si>
  <si>
    <t>Time between measurement after reset</t>
  </si>
  <si>
    <t>Number of estimation after reset</t>
  </si>
  <si>
    <t>min</t>
  </si>
  <si>
    <t>Time between measurement under normal operation</t>
  </si>
  <si>
    <t>Number of estimation in a row after spin</t>
  </si>
  <si>
    <t>d current (Flux) controller Kp</t>
  </si>
  <si>
    <t>d current (Flux) controller Ki</t>
  </si>
  <si>
    <t>q current (Torque) controller Kp</t>
  </si>
  <si>
    <t>q current (Torque) controller Ki</t>
  </si>
  <si>
    <t>Motor Control Block - Manual control of inverter outputs</t>
  </si>
  <si>
    <t>Manual_Injection.gains[0].torque_kp</t>
  </si>
  <si>
    <t>Manual_Injection.gains[0].torque_ki</t>
  </si>
  <si>
    <t>Manual_Injection.gains[0].flux_kp</t>
  </si>
  <si>
    <t>Manual_Injection.gains[0].flux_Ki</t>
  </si>
  <si>
    <t>Manual_Injection.Vd_Max</t>
  </si>
  <si>
    <t>Current controller call rate</t>
  </si>
  <si>
    <t>=(( (32768 * STATOR_RESISTANCE)/BASE_Z))</t>
  </si>
  <si>
    <t>=( ((OBSERVER_G_INTEG_GAIN * BASE_Z * OBSERVER_TS * (2^30)) / BASE_FLUX))</t>
  </si>
  <si>
    <t>=((OBS_RESIS_ADAPT_CURRENT_THRES * 32768 / BASE_CURRENT))</t>
  </si>
  <si>
    <t>=((OBS_RESIS_ADAPT_SPEED_THRES * 32768 / BASE_SPEED_RPM))</t>
  </si>
  <si>
    <t>=(((ROTOR_LAMBDAM * 32768)/BASE_FLUX))</t>
  </si>
  <si>
    <t>=(((OBSERVER_G_GAIN * BASE_FLUX * 32768) / BASE_VOLTAGE))</t>
  </si>
  <si>
    <t>=(((0.5 * BASE_VOLTAGE * OBSERVER_TS * (2^30)) / BASE_FLUX))</t>
  </si>
  <si>
    <t>=(((OBSERVER_MIN_FLUX_ZERO_SPEED * 32768)/BASE_FLUX))</t>
  </si>
  <si>
    <t>=(POLE_PAIRS)</t>
  </si>
  <si>
    <t>=((  (1/OBSERVER_TS) * (2^15))/BASE_OMEGA)</t>
  </si>
  <si>
    <t>=(OBSERVER_STARTING_THRESHOLD/OBSERVER_TS)</t>
  </si>
  <si>
    <t>=OBSERVER_SPEED_PLL_KI * (0.5*OBSERVER_TS)</t>
  </si>
  <si>
    <t>=( (DIRECT_CURR_POS_0 * 32768)/BASE_CURRENT)</t>
  </si>
  <si>
    <t>=( (DIRECT_CURR_POS_1 * 32768)/BASE_CURRENT)</t>
  </si>
  <si>
    <t>=( (DIRECT_CURR_POS_2 * 32768)/BASE_CURRENT)</t>
  </si>
  <si>
    <t>=( (DIRECT_CURR_POS_3 * 32768)/BASE_CURRENT)</t>
  </si>
  <si>
    <t>=( (DIRECT_CURR_POS_4 * 32768)/BASE_CURRENT)</t>
  </si>
  <si>
    <t>=( (DIRECT_CURR_POS_5 * 32768)/BASE_CURRENT)</t>
  </si>
  <si>
    <t>=( (DIRECT_CURR_POS_6 * 32768)/BASE_CURRENT)</t>
  </si>
  <si>
    <t>=( (DIRECT_CURR_POS_7 * 32768)/BASE_CURRENT)</t>
  </si>
  <si>
    <t>=( (DIRECT_CURR_POS_8 * 32768)/BASE_CURRENT)</t>
  </si>
  <si>
    <t>=( (DIRECT_CURR_POS_9 * 32768)/BASE_CURRENT)</t>
  </si>
  <si>
    <t>=( (DIRECT_CURR_POS_10 * 32768)/BASE_CURRENT)</t>
  </si>
  <si>
    <t>=( (DIRECT_CURR_POS_11 * 32768)/BASE_CURRENT)</t>
  </si>
  <si>
    <t>=( (DIRECT_CURR_POS_12 * 32768)/BASE_CURRENT)</t>
  </si>
  <si>
    <t>=( (DIRECT_CURR_POS_13 * 32768)/BASE_CURRENT)</t>
  </si>
  <si>
    <t>=( (DIRECT_CURR_POS_14 * 32768)/BASE_CURRENT)</t>
  </si>
  <si>
    <t>=( (DIRECT_CURR_POS_15 * 32768)/BASE_CURRENT)</t>
  </si>
  <si>
    <t>=( (DIRECT_IND_POS_0 * 32768)/BASE_IND)</t>
  </si>
  <si>
    <t>=( (DIRECT_IND_POS_1 * 32768)/BASE_IND)</t>
  </si>
  <si>
    <t>=( (DIRECT_IND_POS_2 * 32768)/BASE_IND)</t>
  </si>
  <si>
    <t>=( (DIRECT_IND_POS_3 * 32768)/BASE_IND)</t>
  </si>
  <si>
    <t>=( (DIRECT_IND_POS_4 * 32768)/BASE_IND)</t>
  </si>
  <si>
    <t>=( (DIRECT_IND_POS_5 * 32768)/BASE_IND)</t>
  </si>
  <si>
    <t>=( (DIRECT_IND_POS_6 * 32768)/BASE_IND)</t>
  </si>
  <si>
    <t>=( (DIRECT_IND_POS_7 * 32768)/BASE_IND)</t>
  </si>
  <si>
    <t>=( (DIRECT_IND_POS_8 * 32768)/BASE_IND)</t>
  </si>
  <si>
    <t>=( (DIRECT_IND_POS_9 * 32768)/BASE_IND)</t>
  </si>
  <si>
    <t>=( (DIRECT_IND_POS_10 * 32768)/BASE_IND)</t>
  </si>
  <si>
    <t>=( (DIRECT_IND_POS_11 * 32768)/BASE_IND)</t>
  </si>
  <si>
    <t>=( (DIRECT_IND_POS_12 * 32768)/BASE_IND)</t>
  </si>
  <si>
    <t>=( (DIRECT_IND_POS_13 * 32768)/BASE_IND)</t>
  </si>
  <si>
    <t>=( (DIRECT_IND_POS_14 * 32768)/BASE_IND)</t>
  </si>
  <si>
    <t>=( (DIRECT_IND_POS_15 * 32768)/BASE_IND)</t>
  </si>
  <si>
    <t>=( (QUAD_CURR_POS_0 * 32768)/BASE_CURRENT)</t>
  </si>
  <si>
    <t>=( (QUAD_CURR_POS_1 * 32768)/BASE_CURRENT)</t>
  </si>
  <si>
    <t>=( (QUAD_CURR_POS_2 * 32768)/BASE_CURRENT)</t>
  </si>
  <si>
    <t>=( (QUAD_CURR_POS_3 * 32768)/BASE_CURRENT)</t>
  </si>
  <si>
    <t>=( (QUAD_CURR_POS_4 * 32768)/BASE_CURRENT)</t>
  </si>
  <si>
    <t>=( (QUAD_CURR_POS_5 * 32768)/BASE_CURRENT)</t>
  </si>
  <si>
    <t>=( (QUAD_CURR_POS_6 * 32768)/BASE_CURRENT)</t>
  </si>
  <si>
    <t>=( (QUAD_CURR_POS_7 * 32768)/BASE_CURRENT)</t>
  </si>
  <si>
    <t>=( (QUAD_CURR_POS_8 * 32768)/BASE_CURRENT)</t>
  </si>
  <si>
    <t>=( (QUAD_CURR_POS_9 * 32768)/BASE_CURRENT)</t>
  </si>
  <si>
    <t>=( (QUAD_CURR_POS_10 * 32768)/BASE_CURRENT)</t>
  </si>
  <si>
    <t>=( (QUAD_CURR_POS_11 * 32768)/BASE_CURRENT)</t>
  </si>
  <si>
    <t>=( (QUAD_CURR_POS_12 * 32768)/BASE_CURRENT)</t>
  </si>
  <si>
    <t>=( (QUAD_CURR_POS_13 * 32768)/BASE_CURRENT)</t>
  </si>
  <si>
    <t>=( (QUAD_CURR_POS_14 * 32768)/BASE_CURRENT)</t>
  </si>
  <si>
    <t>=( (QUAD_CURR_POS_15 * 32768)/BASE_CURRENT)</t>
  </si>
  <si>
    <t>=( (QUAD_IND_POS_0 * 32768)/BASE_IND)</t>
  </si>
  <si>
    <t>=( (QUAD_IND_POS_1 * 32768)/BASE_IND)</t>
  </si>
  <si>
    <t>=( (QUAD_IND_POS_2 * 32768)/BASE_IND)</t>
  </si>
  <si>
    <t>=( (QUAD_IND_POS_3 * 32768)/BASE_IND)</t>
  </si>
  <si>
    <t>=( (QUAD_IND_POS_4 * 32768)/BASE_IND)</t>
  </si>
  <si>
    <t>=( (QUAD_IND_POS_5 * 32768)/BASE_IND)</t>
  </si>
  <si>
    <t>=( (QUAD_IND_POS_6 * 32768)/BASE_IND)</t>
  </si>
  <si>
    <t>=( (QUAD_IND_POS_7 * 32768)/BASE_IND)</t>
  </si>
  <si>
    <t>=( (QUAD_IND_POS_8 * 32768)/BASE_IND)</t>
  </si>
  <si>
    <t>=( (QUAD_IND_POS_9 * 32768)/BASE_IND)</t>
  </si>
  <si>
    <t>=( (QUAD_IND_POS_10 * 32768)/BASE_IND)</t>
  </si>
  <si>
    <t>=( (QUAD_IND_POS_11 * 32768)/BASE_IND)</t>
  </si>
  <si>
    <t>=( (QUAD_IND_POS_12 * 32768)/BASE_IND)</t>
  </si>
  <si>
    <t>=( (QUAD_IND_POS_13 * 32768)/BASE_IND)</t>
  </si>
  <si>
    <t>=( (QUAD_IND_POS_14 * 32768)/BASE_IND)</t>
  </si>
  <si>
    <t>=( (QUAD_IND_POS_15 * 32768)/BASE_IND)</t>
  </si>
  <si>
    <t>=(((1/OBSERVER_TS) * TIME_DQ_FORCE_GAINS_STARTING))</t>
  </si>
  <si>
    <t>=(((DQ_TORQUE_KP_REGION_0 * BASE_TORQ * (2^15)) / BASE_VOLTAGE))</t>
  </si>
  <si>
    <t>=(((DQ_TORQUE_KI_REGION_0 * BASE_TORQ * OBSERVER_TS * (2^15)) / BASE_VOLTAGE))</t>
  </si>
  <si>
    <t>=(((DQ_FLUX_KP_REGION_0 * BASE_FLUX * (2^15)) / BASE_VOLTAGE))</t>
  </si>
  <si>
    <t>=(((DQ_FLUX_KI_REGION_0  * BASE_FLUX * OBSERVER_TS * (2^15)) / BASE_VOLTAGE))</t>
  </si>
  <si>
    <t>=((DQ_SPEED_THRESHOLD_REGION_0 * (32768/BASE_SPEED_RPM)))</t>
  </si>
  <si>
    <t>=(DQ_GAINS_SWTICHING_TIME_REGION_0/0.025)</t>
  </si>
  <si>
    <t>=(((DQ_TORQUE_KP_REGION_1 * BASE_TORQ * (2^15)) / BASE_VOLTAGE))</t>
  </si>
  <si>
    <t>=(((DQ_TORQUE_KI_REGION_1 * BASE_TORQ * OBSERVER_TS * (2^15)) / BASE_VOLTAGE))</t>
  </si>
  <si>
    <t>=(((DQ_FLUX_KP_REGION_1 * BASE_FLUX * (2^15)) / BASE_VOLTAGE))</t>
  </si>
  <si>
    <t>=(((DQ_FLUX_KI_REGION_1  * BASE_FLUX * OBSERVER_TS * (2^15)) / BASE_VOLTAGE))</t>
  </si>
  <si>
    <t>=((DQ_SPEED_THRESHOLD_REGION_1 * (32768/BASE_SPEED_RPM)))</t>
  </si>
  <si>
    <t>=(DQ_GAINS_SWTICHING_TIME_REGION_1/0.025)</t>
  </si>
  <si>
    <t>=(((DQ_TORQUE_KP_REGION_2 * BASE_TORQ * (2^15)) / BASE_VOLTAGE))</t>
  </si>
  <si>
    <t>=(((DQ_TORQUE_KI_REGION_2 * BASE_TORQ * OBSERVER_TS * (2^15)) / BASE_VOLTAGE))</t>
  </si>
  <si>
    <t>=(((DQ_FLUX_KP_REGION_2 * BASE_FLUX * (2^15)) / BASE_VOLTAGE))</t>
  </si>
  <si>
    <t>=(((DQ_FLUX_KI_REGION_2  * BASE_FLUX * OBSERVER_TS * (2^15)) / BASE_VOLTAGE))</t>
  </si>
  <si>
    <t>=((DQ_SPEED_THRESHOLD_REGION_2 * (32768/BASE_SPEED_RPM)))</t>
  </si>
  <si>
    <t>=(DQ_GAINS_SWTICHING_TIME_REGION_2/0.025)</t>
  </si>
  <si>
    <t>=(DQ_CONTROLLER_MAX_FLUX/100*32768)</t>
  </si>
  <si>
    <t>=((DQ_STARTING_TIME / DQ_CONTROLLER_TS))</t>
  </si>
  <si>
    <t>=(DQ_CONTROLLER_OVER_FLUX_DECREMENT/BASE_FLUX*32768)</t>
  </si>
  <si>
    <t>=(DQ_CONTROLLER_MAX_INPUT_VOLT_FACTOR/100*32768)</t>
  </si>
  <si>
    <t>=(((ALGO_RUNNING_MIN_SPEED_2_IGBTS_OFF * 32768)/BASE_SPEED_RPM))</t>
  </si>
  <si>
    <t>=(((ALGO_RUNNING_MIN_SPEED_BEFORE_STOPPING * 32768)/BASE_SPEED_RPM))</t>
  </si>
  <si>
    <t>=(ALGO_RUNNING_DEBOUNCER_2_IGBTS_OFF)</t>
  </si>
  <si>
    <t>=(ALGO_RUNNING_TIME_IGBTS_OFF_BELOW_MIN_SPEED/0.025)</t>
  </si>
  <si>
    <t>=(ALGO_BUILD_FLUX_STARTING_TIME/ALGO_BUILD_FLUX_TS)</t>
  </si>
  <si>
    <t>=((ALGO_BUILD_FLUX_MIN_CURRENT * (32768/BASE_CURRENT)))</t>
  </si>
  <si>
    <t>=(((ALGO_BUILD_FLUX_RATIO_2_FORCE_FLUX/100)*ROTOR_LAMBDAM)*(32768/BASE_FLUX))</t>
  </si>
  <si>
    <t>=(ALGO_BUILD_FLUX_INCREMENT/BASE_FLUX*32768)</t>
  </si>
  <si>
    <t>=((ALGO_RES_EST_TIMEOUT_THRESHOLD * (1/ALGO_RES_EST_TS)))</t>
  </si>
  <si>
    <t>=((ALGO_RES_EST_CURR_1ST_PLATEAU/BASE_CURRENT)*32768)</t>
  </si>
  <si>
    <t>=((ALGO_RES_EST_CURR_2ND_PLATEAU/BASE_CURRENT)*32768)</t>
  </si>
  <si>
    <t>=((ALGO_RES_EST_CURR_3RD_PLATEAU/BASE_CURRENT)*32768)</t>
  </si>
  <si>
    <t>=(ALGO_RES_EST_1ST_PLATEAU_TIME/ALGO_RES_EST_TS)</t>
  </si>
  <si>
    <t>=(ALGO_RES_EST_2ND_PLATEAU_TIME/ALGO_RES_EST_TS)</t>
  </si>
  <si>
    <t>=(ALGO_RES_EST_3RD_PLATEAU_TIME/ALGO_RES_EST_TS)</t>
  </si>
  <si>
    <t>=((ALGO_RES_EST_VOLTAGE_STEP_1ST_PLATEAU/BASE_VOLTAGE)*32768)</t>
  </si>
  <si>
    <t>=((ALGO_RES_EST_VOLTAGE_STEP_2ND_PLATEAU/BASE_VOLTAGE)*32768)</t>
  </si>
  <si>
    <t>=((ALGO_RES_EST_VOLTAGE_STEP_3RD_PLATEAU/BASE_VOLTAGE)*32768)</t>
  </si>
  <si>
    <t>=(ALGO_RES_EST_OSCILLATION_CHECK_TIME/ALGO_RES_EST_TS)</t>
  </si>
  <si>
    <t>=(ALGO_RES_EST_NUMBER_OF_SAMPLES)</t>
  </si>
  <si>
    <t>=((ALGO_RES_EST_STATOR_RESISTANCE/BASE_Z)*32768)</t>
  </si>
  <si>
    <t>=(((4 - ALGO_RES_EST_TIMEOUT_1ST_PLATEAU) / ALGO_RES_EST_TS))</t>
  </si>
  <si>
    <t>=(((4 - ALGO_RES_EST_TIMEOUT_2ND_PLATEAU) / ALGO_RES_EST_TS))</t>
  </si>
  <si>
    <t>=((ALGO_RES_EST_OSCILLATION_SPEED_THRESHOLD/BASE_SPEED_RPM)*32768)</t>
  </si>
  <si>
    <t>=((4 / ALGO_RES_EST_TS))</t>
  </si>
  <si>
    <t>=(ALGO_RES_EST_TS/ALGO_RES_EST_HANDLER_TS)-1</t>
  </si>
  <si>
    <t>=((ALGO_RES_EST_TIME_BETWEEN_MEAS_AFTER_RESET*60)/0.025)</t>
  </si>
  <si>
    <t>=(ALGO_RES_EST_NR_OF_ESTIMATION_AFTER_RESET)</t>
  </si>
  <si>
    <t>=((ALGO_RES_EST_TIME_BETWEEN_MEAS_NORMAL_OPERATION*60)/0.025)</t>
  </si>
  <si>
    <t>=(ALGO_RES_EST_NR_OF_ESTIMATION_IN_ROW_AFTER_SPIN)</t>
  </si>
  <si>
    <t>=((32768*ALGO_RES_EST_RS_FROM_BASE_TEMP)/BASE_Z)</t>
  </si>
  <si>
    <t>=((ALGO_RES_EST_TEMP_COEFF * 32768) / ALGO_RES_EST_BASE_TEMP_COEFF)</t>
  </si>
  <si>
    <t>=(ALGO_RES_EST_BASE_TEMP_COEFF)</t>
  </si>
  <si>
    <t>=(ALGO_RES_EST_BASE_TEMP)</t>
  </si>
  <si>
    <t>=((2^25)/BASE_SPEED_RPM)</t>
  </si>
  <si>
    <t>=((2^25)/BASE_SPEED_RPM*OBSERVER_TS)</t>
  </si>
  <si>
    <t>=(D_CURR_CONTROL_KP/BASE_VOLTAGE*BASE_CURRENT)</t>
  </si>
  <si>
    <t>=(D_CURR_CONTROL_KI/BASE_VOLTAGE*BASE_CURRENT/DQ_CURRENT_CONTROL_TS)</t>
  </si>
  <si>
    <t>=(Q_CURR_CONTROL_KP/BASE_VOLTAGE*BASE_CURRENT)</t>
  </si>
  <si>
    <t>=(Q_CURR_CONTROL_KI/BASE_VOLTAGE*BASE_CURRENT/DQ_CURRENT_CONTROL_TS)</t>
  </si>
  <si>
    <t>32 bit (HEXA)</t>
  </si>
  <si>
    <t>Parameters to Settings File- Displacement Motor Params (DTC Variant)</t>
  </si>
  <si>
    <t>Parameters to Settings File- Displacement Motor LUTs</t>
  </si>
  <si>
    <t>Motor LUTs</t>
  </si>
  <si>
    <t>Motor Control Block - Speed Controller</t>
  </si>
  <si>
    <t xml:space="preserve">Max_Squared_Inv_Current </t>
  </si>
  <si>
    <t>=(((MAX_PHASE_CURR*MAX_PHASE_CURR  * 32768* 32768)/(BASE_CURRENT * BASE_CURRENT)))</t>
  </si>
  <si>
    <t xml:space="preserve">Max_Design_Motor_Torque </t>
  </si>
  <si>
    <t>=((TE_MAX * 32768)/BASE_TORQ)</t>
  </si>
  <si>
    <t xml:space="preserve">Max_Starting_Torque     </t>
  </si>
  <si>
    <t>=((FORCE_MAX_STARTING_TORQUE * (32768/BASE_TORQ)))</t>
  </si>
  <si>
    <t>Max_Starting_Torque_Time</t>
  </si>
  <si>
    <t>=(((1/OBSERVER_TS) * FORCE_MAX_STARTING_TIME))</t>
  </si>
  <si>
    <t>Rotor_Flux_Nominal</t>
  </si>
  <si>
    <t>Max_Nominal_Flux</t>
  </si>
  <si>
    <t>=(((((STATOR_INDUCTANCE_D/1000)*MAX_PHASE_CURR + ROTOR_LAMBDAM)/BASE_FLUX)*32768))</t>
  </si>
  <si>
    <t xml:space="preserve">Ld                      </t>
  </si>
  <si>
    <t>=(((STATOR_INDUCTANCE_D * 32768)/BASE_IND))</t>
  </si>
  <si>
    <t xml:space="preserve">Gain_Kp                 </t>
  </si>
  <si>
    <t>=(((SPEED_KP_REGION_0 * BASE_SPEED_RPM * (2^15)) / BASE_TORQ))</t>
  </si>
  <si>
    <t xml:space="preserve">Gain_Ki                 </t>
  </si>
  <si>
    <t>=(((SPEED_KI_REGION_0 * BASE_SPEED_RPM * OBSERVER_TS * (2^20)) / BASE_TORQ))</t>
  </si>
  <si>
    <t>Force_Default_Gains_Time</t>
  </si>
  <si>
    <t>=(((1/OBSERVER_TS) * TIME_FORCE_USE_DEFAULT_SPEED_GAINS))</t>
  </si>
  <si>
    <t>load_angle.Max_Cos</t>
  </si>
  <si>
    <t>=((LOAD_ANGLE_COS_MAX * 32768))</t>
  </si>
  <si>
    <t>load_angle.Kp</t>
  </si>
  <si>
    <t>=(((LOAD_ANGLE_KP * (2^15)) / BASE_TORQ))</t>
  </si>
  <si>
    <t>load_angle.Ki</t>
  </si>
  <si>
    <t>=(((LOAD_ANGLE_KI * OBSERVER_TS * (2^15)) / BASE_TORQ))</t>
  </si>
  <si>
    <t>Controller_Post_Scaler</t>
  </si>
  <si>
    <t>=(SPEED_CONTROLLER_POSTSCALER)</t>
  </si>
  <si>
    <t>speed_gains_table[0].kp</t>
  </si>
  <si>
    <t>speed_gains_table[0].ki</t>
  </si>
  <si>
    <t>speed_gains_table[0].speed_abs</t>
  </si>
  <si>
    <t>=((SPEED_THRESHOLD_REGION_0 * (32768/BASE_SPEED_RPM)))</t>
  </si>
  <si>
    <t>speed_gains_table[0].transtion_time</t>
  </si>
  <si>
    <t>=(SPEED_TIME_TO_SWITCH_REGION_0/0.025)</t>
  </si>
  <si>
    <t>speed_gains_table[1].kp</t>
  </si>
  <si>
    <t>=(((SPEED_KP_REGION_1 * BASE_SPEED_RPM * (2^15)) / BASE_TORQ))</t>
  </si>
  <si>
    <t>speed_gains_table[1].ki</t>
  </si>
  <si>
    <t>=(((SPEED_KI_REGION_1 * BASE_SPEED_RPM * OBSERVER_TS * (2^20)) / BASE_TORQ))</t>
  </si>
  <si>
    <t>speed_gains_table[1].speed_abs</t>
  </si>
  <si>
    <t>=((SPEED_THRESHOLD_REGION_1 * (32768/BASE_SPEED_RPM)))</t>
  </si>
  <si>
    <t>speed_gains_table[1].transtion_time</t>
  </si>
  <si>
    <t>=(SPEED_TIME_TO_SWITCH_REGION_1/0.025)</t>
  </si>
  <si>
    <t>speed_gains_table[2].kp</t>
  </si>
  <si>
    <t>=(((SPEED_KP_REGION_2 * BASE_SPEED_RPM * (2^15)) / BASE_TORQ))</t>
  </si>
  <si>
    <t>speed_gains_table[2].ki</t>
  </si>
  <si>
    <t>=(((SPEED_KI_REGION_2 * BASE_SPEED_RPM * OBSERVER_TS * (2^20)) / BASE_TORQ))</t>
  </si>
  <si>
    <t>speed_gains_table[2].speed_abs</t>
  </si>
  <si>
    <t>=((SPEED_THRESHOLD_REGION_2 * (32768/BASE_SPEED_RPM)))</t>
  </si>
  <si>
    <t>speed_gains_table[2].transtion_time</t>
  </si>
  <si>
    <t>=(SPEED_TIME_TO_SWITCH_REGION_2/0.025)</t>
  </si>
  <si>
    <t>speed_gains_table[3].kp</t>
  </si>
  <si>
    <t>=(((SPEED_KP_REGION_3 * BASE_SPEED_RPM * (2^15)) / BASE_TORQ))</t>
  </si>
  <si>
    <t>speed_gains_table[3].ki</t>
  </si>
  <si>
    <t>=(((SPEED_KI_REGION_3 * BASE_SPEED_RPM * OBSERVER_TS * (2^20)) / BASE_TORQ))</t>
  </si>
  <si>
    <t>speed_gains_table[3].speed_abs</t>
  </si>
  <si>
    <t>=((SPEED_THRESHOLD_REGION_3 * (32768/BASE_SPEED_RPM)))</t>
  </si>
  <si>
    <t>speed_gains_table[3].transtion_time</t>
  </si>
  <si>
    <t>=(SPEED_TIME_TO_SWITCH_REGION_3/0.025)</t>
  </si>
  <si>
    <t>speed_gains_table[4].kp</t>
  </si>
  <si>
    <t>=(((SPEED_KP_REGION_4 * BASE_SPEED_RPM * (2^15)) / BASE_TORQ))</t>
  </si>
  <si>
    <t>speed_gains_table[4].ki</t>
  </si>
  <si>
    <t>=(((SPEED_KI_REGION_4 * BASE_SPEED_RPM * OBSERVER_TS * (2^20)) / BASE_TORQ))</t>
  </si>
  <si>
    <t>speed_gains_table[4].speed_abs</t>
  </si>
  <si>
    <t>=((SPEED_THRESHOLD_REGION_4 * (32768/BASE_SPEED_RPM)))</t>
  </si>
  <si>
    <t>speed_gains_table[4].transtion_time</t>
  </si>
  <si>
    <t>=(SPEED_TIME_TO_SWITCH_REGION_4/0.025)</t>
  </si>
  <si>
    <t>Short_Circuit_Current</t>
  </si>
  <si>
    <t>=((ROTOR_LAMBDAM * 1000 * 32768 / (BASE_CURRENT * LS_INDUCTANCE)))</t>
  </si>
  <si>
    <t xml:space="preserve">Braking_Current     </t>
  </si>
  <si>
    <t>=((BRAKING_CURRENT_AT_LOW_SPEED * 32768 / BASE_CURRENT))</t>
  </si>
  <si>
    <t xml:space="preserve">Inductance_Ls       </t>
  </si>
  <si>
    <t>=(((LS_INDUCTANCE * 32768) / BASE_IND))</t>
  </si>
  <si>
    <t>delta_speed_rpm_2pu</t>
  </si>
  <si>
    <t>=(32768 / (BASE_SPEED_RPM))</t>
  </si>
  <si>
    <t>Parameters to Settings File- Displacement Speed Controller</t>
  </si>
  <si>
    <t>Motor Control Block - PWM Modulator</t>
  </si>
  <si>
    <t>Speed_Threshold_InvComp</t>
  </si>
  <si>
    <t>=((PWM_SPEED_THRESHOLD_PWM_COMP * (32768/BASE_SPEED_RPM)))</t>
  </si>
  <si>
    <t>Time_Starting_Compensate</t>
  </si>
  <si>
    <t>=(PWM_STARTING_TIME/PWM_MODULATION_TS)</t>
  </si>
  <si>
    <t>DUTYCYCLE_BY_CURRENT_LUT.input[0]</t>
  </si>
  <si>
    <t>=Pwm compensation table - current[0]*(32768/BASE_CURRENT)</t>
  </si>
  <si>
    <t>DUTYCYCLE_BY_CURRENT_LUT.input[1]</t>
  </si>
  <si>
    <t>=Pwm compensation table - current[1]*(32768/BASE_CURRENT)</t>
  </si>
  <si>
    <t>DUTYCYCLE_BY_CURRENT_LUT.input[2]</t>
  </si>
  <si>
    <t>=Pwm compensation table - current[2]*(32768/BASE_CURRENT)</t>
  </si>
  <si>
    <t>DUTYCYCLE_BY_CURRENT_LUT.input[3]</t>
  </si>
  <si>
    <t>=Pwm compensation table - current[3]*(32768/BASE_CURRENT)</t>
  </si>
  <si>
    <t>DUTYCYCLE_BY_CURRENT_LUT.input[4]</t>
  </si>
  <si>
    <t>=Pwm compensation table - current[4]*(32768/BASE_CURRENT)</t>
  </si>
  <si>
    <t>DUTYCYCLE_BY_CURRENT_LUT.input[5]</t>
  </si>
  <si>
    <t>=Pwm compensation table - current[5]*(32768/BASE_CURRENT)</t>
  </si>
  <si>
    <t>DUTYCYCLE_BY_CURRENT_LUT.input[6]</t>
  </si>
  <si>
    <t>=Pwm compensation table - current[6]*(32768/BASE_CURRENT)</t>
  </si>
  <si>
    <t>DUTYCYCLE_BY_CURRENT_LUT.input[7]</t>
  </si>
  <si>
    <t>=Pwm compensation table - current[7]*(32768/BASE_CURRENT)</t>
  </si>
  <si>
    <t>DUTYCYCLE_BY_CURRENT_LUT.input[8]</t>
  </si>
  <si>
    <t>=Pwm compensation table - current[8]*(32768/BASE_CURRENT)</t>
  </si>
  <si>
    <t>DUTYCYCLE_BY_CURRENT_LUT.input[9]</t>
  </si>
  <si>
    <t>=Pwm compensation table - current[9]*(32768/BASE_CURRENT)</t>
  </si>
  <si>
    <t>DUTYCYCLE_BY_CURRENT_LUT.input[10]</t>
  </si>
  <si>
    <t>=Pwm compensation table - current[10]*(32768/BASE_CURRENT)</t>
  </si>
  <si>
    <t>DUTYCYCLE_BY_CURRENT_LUT.input[11]</t>
  </si>
  <si>
    <t>=Pwm compensation table - current[11]*(32768/BASE_CURRENT)</t>
  </si>
  <si>
    <t>DUTYCYCLE_BY_CURRENT_LUT.input[12]</t>
  </si>
  <si>
    <t>=Pwm compensation table - current[12]*(32768/BASE_CURRENT)</t>
  </si>
  <si>
    <t>DUTYCYCLE_BY_CURRENT_LUT.input[13]</t>
  </si>
  <si>
    <t>=Pwm compensation table - current[13]*(32768/BASE_CURRENT)</t>
  </si>
  <si>
    <t>DUTYCYCLE_BY_CURRENT_LUT.input[14]</t>
  </si>
  <si>
    <t>=Pwm compensation table - current[14]*(32768/BASE_CURRENT)</t>
  </si>
  <si>
    <t>DUTYCYCLE_BY_CURRENT_LUT.input[15]</t>
  </si>
  <si>
    <t>=Pwm compensation table - current[15]*(32768/BASE_CURRENT)</t>
  </si>
  <si>
    <t>DUTYCYCLE_BY_CURRENT_LUT.input[16]</t>
  </si>
  <si>
    <t>=Pwm compensation table - current[16]*(32768/BASE_CURRENT)</t>
  </si>
  <si>
    <t>DUTYCYCLE_BY_CURRENT_LUT.input[17]</t>
  </si>
  <si>
    <t>=Pwm compensation table - current[17]*(32768/BASE_CURRENT)</t>
  </si>
  <si>
    <t>DUTYCYCLE_BY_CURRENT_LUT.input[18]</t>
  </si>
  <si>
    <t>=Pwm compensation table - current[18]*(32768/BASE_CURRENT)</t>
  </si>
  <si>
    <t>DUTYCYCLE_BY_CURRENT_LUT.input[19]</t>
  </si>
  <si>
    <t>=Pwm compensation table - current[19]*(32768/BASE_CURRENT)</t>
  </si>
  <si>
    <t>DUTYCYCLE_BY_CURRENT_LUT.input[20]</t>
  </si>
  <si>
    <t>=Pwm compensation table - current[20]*(32768/BASE_CURRENT)</t>
  </si>
  <si>
    <t>DUTYCYCLE_BY_CURRENT_LUT.input[21]</t>
  </si>
  <si>
    <t>=Pwm compensation table - current[21]*(32768/BASE_CURRENT)</t>
  </si>
  <si>
    <t>DUTYCYCLE_BY_CURRENT_LUT.input[22]</t>
  </si>
  <si>
    <t>=Pwm compensation table - current[22]*(32768/BASE_CURRENT)</t>
  </si>
  <si>
    <t>DUTYCYCLE_BY_CURRENT_LUT.input[23]</t>
  </si>
  <si>
    <t>=Pwm compensation table - current[23]*(32768/BASE_CURRENT)</t>
  </si>
  <si>
    <t>DUTYCYCLE_BY_CURRENT_LUT.input[24]</t>
  </si>
  <si>
    <t>=Pwm compensation table - current[24]*(32768/BASE_CURRENT)</t>
  </si>
  <si>
    <t>DUTYCYCLE_BY_CURRENT_LUT.input[25]</t>
  </si>
  <si>
    <t>=Pwm compensation table - current[25]*(32768/BASE_CURRENT)</t>
  </si>
  <si>
    <t>DUTYCYCLE_BY_CURRENT_LUT.input[26]</t>
  </si>
  <si>
    <t>=Pwm compensation table - current[26]*(32768/BASE_CURRENT)</t>
  </si>
  <si>
    <t>DUTYCYCLE_BY_CURRENT_LUT.input[27]</t>
  </si>
  <si>
    <t>=Pwm compensation table - current[27]*(32768/BASE_CURRENT)</t>
  </si>
  <si>
    <t>DUTYCYCLE_BY_CURRENT_LUT.input[28]</t>
  </si>
  <si>
    <t>=Pwm compensation table - current[28]*(32768/BASE_CURRENT)</t>
  </si>
  <si>
    <t>DUTYCYCLE_BY_CURRENT_LUT.input[29]</t>
  </si>
  <si>
    <t>=Pwm compensation table - current[29]*(32768/BASE_CURRENT)</t>
  </si>
  <si>
    <t>DUTYCYCLE_BY_CURRENT_LUT.input[30]</t>
  </si>
  <si>
    <t>=Pwm compensation table - current[30]*(32768/BASE_CURRENT)</t>
  </si>
  <si>
    <t>DUTYCYCLE_BY_CURRENT_LUT.input[31]</t>
  </si>
  <si>
    <t>=Pwm compensation table - current[31]*(32768/BASE_CURRENT)</t>
  </si>
  <si>
    <t>DUTYCYCLE_BY_CURRENT_LUT.input[32]</t>
  </si>
  <si>
    <t>=Pwm compensation table - current[32]*(32768/BASE_CURRENT)</t>
  </si>
  <si>
    <t>DUTYCYCLE_BY_CURRENT_LUT.input[33]</t>
  </si>
  <si>
    <t>=Pwm compensation table - current[33]*(32768/BASE_CURRENT)</t>
  </si>
  <si>
    <t>DUTYCYCLE_BY_CURRENT_LUT.input[34]</t>
  </si>
  <si>
    <t>=Pwm compensation table - current[34]*(32768/BASE_CURRENT)</t>
  </si>
  <si>
    <t>DUTYCYCLE_BY_CURRENT_LUT.input[35]</t>
  </si>
  <si>
    <t>=Pwm compensation table - current[35]*(32768/BASE_CURRENT)</t>
  </si>
  <si>
    <t>DUTYCYCLE_BY_CURRENT_LUT.input[36]</t>
  </si>
  <si>
    <t>=Pwm compensation table - current[36]*(32768/BASE_CURRENT)</t>
  </si>
  <si>
    <t>DUTYCYCLE_BY_CURRENT_LUT.input[37]</t>
  </si>
  <si>
    <t>=Pwm compensation table - current[37]*(32768/BASE_CURRENT)</t>
  </si>
  <si>
    <t>DUTYCYCLE_BY_CURRENT_LUT.input[38]</t>
  </si>
  <si>
    <t>=Pwm compensation table - current[38]*(32768/BASE_CURRENT)</t>
  </si>
  <si>
    <t>DUTYCYCLE_BY_CURRENT_LUT.input[39]</t>
  </si>
  <si>
    <t>=Pwm compensation table - current[39]*(32768/BASE_CURRENT)</t>
  </si>
  <si>
    <t>DUTYCYCLE_BY_CURRENT_LUT.input[40]</t>
  </si>
  <si>
    <t>=Pwm compensation table - current[40]*(32768/BASE_CURRENT)</t>
  </si>
  <si>
    <t>DUTYCYCLE_BY_CURRENT_LUT.input[41]</t>
  </si>
  <si>
    <t>=Pwm compensation table - current[41]*(32768/BASE_CURRENT)</t>
  </si>
  <si>
    <t>DUTYCYCLE_BY_CURRENT_LUT.input[42]</t>
  </si>
  <si>
    <t>=Pwm compensation table - current[42]*(32768/BASE_CURRENT)</t>
  </si>
  <si>
    <t>DUTYCYCLE_BY_CURRENT_LUT.input[43]</t>
  </si>
  <si>
    <t>=Pwm compensation table - current[43]*(32768/BASE_CURRENT)</t>
  </si>
  <si>
    <t>DUTYCYCLE_BY_CURRENT_LUT.input[44]</t>
  </si>
  <si>
    <t>=Pwm compensation table - current[44]*(32768/BASE_CURRENT)</t>
  </si>
  <si>
    <t>DUTYCYCLE_BY_CURRENT_LUT.input[45]</t>
  </si>
  <si>
    <t>=Pwm compensation table - current[45]*(32768/BASE_CURRENT)</t>
  </si>
  <si>
    <t>DUTYCYCLE_BY_CURRENT_LUT.input[46]</t>
  </si>
  <si>
    <t>=Pwm compensation table - current[46]*(32768/BASE_CURRENT)</t>
  </si>
  <si>
    <t>DUTYCYCLE_BY_CURRENT_LUT.input[47]</t>
  </si>
  <si>
    <t>=Pwm compensation table - current[47]*(32768/BASE_CURRENT)</t>
  </si>
  <si>
    <t>DUTYCYCLE_BY_CURRENT_LUT.input[48]</t>
  </si>
  <si>
    <t>=Pwm compensation table - current[48]*(32768/BASE_CURRENT)</t>
  </si>
  <si>
    <t>DUTYCYCLE_BY_CURRENT_LUT.input[49]</t>
  </si>
  <si>
    <t>=Pwm compensation table - current[49]*(32768/BASE_CURRENT)</t>
  </si>
  <si>
    <t>DUTYCYCLE_BY_CURRENT_LUT.input[50]</t>
  </si>
  <si>
    <t>=Pwm compensation table - current[50]*(32768/BASE_CURRENT)</t>
  </si>
  <si>
    <t>DUTYCYCLE_BY_CURRENT_LUT.input[51]</t>
  </si>
  <si>
    <t>=Pwm compensation table - current[51]*(32768/BASE_CURRENT)</t>
  </si>
  <si>
    <t>DUTYCYCLE_BY_CURRENT_LUT.input[52]</t>
  </si>
  <si>
    <t>=Pwm compensation table - current[52]*(32768/BASE_CURRENT)</t>
  </si>
  <si>
    <t>DUTYCYCLE_BY_CURRENT_LUT.input[53]</t>
  </si>
  <si>
    <t>=Pwm compensation table - current[53]*(32768/BASE_CURRENT)</t>
  </si>
  <si>
    <t>DUTYCYCLE_BY_CURRENT_LUT.input[54]</t>
  </si>
  <si>
    <t>=Pwm compensation table - current[54]*(32768/BASE_CURRENT)</t>
  </si>
  <si>
    <t>DUTYCYCLE_BY_CURRENT_LUT.input[55]</t>
  </si>
  <si>
    <t>=Pwm compensation table - current[55]*(32768/BASE_CURRENT)</t>
  </si>
  <si>
    <t>DUTYCYCLE_BY_CURRENT_LUT.input[56]</t>
  </si>
  <si>
    <t>=Pwm compensation table - current[56]*(32768/BASE_CURRENT)</t>
  </si>
  <si>
    <t>DUTYCYCLE_BY_CURRENT_LUT.input[57]</t>
  </si>
  <si>
    <t>=Pwm compensation table - current[57]*(32768/BASE_CURRENT)</t>
  </si>
  <si>
    <t>DUTYCYCLE_BY_CURRENT_LUT.input[58]</t>
  </si>
  <si>
    <t>=Pwm compensation table - current[58]*(32768/BASE_CURRENT)</t>
  </si>
  <si>
    <t>DUTYCYCLE_BY_CURRENT_LUT.input[59]</t>
  </si>
  <si>
    <t>=Pwm compensation table - current[59]*(32768/BASE_CURRENT)</t>
  </si>
  <si>
    <t>DUTYCYCLE_BY_CURRENT_LUT.input[60]</t>
  </si>
  <si>
    <t>=Pwm compensation table - current[60]*(32768/BASE_CURRENT)</t>
  </si>
  <si>
    <t>DUTYCYCLE_BY_CURRENT_LUT.input[61]</t>
  </si>
  <si>
    <t>=Pwm compensation table - current[61]*(32768/BASE_CURRENT)</t>
  </si>
  <si>
    <t>DUTYCYCLE_BY_CURRENT_LUT.input[62]</t>
  </si>
  <si>
    <t>=Pwm compensation table - current[62]*(32768/BASE_CURRENT)</t>
  </si>
  <si>
    <t>DUTYCYCLE_BY_CURRENT_LUT.input[63]</t>
  </si>
  <si>
    <t>=Pwm compensation table - current[63]*(32768/BASE_CURRENT)</t>
  </si>
  <si>
    <t>DUTYCYCLE_BY_CURRENT_LUT.input[64]</t>
  </si>
  <si>
    <t>=Pwm compensation table - current[64]*(32768/BASE_CURRENT)</t>
  </si>
  <si>
    <t>DUTYCYCLE_BY_CURRENT_LUT.input[65]</t>
  </si>
  <si>
    <t>=Pwm compensation table - current[65]*(32768/BASE_CURRENT)</t>
  </si>
  <si>
    <t>DUTYCYCLE_BY_CURRENT_LUT.output[0]</t>
  </si>
  <si>
    <t>=Pwm compensation table - duty cycle[0]*32768</t>
  </si>
  <si>
    <t>DUTYCYCLE_BY_CURRENT_LUT.output[1]</t>
  </si>
  <si>
    <t>=Pwm compensation table - duty cycle[1]*32768</t>
  </si>
  <si>
    <t>DUTYCYCLE_BY_CURRENT_LUT.output[2]</t>
  </si>
  <si>
    <t>=Pwm compensation table - duty cycle[2]*32768</t>
  </si>
  <si>
    <t>DUTYCYCLE_BY_CURRENT_LUT.output[3]</t>
  </si>
  <si>
    <t>=Pwm compensation table - duty cycle[3]*32768</t>
  </si>
  <si>
    <t>DUTYCYCLE_BY_CURRENT_LUT.output[4]</t>
  </si>
  <si>
    <t>=Pwm compensation table - duty cycle[4]*32768</t>
  </si>
  <si>
    <t>DUTYCYCLE_BY_CURRENT_LUT.output[5]</t>
  </si>
  <si>
    <t>=Pwm compensation table - duty cycle[5]*32768</t>
  </si>
  <si>
    <t>DUTYCYCLE_BY_CURRENT_LUT.output[6]</t>
  </si>
  <si>
    <t>=Pwm compensation table - duty cycle[6]*32768</t>
  </si>
  <si>
    <t>DUTYCYCLE_BY_CURRENT_LUT.output[7]</t>
  </si>
  <si>
    <t>=Pwm compensation table - duty cycle[7]*32768</t>
  </si>
  <si>
    <t>DUTYCYCLE_BY_CURRENT_LUT.output[8]</t>
  </si>
  <si>
    <t>=Pwm compensation table - duty cycle[8]*32768</t>
  </si>
  <si>
    <t>DUTYCYCLE_BY_CURRENT_LUT.output[9]</t>
  </si>
  <si>
    <t>=Pwm compensation table - duty cycle[9]*32768</t>
  </si>
  <si>
    <t>DUTYCYCLE_BY_CURRENT_LUT.output[10]</t>
  </si>
  <si>
    <t>=Pwm compensation table - duty cycle[10]*32768</t>
  </si>
  <si>
    <t>DUTYCYCLE_BY_CURRENT_LUT.output[11]</t>
  </si>
  <si>
    <t>=Pwm compensation table - duty cycle[11]*32768</t>
  </si>
  <si>
    <t>DUTYCYCLE_BY_CURRENT_LUT.output[12]</t>
  </si>
  <si>
    <t>=Pwm compensation table - duty cycle[12]*32768</t>
  </si>
  <si>
    <t>DUTYCYCLE_BY_CURRENT_LUT.output[13]</t>
  </si>
  <si>
    <t>=Pwm compensation table - duty cycle[13]*32768</t>
  </si>
  <si>
    <t>DUTYCYCLE_BY_CURRENT_LUT.output[14]</t>
  </si>
  <si>
    <t>=Pwm compensation table - duty cycle[14]*32768</t>
  </si>
  <si>
    <t>DUTYCYCLE_BY_CURRENT_LUT.output[15]</t>
  </si>
  <si>
    <t>=Pwm compensation table - duty cycle[15]*32768</t>
  </si>
  <si>
    <t>DUTYCYCLE_BY_CURRENT_LUT.output[16]</t>
  </si>
  <si>
    <t>=Pwm compensation table - duty cycle[16]*32768</t>
  </si>
  <si>
    <t>DUTYCYCLE_BY_CURRENT_LUT.output[17]</t>
  </si>
  <si>
    <t>=Pwm compensation table - duty cycle[17]*32768</t>
  </si>
  <si>
    <t>DUTYCYCLE_BY_CURRENT_LUT.output[18]</t>
  </si>
  <si>
    <t>=Pwm compensation table - duty cycle[18]*32768</t>
  </si>
  <si>
    <t>DUTYCYCLE_BY_CURRENT_LUT.output[19]</t>
  </si>
  <si>
    <t>=Pwm compensation table - duty cycle[19]*32768</t>
  </si>
  <si>
    <t>DUTYCYCLE_BY_CURRENT_LUT.output[20]</t>
  </si>
  <si>
    <t>=Pwm compensation table - duty cycle[20]*32768</t>
  </si>
  <si>
    <t>DUTYCYCLE_BY_CURRENT_LUT.output[21]</t>
  </si>
  <si>
    <t>=Pwm compensation table - duty cycle[21]*32768</t>
  </si>
  <si>
    <t>DUTYCYCLE_BY_CURRENT_LUT.output[22]</t>
  </si>
  <si>
    <t>=Pwm compensation table - duty cycle[22]*32768</t>
  </si>
  <si>
    <t>DUTYCYCLE_BY_CURRENT_LUT.output[23]</t>
  </si>
  <si>
    <t>=Pwm compensation table - duty cycle[23]*32768</t>
  </si>
  <si>
    <t>DUTYCYCLE_BY_CURRENT_LUT.output[24]</t>
  </si>
  <si>
    <t>=Pwm compensation table - duty cycle[24]*32768</t>
  </si>
  <si>
    <t>DUTYCYCLE_BY_CURRENT_LUT.output[25]</t>
  </si>
  <si>
    <t>=Pwm compensation table - duty cycle[25]*32768</t>
  </si>
  <si>
    <t>DUTYCYCLE_BY_CURRENT_LUT.output[26]</t>
  </si>
  <si>
    <t>=Pwm compensation table - duty cycle[26]*32768</t>
  </si>
  <si>
    <t>DUTYCYCLE_BY_CURRENT_LUT.output[27]</t>
  </si>
  <si>
    <t>=Pwm compensation table - duty cycle[27]*32768</t>
  </si>
  <si>
    <t>DUTYCYCLE_BY_CURRENT_LUT.output[28]</t>
  </si>
  <si>
    <t>=Pwm compensation table - duty cycle[28]*32768</t>
  </si>
  <si>
    <t>DUTYCYCLE_BY_CURRENT_LUT.output[29]</t>
  </si>
  <si>
    <t>=Pwm compensation table - duty cycle[29]*32768</t>
  </si>
  <si>
    <t>DUTYCYCLE_BY_CURRENT_LUT.output[30]</t>
  </si>
  <si>
    <t>=Pwm compensation table - duty cycle[30]*32768</t>
  </si>
  <si>
    <t>DUTYCYCLE_BY_CURRENT_LUT.output[31]</t>
  </si>
  <si>
    <t>=Pwm compensation table - duty cycle[31]*32768</t>
  </si>
  <si>
    <t>DUTYCYCLE_BY_CURRENT_LUT.output[32]</t>
  </si>
  <si>
    <t>=Pwm compensation table - duty cycle[32]*32768</t>
  </si>
  <si>
    <t>DUTYCYCLE_BY_CURRENT_LUT.output[33]</t>
  </si>
  <si>
    <t>=Pwm compensation table - duty cycle[33]*32768</t>
  </si>
  <si>
    <t>DUTYCYCLE_BY_CURRENT_LUT.output[34]</t>
  </si>
  <si>
    <t>=Pwm compensation table - duty cycle[34]*32768</t>
  </si>
  <si>
    <t>DUTYCYCLE_BY_CURRENT_LUT.output[35]</t>
  </si>
  <si>
    <t>=Pwm compensation table - duty cycle[35]*32768</t>
  </si>
  <si>
    <t>DUTYCYCLE_BY_CURRENT_LUT.output[36]</t>
  </si>
  <si>
    <t>=Pwm compensation table - duty cycle[36]*32768</t>
  </si>
  <si>
    <t>DUTYCYCLE_BY_CURRENT_LUT.output[37]</t>
  </si>
  <si>
    <t>=Pwm compensation table - duty cycle[37]*32768</t>
  </si>
  <si>
    <t>DUTYCYCLE_BY_CURRENT_LUT.output[38]</t>
  </si>
  <si>
    <t>=Pwm compensation table - duty cycle[38]*32768</t>
  </si>
  <si>
    <t>DUTYCYCLE_BY_CURRENT_LUT.output[39]</t>
  </si>
  <si>
    <t>=Pwm compensation table - duty cycle[39]*32768</t>
  </si>
  <si>
    <t>DUTYCYCLE_BY_CURRENT_LUT.output[40]</t>
  </si>
  <si>
    <t>=Pwm compensation table - duty cycle[40]*32768</t>
  </si>
  <si>
    <t>DUTYCYCLE_BY_CURRENT_LUT.output[41]</t>
  </si>
  <si>
    <t>=Pwm compensation table - duty cycle[41]*32768</t>
  </si>
  <si>
    <t>DUTYCYCLE_BY_CURRENT_LUT.output[42]</t>
  </si>
  <si>
    <t>=Pwm compensation table - duty cycle[42]*32768</t>
  </si>
  <si>
    <t>DUTYCYCLE_BY_CURRENT_LUT.output[43]</t>
  </si>
  <si>
    <t>=Pwm compensation table - duty cycle[43]*32768</t>
  </si>
  <si>
    <t>DUTYCYCLE_BY_CURRENT_LUT.output[44]</t>
  </si>
  <si>
    <t>=Pwm compensation table - duty cycle[44]*32768</t>
  </si>
  <si>
    <t>DUTYCYCLE_BY_CURRENT_LUT.output[45]</t>
  </si>
  <si>
    <t>=Pwm compensation table - duty cycle[45]*32768</t>
  </si>
  <si>
    <t>DUTYCYCLE_BY_CURRENT_LUT.output[46]</t>
  </si>
  <si>
    <t>=Pwm compensation table - duty cycle[46]*32768</t>
  </si>
  <si>
    <t>DUTYCYCLE_BY_CURRENT_LUT.output[47]</t>
  </si>
  <si>
    <t>=Pwm compensation table - duty cycle[47]*32768</t>
  </si>
  <si>
    <t>DUTYCYCLE_BY_CURRENT_LUT.output[48]</t>
  </si>
  <si>
    <t>=Pwm compensation table - duty cycle[48]*32768</t>
  </si>
  <si>
    <t>DUTYCYCLE_BY_CURRENT_LUT.output[49]</t>
  </si>
  <si>
    <t>=Pwm compensation table - duty cycle[49]*32768</t>
  </si>
  <si>
    <t>DUTYCYCLE_BY_CURRENT_LUT.output[50]</t>
  </si>
  <si>
    <t>=Pwm compensation table - duty cycle[50]*32768</t>
  </si>
  <si>
    <t>DUTYCYCLE_BY_CURRENT_LUT.output[51]</t>
  </si>
  <si>
    <t>=Pwm compensation table - duty cycle[51]*32768</t>
  </si>
  <si>
    <t>DUTYCYCLE_BY_CURRENT_LUT.output[52]</t>
  </si>
  <si>
    <t>=Pwm compensation table - duty cycle[52]*32768</t>
  </si>
  <si>
    <t>DUTYCYCLE_BY_CURRENT_LUT.output[53]</t>
  </si>
  <si>
    <t>=Pwm compensation table - duty cycle[53]*32768</t>
  </si>
  <si>
    <t>DUTYCYCLE_BY_CURRENT_LUT.output[54]</t>
  </si>
  <si>
    <t>=Pwm compensation table - duty cycle[54]*32768</t>
  </si>
  <si>
    <t>DUTYCYCLE_BY_CURRENT_LUT.output[55]</t>
  </si>
  <si>
    <t>=Pwm compensation table - duty cycle[55]*32768</t>
  </si>
  <si>
    <t>DUTYCYCLE_BY_CURRENT_LUT.output[56]</t>
  </si>
  <si>
    <t>=Pwm compensation table - duty cycle[56]*32768</t>
  </si>
  <si>
    <t>DUTYCYCLE_BY_CURRENT_LUT.output[57]</t>
  </si>
  <si>
    <t>=Pwm compensation table - duty cycle[57]*32768</t>
  </si>
  <si>
    <t>DUTYCYCLE_BY_CURRENT_LUT.output[58]</t>
  </si>
  <si>
    <t>=Pwm compensation table - duty cycle[58]*32768</t>
  </si>
  <si>
    <t>DUTYCYCLE_BY_CURRENT_LUT.output[59]</t>
  </si>
  <si>
    <t>=Pwm compensation table - duty cycle[59]*32768</t>
  </si>
  <si>
    <t>DUTYCYCLE_BY_CURRENT_LUT.output[60]</t>
  </si>
  <si>
    <t>=Pwm compensation table - duty cycle[60]*32768</t>
  </si>
  <si>
    <t>DUTYCYCLE_BY_CURRENT_LUT.output[61]</t>
  </si>
  <si>
    <t>=Pwm compensation table - duty cycle[61]*32768</t>
  </si>
  <si>
    <t>DUTYCYCLE_BY_CURRENT_LUT.output[62]</t>
  </si>
  <si>
    <t>=Pwm compensation table - duty cycle[62]*32768</t>
  </si>
  <si>
    <t>DUTYCYCLE_BY_CURRENT_LUT.output[63]</t>
  </si>
  <si>
    <t>=Pwm compensation table - duty cycle[63]*32768</t>
  </si>
  <si>
    <t>DUTYCYCLE_BY_CURRENT_LUT.output[64]</t>
  </si>
  <si>
    <t>=Pwm compensation table - duty cycle[64]*32768</t>
  </si>
  <si>
    <t>DUTYCYCLE_BY_CURRENT_LUT.output[65]</t>
  </si>
  <si>
    <t>=Pwm compensation table - duty cycle[65]*32768</t>
  </si>
  <si>
    <t>Version</t>
  </si>
  <si>
    <t>Parameters to Settings File- Displacement Variant\Version</t>
  </si>
  <si>
    <t>Variant</t>
  </si>
  <si>
    <t>Value</t>
  </si>
  <si>
    <t>-</t>
  </si>
  <si>
    <t>GUI</t>
  </si>
  <si>
    <t>MOTOR &amp; BOARD</t>
  </si>
  <si>
    <t>OBSERVER</t>
  </si>
  <si>
    <t>SPEED CTRL</t>
  </si>
  <si>
    <t>DQ REF CNTRL</t>
  </si>
  <si>
    <t>PWM</t>
  </si>
  <si>
    <t>OTHER</t>
  </si>
  <si>
    <t>RESISTANCE EST.</t>
  </si>
  <si>
    <t>32 bit (DECIMAL)</t>
  </si>
  <si>
    <t>Stator_Resistance_Corr</t>
  </si>
  <si>
    <t>=0</t>
  </si>
  <si>
    <t>SpeedRef_Default_Accel</t>
  </si>
  <si>
    <t>SpeedRef_Min_Speed_Default_Accel</t>
  </si>
  <si>
    <t>Mcl_Input_Processing_Call_Rate</t>
  </si>
  <si>
    <t>RotorFlux</t>
  </si>
  <si>
    <t>=(ALGO_RES_EST_SPEED_TO_MEAS_AGAIN)</t>
  </si>
  <si>
    <t>time_estimate_resistance_normal</t>
  </si>
  <si>
    <t>Flux_Ref_Scale_Time</t>
  </si>
  <si>
    <t>=((1/OBSERVER_TS) * FLUX_REF_SCALE_TIME))</t>
  </si>
  <si>
    <t>Flux Reference Scale Time</t>
  </si>
  <si>
    <t>Locked_Rotor_Starting_Or_Running</t>
  </si>
  <si>
    <t>Locked_Rotor_Starting_Threshold</t>
  </si>
  <si>
    <t>Locked_Rotor_Running_Threshold</t>
  </si>
  <si>
    <t>Locked_Rotor_Current_Threshold</t>
  </si>
  <si>
    <t>Starting debounce time to run with torque at its maximum</t>
  </si>
  <si>
    <t>Running debounce time to run with torque at its maximum</t>
  </si>
  <si>
    <t>=(ALGO_RUNNING_LOCKED_ROTOR_START_OR_RUNNING * (2 * MCL_INPUT_CALL_RATE_HZ))</t>
  </si>
  <si>
    <t>Speed Reference Generator</t>
  </si>
  <si>
    <t>Default Acceleration</t>
  </si>
  <si>
    <t>Min Speed Default Acceleration</t>
  </si>
  <si>
    <t>rpm/s</t>
  </si>
  <si>
    <t>=((((2^25) / BASE_SPEED_RPM) * OBSERVER_TS) * SPEED_REF_DEFAULT_ACCEL)</t>
  </si>
  <si>
    <t>=(SPEED_REF_MIN_SPEED_DEFAULT_ACCEL * 32768/BASE_SPEED_RPM)</t>
  </si>
  <si>
    <t>=(ALGO_RUNNING_LOCKED_ROTOR_STARTING_THRESHOLD / 0,005)</t>
  </si>
  <si>
    <t>=(ALGO_RUNNING_LOCKED_ROTOR_RUNNING_THRESHOLD / 0,005)</t>
  </si>
  <si>
    <t>ResTempCalc.Samples_Number</t>
  </si>
  <si>
    <t>Samples Number</t>
  </si>
  <si>
    <t>=(SAMPLES_NUMBER)</t>
  </si>
  <si>
    <t>Pwm Compensation Table</t>
  </si>
  <si>
    <t>Parameters to Settings File - Displacement PWM Modulator</t>
  </si>
  <si>
    <t>Speed_Over_Flux_Thereshold</t>
  </si>
  <si>
    <t>Over_Flux_Max_Factor</t>
  </si>
  <si>
    <t>Speed_Drop_Factor</t>
  </si>
  <si>
    <t>sBPM_Speed_Over_Flux_Threshold</t>
  </si>
  <si>
    <t>sBPM_Flux_Start_Factor</t>
  </si>
  <si>
    <t>sBPM_Flux_Ref_Factor</t>
  </si>
  <si>
    <t>=(SPEED_OVERFLUX_THRESHOLD * 32768/BASE_SPEED_RPM)</t>
  </si>
  <si>
    <t>Speed threshold to enable/disable overflux</t>
  </si>
  <si>
    <t>Porcentage to be applied of extra flux</t>
  </si>
  <si>
    <t>=(OVERFLUX_FACTOR/100 * 32768)</t>
  </si>
  <si>
    <t>=(SBPM_SPEED_OVERFLUX_THRESHOLD * 32768/BASE_SPEED_RPM)</t>
  </si>
  <si>
    <t>=(SBPM_OVERFLUX_FACTOR/100 * 32768)</t>
  </si>
  <si>
    <t>=(SBPM_MIN_OVERFLUX_FACTOR/100 * 32768)</t>
  </si>
  <si>
    <t>Max_Speed_Drop_Factor</t>
  </si>
  <si>
    <t>Min_Voltage_Factor</t>
  </si>
  <si>
    <t>=(DQREF_MAX_SPEED_DROP_FACTOR)</t>
  </si>
  <si>
    <t>Start to decreasing speed</t>
  </si>
  <si>
    <t>Minimum voltage factor</t>
  </si>
  <si>
    <t xml:space="preserve">% </t>
  </si>
  <si>
    <t>=(DQREF_MIN_AVAILABLE_VOLT_FACTOR/100 * 32768)</t>
  </si>
  <si>
    <t>=(DQREF_SPEED_DROP_FACTOR)</t>
  </si>
  <si>
    <t>Speed decreasing value</t>
  </si>
  <si>
    <t xml:space="preserve">rpm </t>
  </si>
  <si>
    <t>sBPM Speed threshold to enable/disable overflux</t>
  </si>
  <si>
    <t>sBPM Porcentage to be applied of extra flux.</t>
  </si>
  <si>
    <t>sBPM Porcentage to be applied of minimum extra flux.</t>
  </si>
  <si>
    <t>=((((STATOR_RESISTANCE * 1.5) * MAX_PHASE_CURR + PI_VOLT_MARGIN) * 32768/BASE_VOLTAGE))</t>
  </si>
  <si>
    <t>Pi Volt Margin for Vd_Max</t>
  </si>
  <si>
    <t>=((PHASE_ADVANCE_COEFF * (OBSERVER_TS*32768)/BASE_TIME))</t>
  </si>
  <si>
    <t>Flux base</t>
  </si>
  <si>
    <t>=BASE_FLUX</t>
  </si>
  <si>
    <t>MTPA Lut</t>
  </si>
  <si>
    <t>MTPATorque_0</t>
  </si>
  <si>
    <t>MTPATorque_1</t>
  </si>
  <si>
    <t>MTPATorque_2</t>
  </si>
  <si>
    <t>MTPATorque_3</t>
  </si>
  <si>
    <t>MTPATorque_4</t>
  </si>
  <si>
    <t>MTPATorque_5</t>
  </si>
  <si>
    <t>MTPATorque_6</t>
  </si>
  <si>
    <t>MTPATorque_7</t>
  </si>
  <si>
    <t>MTPATorque_8</t>
  </si>
  <si>
    <t>MTPATorque_9</t>
  </si>
  <si>
    <t>MTPATorque_10</t>
  </si>
  <si>
    <t>MTPATorque_11</t>
  </si>
  <si>
    <t>MTPATorque_12</t>
  </si>
  <si>
    <t>MTPATorque_13</t>
  </si>
  <si>
    <t>MTPATorque_14</t>
  </si>
  <si>
    <t>MTPATorque_15</t>
  </si>
  <si>
    <t>MTPATorque_16</t>
  </si>
  <si>
    <t>MTPATorque_17</t>
  </si>
  <si>
    <t>MTPATorque_18</t>
  </si>
  <si>
    <t>MTPATorque_19</t>
  </si>
  <si>
    <t>MTPATorque_20</t>
  </si>
  <si>
    <t>MTPATorque_21</t>
  </si>
  <si>
    <t>MTPATorque_22</t>
  </si>
  <si>
    <t>MTPATorque_23</t>
  </si>
  <si>
    <t>MTPATorque_24</t>
  </si>
  <si>
    <t>MTPATorque_25</t>
  </si>
  <si>
    <t>MTPATorque_26</t>
  </si>
  <si>
    <t>MTPATorque_27</t>
  </si>
  <si>
    <t>MTPATorque_28</t>
  </si>
  <si>
    <t>MTPATorque_29</t>
  </si>
  <si>
    <t>MTPATorque_30</t>
  </si>
  <si>
    <t>MTPATorque_31</t>
  </si>
  <si>
    <t>MTPATorque_32</t>
  </si>
  <si>
    <t>MTPATorque_33</t>
  </si>
  <si>
    <t>MTPATorque_34</t>
  </si>
  <si>
    <t>MTPATorque_35</t>
  </si>
  <si>
    <t>MTPATorque_36</t>
  </si>
  <si>
    <t>MTPATorque_37</t>
  </si>
  <si>
    <t>MTPATorque_38</t>
  </si>
  <si>
    <t>MTPATorque_39</t>
  </si>
  <si>
    <t>MTPATorque_40</t>
  </si>
  <si>
    <t>MTPATorque_41</t>
  </si>
  <si>
    <t>MTPATorque_42</t>
  </si>
  <si>
    <t>MTPATorque_43</t>
  </si>
  <si>
    <t>MTPATorque_44</t>
  </si>
  <si>
    <t>MTPATorque_45</t>
  </si>
  <si>
    <t>MTPATorque_46</t>
  </si>
  <si>
    <t>MTPATorque_47</t>
  </si>
  <si>
    <t>MTPATorque_48</t>
  </si>
  <si>
    <t>MTPATorque_49</t>
  </si>
  <si>
    <t>MTPATorque_50</t>
  </si>
  <si>
    <t>MTPATorque_51</t>
  </si>
  <si>
    <t>MTPATorque_52</t>
  </si>
  <si>
    <t>MTPATorque_53</t>
  </si>
  <si>
    <t>MTPATorque_54</t>
  </si>
  <si>
    <t>MTPATorque_55</t>
  </si>
  <si>
    <t>MTPATorque_56</t>
  </si>
  <si>
    <t>MTPATorque_57</t>
  </si>
  <si>
    <t>MTPATorque_58</t>
  </si>
  <si>
    <t>MTPATorque_59</t>
  </si>
  <si>
    <t>MTPATorque_60</t>
  </si>
  <si>
    <t>MTPAFlux_0</t>
  </si>
  <si>
    <t>MTPAFlux_1</t>
  </si>
  <si>
    <t>MTPAFlux_2</t>
  </si>
  <si>
    <t>MTPAFlux_3</t>
  </si>
  <si>
    <t>MTPAFlux_4</t>
  </si>
  <si>
    <t>MTPAFlux_5</t>
  </si>
  <si>
    <t>MTPAFlux_6</t>
  </si>
  <si>
    <t>MTPAFlux_7</t>
  </si>
  <si>
    <t>MTPAFlux_8</t>
  </si>
  <si>
    <t>MTPAFlux_9</t>
  </si>
  <si>
    <t>MTPAFlux_10</t>
  </si>
  <si>
    <t>MTPAFlux_11</t>
  </si>
  <si>
    <t>MTPAFlux_12</t>
  </si>
  <si>
    <t>MTPAFlux_13</t>
  </si>
  <si>
    <t>MTPAFlux_14</t>
  </si>
  <si>
    <t>MTPAFlux_15</t>
  </si>
  <si>
    <t>MTPAFlux_16</t>
  </si>
  <si>
    <t>MTPAFlux_17</t>
  </si>
  <si>
    <t>MTPAFlux_18</t>
  </si>
  <si>
    <t>MTPAFlux_19</t>
  </si>
  <si>
    <t>MTPAFlux_20</t>
  </si>
  <si>
    <t>MTPAFlux_21</t>
  </si>
  <si>
    <t>MTPAFlux_22</t>
  </si>
  <si>
    <t>MTPAFlux_23</t>
  </si>
  <si>
    <t>MTPAFlux_24</t>
  </si>
  <si>
    <t>MTPAFlux_25</t>
  </si>
  <si>
    <t>MTPAFlux_26</t>
  </si>
  <si>
    <t>MTPAFlux_27</t>
  </si>
  <si>
    <t>MTPAFlux_28</t>
  </si>
  <si>
    <t>MTPAFlux_29</t>
  </si>
  <si>
    <t>MTPAFlux_30</t>
  </si>
  <si>
    <t>MTPAFlux_31</t>
  </si>
  <si>
    <t>MTPAFlux_32</t>
  </si>
  <si>
    <t>MTPAFlux_33</t>
  </si>
  <si>
    <t>MTPAFlux_34</t>
  </si>
  <si>
    <t>MTPAFlux_35</t>
  </si>
  <si>
    <t>MTPAFlux_36</t>
  </si>
  <si>
    <t>MTPAFlux_37</t>
  </si>
  <si>
    <t>MTPAFlux_38</t>
  </si>
  <si>
    <t>MTPAFlux_39</t>
  </si>
  <si>
    <t>MTPAFlux_40</t>
  </si>
  <si>
    <t>MTPAFlux_41</t>
  </si>
  <si>
    <t>MTPAFlux_42</t>
  </si>
  <si>
    <t>MTPAFlux_43</t>
  </si>
  <si>
    <t>MTPAFlux_44</t>
  </si>
  <si>
    <t>MTPAFlux_45</t>
  </si>
  <si>
    <t>MTPAFlux_46</t>
  </si>
  <si>
    <t>MTPAFlux_47</t>
  </si>
  <si>
    <t>MTPAFlux_48</t>
  </si>
  <si>
    <t>MTPAFlux_49</t>
  </si>
  <si>
    <t>MTPAFlux_50</t>
  </si>
  <si>
    <t>MTPAFlux_51</t>
  </si>
  <si>
    <t>MTPAFlux_52</t>
  </si>
  <si>
    <t>MTPAFlux_53</t>
  </si>
  <si>
    <t>MTPAFlux_54</t>
  </si>
  <si>
    <t>MTPAFlux_55</t>
  </si>
  <si>
    <t>MTPAFlux_56</t>
  </si>
  <si>
    <t>MTPAFlux_57</t>
  </si>
  <si>
    <t>MTPAFlux_58</t>
  </si>
  <si>
    <t>MTPAFlux_59</t>
  </si>
  <si>
    <t>MTPAFlux_60</t>
  </si>
  <si>
    <t>MTPATorque_61</t>
  </si>
  <si>
    <t>MTPATorque_62</t>
  </si>
  <si>
    <t>MTPATorque_63</t>
  </si>
  <si>
    <t>MTPATorque_64</t>
  </si>
  <si>
    <t>MTPATorque_65</t>
  </si>
  <si>
    <t>MTPATorque_66</t>
  </si>
  <si>
    <t>MTPATorque_67</t>
  </si>
  <si>
    <t>MTPATorque_68</t>
  </si>
  <si>
    <t>MTPATorque_69</t>
  </si>
  <si>
    <t>MTPATorque_70</t>
  </si>
  <si>
    <t>MTPATorque_71</t>
  </si>
  <si>
    <t>MTPATorque_72</t>
  </si>
  <si>
    <t>MTPATorque_73</t>
  </si>
  <si>
    <t>MTPATorque_74</t>
  </si>
  <si>
    <t>MTPATorque_75</t>
  </si>
  <si>
    <t>MTPATorque_76</t>
  </si>
  <si>
    <t>MTPATorque_77</t>
  </si>
  <si>
    <t>MTPATorque_78</t>
  </si>
  <si>
    <t>MTPATorque_79</t>
  </si>
  <si>
    <t>MTPATorque_80</t>
  </si>
  <si>
    <t>MTPAFlux_61</t>
  </si>
  <si>
    <t>MTPAFlux_62</t>
  </si>
  <si>
    <t>MTPAFlux_63</t>
  </si>
  <si>
    <t>MTPAFlux_64</t>
  </si>
  <si>
    <t>MTPAFlux_65</t>
  </si>
  <si>
    <t>MTPAFlux_66</t>
  </si>
  <si>
    <t>MTPAFlux_67</t>
  </si>
  <si>
    <t>MTPAFlux_68</t>
  </si>
  <si>
    <t>MTPAFlux_69</t>
  </si>
  <si>
    <t>MTPAFlux_70</t>
  </si>
  <si>
    <t>MTPAFlux_71</t>
  </si>
  <si>
    <t>MTPAFlux_72</t>
  </si>
  <si>
    <t>MTPAFlux_73</t>
  </si>
  <si>
    <t>MTPAFlux_74</t>
  </si>
  <si>
    <t>MTPAFlux_75</t>
  </si>
  <si>
    <t>MTPAFlux_76</t>
  </si>
  <si>
    <t>MTPAFlux_77</t>
  </si>
  <si>
    <t>MTPAFlux_78</t>
  </si>
  <si>
    <t>MTPAFlux_79</t>
  </si>
  <si>
    <t>MTPAFlux_80</t>
  </si>
  <si>
    <t>Mtpa_Torque_0</t>
  </si>
  <si>
    <t>Mtpa_Torque_1</t>
  </si>
  <si>
    <t>Mtpa_Torque_2</t>
  </si>
  <si>
    <t>Mtpa_Torque_3</t>
  </si>
  <si>
    <t>Mtpa_Torque_4</t>
  </si>
  <si>
    <t>Mtpa_Torque_5</t>
  </si>
  <si>
    <t>Mtpa_Torque_6</t>
  </si>
  <si>
    <t>Mtpa_Torque_7</t>
  </si>
  <si>
    <t>Mtpa_Torque_8</t>
  </si>
  <si>
    <t>Mtpa_Torque_9</t>
  </si>
  <si>
    <t>Mtpa_Torque_10</t>
  </si>
  <si>
    <t>Mtpa_Torque_11</t>
  </si>
  <si>
    <t>Mtpa_Torque_12</t>
  </si>
  <si>
    <t>Mtpa_Torque_13</t>
  </si>
  <si>
    <t>Mtpa_Torque_14</t>
  </si>
  <si>
    <t>Mtpa_Torque_15</t>
  </si>
  <si>
    <t>Mtpa_Torque_16</t>
  </si>
  <si>
    <t>Mtpa_Torque_17</t>
  </si>
  <si>
    <t>Mtpa_Torque_18</t>
  </si>
  <si>
    <t>Mtpa_Torque_19</t>
  </si>
  <si>
    <t>Mtpa_Torque_20</t>
  </si>
  <si>
    <t>Mtpa_Torque_21</t>
  </si>
  <si>
    <t>Mtpa_Torque_22</t>
  </si>
  <si>
    <t>Mtpa_Torque_23</t>
  </si>
  <si>
    <t>Mtpa_Torque_24</t>
  </si>
  <si>
    <t>Mtpa_Torque_25</t>
  </si>
  <si>
    <t>Mtpa_Torque_26</t>
  </si>
  <si>
    <t>Mtpa_Torque_27</t>
  </si>
  <si>
    <t>Mtpa_Torque_28</t>
  </si>
  <si>
    <t>Mtpa_Torque_29</t>
  </si>
  <si>
    <t>Mtpa_Torque_30</t>
  </si>
  <si>
    <t>Mtpa_Torque_31</t>
  </si>
  <si>
    <t>Mtpa_Torque_32</t>
  </si>
  <si>
    <t>Mtpa_Torque_33</t>
  </si>
  <si>
    <t>Mtpa_Torque_34</t>
  </si>
  <si>
    <t>Mtpa_Torque_35</t>
  </si>
  <si>
    <t>Mtpa_Torque_36</t>
  </si>
  <si>
    <t>Mtpa_Torque_37</t>
  </si>
  <si>
    <t>Mtpa_Torque_38</t>
  </si>
  <si>
    <t>Mtpa_Torque_39</t>
  </si>
  <si>
    <t>Mtpa_Torque_40</t>
  </si>
  <si>
    <t>Mtpa_Torque_41</t>
  </si>
  <si>
    <t>Mtpa_Torque_42</t>
  </si>
  <si>
    <t>Mtpa_Torque_43</t>
  </si>
  <si>
    <t>Mtpa_Torque_44</t>
  </si>
  <si>
    <t>Mtpa_Torque_45</t>
  </si>
  <si>
    <t>Mtpa_Torque_46</t>
  </si>
  <si>
    <t>Mtpa_Torque_47</t>
  </si>
  <si>
    <t>Mtpa_Torque_48</t>
  </si>
  <si>
    <t>Mtpa_Torque_49</t>
  </si>
  <si>
    <t>Mtpa_Torque_50</t>
  </si>
  <si>
    <t>Mtpa_Torque_51</t>
  </si>
  <si>
    <t>Mtpa_Torque_52</t>
  </si>
  <si>
    <t>Mtpa_Torque_53</t>
  </si>
  <si>
    <t>Mtpa_Torque_54</t>
  </si>
  <si>
    <t>Mtpa_Torque_55</t>
  </si>
  <si>
    <t>Mtpa_Torque_56</t>
  </si>
  <si>
    <t>Mtpa_Torque_57</t>
  </si>
  <si>
    <t>Mtpa_Torque_58</t>
  </si>
  <si>
    <t>Mtpa_Torque_59</t>
  </si>
  <si>
    <t>Mtpa_Torque_60</t>
  </si>
  <si>
    <t>Mtpa_Torque_61</t>
  </si>
  <si>
    <t>Mtpa_Torque_62</t>
  </si>
  <si>
    <t>Mtpa_Torque_63</t>
  </si>
  <si>
    <t>Mtpa_Torque_64</t>
  </si>
  <si>
    <t>Mtpa_Torque_65</t>
  </si>
  <si>
    <t>Mtpa_Torque_66</t>
  </si>
  <si>
    <t>Mtpa_Torque_67</t>
  </si>
  <si>
    <t>Mtpa_Torque_68</t>
  </si>
  <si>
    <t>Mtpa_Torque_69</t>
  </si>
  <si>
    <t>Mtpa_Torque_70</t>
  </si>
  <si>
    <t>Mtpa_Torque_71</t>
  </si>
  <si>
    <t>Mtpa_Torque_72</t>
  </si>
  <si>
    <t>Mtpa_Torque_73</t>
  </si>
  <si>
    <t>Mtpa_Torque_74</t>
  </si>
  <si>
    <t>Mtpa_Torque_75</t>
  </si>
  <si>
    <t>Mtpa_Torque_76</t>
  </si>
  <si>
    <t>Mtpa_Torque_77</t>
  </si>
  <si>
    <t>Mtpa_Torque_78</t>
  </si>
  <si>
    <t>Mtpa_Torque_79</t>
  </si>
  <si>
    <t>Mtpa_Torque_80</t>
  </si>
  <si>
    <t>Mtpa_Flux_0</t>
  </si>
  <si>
    <t>Mtpa_Flux_1</t>
  </si>
  <si>
    <t>Mtpa_Flux_2</t>
  </si>
  <si>
    <t>Mtpa_Flux_3</t>
  </si>
  <si>
    <t>Mtpa_Flux_4</t>
  </si>
  <si>
    <t>Mtpa_Flux_5</t>
  </si>
  <si>
    <t>Mtpa_Flux_6</t>
  </si>
  <si>
    <t>Mtpa_Flux_7</t>
  </si>
  <si>
    <t>Mtpa_Flux_8</t>
  </si>
  <si>
    <t>Mtpa_Flux_9</t>
  </si>
  <si>
    <t>Mtpa_Flux_10</t>
  </si>
  <si>
    <t>Mtpa_Flux_11</t>
  </si>
  <si>
    <t>Mtpa_Flux_12</t>
  </si>
  <si>
    <t>Mtpa_Flux_13</t>
  </si>
  <si>
    <t>Mtpa_Flux_14</t>
  </si>
  <si>
    <t>Mtpa_Flux_15</t>
  </si>
  <si>
    <t>Mtpa_Flux_16</t>
  </si>
  <si>
    <t>Mtpa_Flux_17</t>
  </si>
  <si>
    <t>Mtpa_Flux_18</t>
  </si>
  <si>
    <t>Mtpa_Flux_19</t>
  </si>
  <si>
    <t>Mtpa_Flux_20</t>
  </si>
  <si>
    <t>Mtpa_Flux_21</t>
  </si>
  <si>
    <t>Mtpa_Flux_22</t>
  </si>
  <si>
    <t>Mtpa_Flux_23</t>
  </si>
  <si>
    <t>Mtpa_Flux_24</t>
  </si>
  <si>
    <t>Mtpa_Flux_25</t>
  </si>
  <si>
    <t>Mtpa_Flux_26</t>
  </si>
  <si>
    <t>Mtpa_Flux_27</t>
  </si>
  <si>
    <t>Mtpa_Flux_28</t>
  </si>
  <si>
    <t>Mtpa_Flux_29</t>
  </si>
  <si>
    <t>Mtpa_Flux_30</t>
  </si>
  <si>
    <t>Mtpa_Flux_31</t>
  </si>
  <si>
    <t>Mtpa_Flux_32</t>
  </si>
  <si>
    <t>Mtpa_Flux_33</t>
  </si>
  <si>
    <t>Mtpa_Flux_34</t>
  </si>
  <si>
    <t>Mtpa_Flux_35</t>
  </si>
  <si>
    <t>Mtpa_Flux_36</t>
  </si>
  <si>
    <t>Mtpa_Flux_37</t>
  </si>
  <si>
    <t>Mtpa_Flux_38</t>
  </si>
  <si>
    <t>Mtpa_Flux_39</t>
  </si>
  <si>
    <t>Mtpa_Flux_40</t>
  </si>
  <si>
    <t>Mtpa_Flux_41</t>
  </si>
  <si>
    <t>Mtpa_Flux_42</t>
  </si>
  <si>
    <t>Mtpa_Flux_43</t>
  </si>
  <si>
    <t>Mtpa_Flux_44</t>
  </si>
  <si>
    <t>Mtpa_Flux_45</t>
  </si>
  <si>
    <t>Mtpa_Flux_46</t>
  </si>
  <si>
    <t>Mtpa_Flux_47</t>
  </si>
  <si>
    <t>Mtpa_Flux_48</t>
  </si>
  <si>
    <t>Mtpa_Flux_49</t>
  </si>
  <si>
    <t>Mtpa_Flux_50</t>
  </si>
  <si>
    <t>Mtpa_Flux_51</t>
  </si>
  <si>
    <t>Mtpa_Flux_52</t>
  </si>
  <si>
    <t>Mtpa_Flux_53</t>
  </si>
  <si>
    <t>Mtpa_Flux_54</t>
  </si>
  <si>
    <t>Mtpa_Flux_55</t>
  </si>
  <si>
    <t>Mtpa_Flux_56</t>
  </si>
  <si>
    <t>Mtpa_Flux_57</t>
  </si>
  <si>
    <t>Mtpa_Flux_58</t>
  </si>
  <si>
    <t>Mtpa_Flux_59</t>
  </si>
  <si>
    <t>Mtpa_Flux_60</t>
  </si>
  <si>
    <t>Mtpa_Flux_61</t>
  </si>
  <si>
    <t>Mtpa_Flux_62</t>
  </si>
  <si>
    <t>Mtpa_Flux_63</t>
  </si>
  <si>
    <t>Mtpa_Flux_64</t>
  </si>
  <si>
    <t>Mtpa_Flux_65</t>
  </si>
  <si>
    <t>Mtpa_Flux_66</t>
  </si>
  <si>
    <t>Mtpa_Flux_67</t>
  </si>
  <si>
    <t>Mtpa_Flux_68</t>
  </si>
  <si>
    <t>Mtpa_Flux_69</t>
  </si>
  <si>
    <t>Mtpa_Flux_70</t>
  </si>
  <si>
    <t>Mtpa_Flux_71</t>
  </si>
  <si>
    <t>Mtpa_Flux_72</t>
  </si>
  <si>
    <t>Mtpa_Flux_73</t>
  </si>
  <si>
    <t>Mtpa_Flux_74</t>
  </si>
  <si>
    <t>Mtpa_Flux_75</t>
  </si>
  <si>
    <t>Mtpa_Flux_76</t>
  </si>
  <si>
    <t>Mtpa_Flux_77</t>
  </si>
  <si>
    <t>Mtpa_Flux_78</t>
  </si>
  <si>
    <t>Mtpa_Flux_79</t>
  </si>
  <si>
    <t>Mtpa_Flux_80</t>
  </si>
  <si>
    <t>=(32768/BASE_TORQ) * MTPATorque_0</t>
  </si>
  <si>
    <t>=(32768/BASE_FLUX) * MTPAFlux_0</t>
  </si>
  <si>
    <t>=(32768/BASE_TORQ) * MTPATorque_1</t>
  </si>
  <si>
    <t>=(32768/BASE_FLUX) * MTPAFlux_1</t>
  </si>
  <si>
    <t>=(32768/BASE_TORQ) * MTPATorque_2</t>
  </si>
  <si>
    <t>=(32768/BASE_FLUX) * MTPAFlux_2</t>
  </si>
  <si>
    <t>=(32768/BASE_TORQ) * MTPATorque_3</t>
  </si>
  <si>
    <t>=(32768/BASE_FLUX) * MTPAFlux_3</t>
  </si>
  <si>
    <t>=(32768/BASE_TORQ) * MTPATorque_4</t>
  </si>
  <si>
    <t>=(32768/BASE_FLUX) * MTPAFlux_4</t>
  </si>
  <si>
    <t>=(32768/BASE_TORQ) * MTPATorque_5</t>
  </si>
  <si>
    <t>=(32768/BASE_FLUX) * MTPAFlux_5</t>
  </si>
  <si>
    <t>=(32768/BASE_TORQ) * MTPATorque_6</t>
  </si>
  <si>
    <t>=(32768/BASE_FLUX) * MTPAFlux_6</t>
  </si>
  <si>
    <t>=(32768/BASE_TORQ) * MTPATorque_7</t>
  </si>
  <si>
    <t>=(32768/BASE_FLUX) * MTPAFlux_7</t>
  </si>
  <si>
    <t>=(32768/BASE_TORQ) * MTPATorque_8</t>
  </si>
  <si>
    <t>=(32768/BASE_FLUX) * MTPAFlux_8</t>
  </si>
  <si>
    <t>=(32768/BASE_TORQ) * MTPATorque_9</t>
  </si>
  <si>
    <t>=(32768/BASE_FLUX) * MTPAFlux_9</t>
  </si>
  <si>
    <t>=(32768/BASE_TORQ) * MTPATorque_10</t>
  </si>
  <si>
    <t>=(32768/BASE_FLUX) * MTPAFlux_10</t>
  </si>
  <si>
    <t>=(32768/BASE_TORQ) * MTPATorque_11</t>
  </si>
  <si>
    <t>=(32768/BASE_FLUX) * MTPAFlux_11</t>
  </si>
  <si>
    <t>=(32768/BASE_TORQ) * MTPATorque_12</t>
  </si>
  <si>
    <t>=(32768/BASE_FLUX) * MTPAFlux_12</t>
  </si>
  <si>
    <t>=(32768/BASE_TORQ) * MTPATorque_13</t>
  </si>
  <si>
    <t>=(32768/BASE_FLUX) * MTPAFlux_13</t>
  </si>
  <si>
    <t>=(32768/BASE_TORQ) * MTPATorque_14</t>
  </si>
  <si>
    <t>=(32768/BASE_FLUX) * MTPAFlux_14</t>
  </si>
  <si>
    <t>=(32768/BASE_TORQ) * MTPATorque_15</t>
  </si>
  <si>
    <t>=(32768/BASE_FLUX) * MTPAFlux_15</t>
  </si>
  <si>
    <t>=(32768/BASE_TORQ) * MTPATorque_16</t>
  </si>
  <si>
    <t>=(32768/BASE_FLUX) * MTPAFlux_16</t>
  </si>
  <si>
    <t>=(32768/BASE_TORQ) * MTPATorque_17</t>
  </si>
  <si>
    <t>=(32768/BASE_FLUX) * MTPAFlux_17</t>
  </si>
  <si>
    <t>=(32768/BASE_TORQ) * MTPATorque_18</t>
  </si>
  <si>
    <t>=(32768/BASE_FLUX) * MTPAFlux_18</t>
  </si>
  <si>
    <t>=(32768/BASE_TORQ) * MTPATorque_19</t>
  </si>
  <si>
    <t>=(32768/BASE_FLUX) * MTPAFlux_19</t>
  </si>
  <si>
    <t>=(32768/BASE_TORQ) * MTPATorque_20</t>
  </si>
  <si>
    <t>=(32768/BASE_FLUX) * MTPAFlux_20</t>
  </si>
  <si>
    <t>=(32768/BASE_TORQ) * MTPATorque_21</t>
  </si>
  <si>
    <t>=(32768/BASE_FLUX) * MTPAFlux_21</t>
  </si>
  <si>
    <t>=(32768/BASE_TORQ) * MTPATorque_22</t>
  </si>
  <si>
    <t>=(32768/BASE_FLUX) * MTPAFlux_22</t>
  </si>
  <si>
    <t>=(32768/BASE_TORQ) * MTPATorque_23</t>
  </si>
  <si>
    <t>=(32768/BASE_FLUX) * MTPAFlux_23</t>
  </si>
  <si>
    <t>=(32768/BASE_TORQ) * MTPATorque_24</t>
  </si>
  <si>
    <t>=(32768/BASE_FLUX) * MTPAFlux_24</t>
  </si>
  <si>
    <t>=(32768/BASE_TORQ) * MTPATorque_25</t>
  </si>
  <si>
    <t>=(32768/BASE_FLUX) * MTPAFlux_25</t>
  </si>
  <si>
    <t>=(32768/BASE_TORQ) * MTPATorque_26</t>
  </si>
  <si>
    <t>=(32768/BASE_FLUX) * MTPAFlux_26</t>
  </si>
  <si>
    <t>=(32768/BASE_TORQ) * MTPATorque_27</t>
  </si>
  <si>
    <t>=(32768/BASE_FLUX) * MTPAFlux_27</t>
  </si>
  <si>
    <t>=(32768/BASE_TORQ) * MTPATorque_28</t>
  </si>
  <si>
    <t>=(32768/BASE_FLUX) * MTPAFlux_28</t>
  </si>
  <si>
    <t>=(32768/BASE_TORQ) * MTPATorque_29</t>
  </si>
  <si>
    <t>=(32768/BASE_FLUX) * MTPAFlux_29</t>
  </si>
  <si>
    <t>=(32768/BASE_TORQ) * MTPATorque_30</t>
  </si>
  <si>
    <t>=(32768/BASE_FLUX) * MTPAFlux_30</t>
  </si>
  <si>
    <t>=(32768/BASE_TORQ) * MTPATorque_31</t>
  </si>
  <si>
    <t>=(32768/BASE_FLUX) * MTPAFlux_31</t>
  </si>
  <si>
    <t>=(32768/BASE_TORQ) * MTPATorque_32</t>
  </si>
  <si>
    <t>=(32768/BASE_FLUX) * MTPAFlux_32</t>
  </si>
  <si>
    <t>=(32768/BASE_TORQ) * MTPATorque_33</t>
  </si>
  <si>
    <t>=(32768/BASE_FLUX) * MTPAFlux_33</t>
  </si>
  <si>
    <t>=(32768/BASE_TORQ) * MTPATorque_34</t>
  </si>
  <si>
    <t>=(32768/BASE_FLUX) * MTPAFlux_34</t>
  </si>
  <si>
    <t>=(32768/BASE_TORQ) * MTPATorque_35</t>
  </si>
  <si>
    <t>=(32768/BASE_FLUX) * MTPAFlux_35</t>
  </si>
  <si>
    <t>=(32768/BASE_TORQ) * MTPATorque_36</t>
  </si>
  <si>
    <t>=(32768/BASE_FLUX) * MTPAFlux_36</t>
  </si>
  <si>
    <t>=(32768/BASE_TORQ) * MTPATorque_37</t>
  </si>
  <si>
    <t>=(32768/BASE_FLUX) * MTPAFlux_37</t>
  </si>
  <si>
    <t>=(32768/BASE_TORQ) * MTPATorque_38</t>
  </si>
  <si>
    <t>=(32768/BASE_FLUX) * MTPAFlux_38</t>
  </si>
  <si>
    <t>=(32768/BASE_TORQ) * MTPATorque_39</t>
  </si>
  <si>
    <t>=(32768/BASE_FLUX) * MTPAFlux_39</t>
  </si>
  <si>
    <t>=(32768/BASE_TORQ) * MTPATorque_40</t>
  </si>
  <si>
    <t>=(32768/BASE_FLUX) * MTPAFlux_40</t>
  </si>
  <si>
    <t>=(32768/BASE_TORQ) * MTPATorque_41</t>
  </si>
  <si>
    <t>=(32768/BASE_FLUX) * MTPAFlux_41</t>
  </si>
  <si>
    <t>=(32768/BASE_TORQ) * MTPATorque_42</t>
  </si>
  <si>
    <t>=(32768/BASE_FLUX) * MTPAFlux_42</t>
  </si>
  <si>
    <t>=(32768/BASE_TORQ) * MTPATorque_43</t>
  </si>
  <si>
    <t>=(32768/BASE_FLUX) * MTPAFlux_43</t>
  </si>
  <si>
    <t>=(32768/BASE_TORQ) * MTPATorque_44</t>
  </si>
  <si>
    <t>=(32768/BASE_FLUX) * MTPAFlux_44</t>
  </si>
  <si>
    <t>=(32768/BASE_TORQ) * MTPATorque_45</t>
  </si>
  <si>
    <t>=(32768/BASE_FLUX) * MTPAFlux_45</t>
  </si>
  <si>
    <t>=(32768/BASE_TORQ) * MTPATorque_46</t>
  </si>
  <si>
    <t>=(32768/BASE_FLUX) * MTPAFlux_46</t>
  </si>
  <si>
    <t>=(32768/BASE_TORQ) * MTPATorque_47</t>
  </si>
  <si>
    <t>=(32768/BASE_FLUX) * MTPAFlux_47</t>
  </si>
  <si>
    <t>=(32768/BASE_TORQ) * MTPATorque_48</t>
  </si>
  <si>
    <t>=(32768/BASE_FLUX) * MTPAFlux_48</t>
  </si>
  <si>
    <t>=(32768/BASE_TORQ) * MTPATorque_49</t>
  </si>
  <si>
    <t>=(32768/BASE_FLUX) * MTPAFlux_49</t>
  </si>
  <si>
    <t>=(32768/BASE_TORQ) * MTPATorque_50</t>
  </si>
  <si>
    <t>=(32768/BASE_FLUX) * MTPAFlux_50</t>
  </si>
  <si>
    <t>=(32768/BASE_TORQ) * MTPATorque_51</t>
  </si>
  <si>
    <t>=(32768/BASE_FLUX) * MTPAFlux_51</t>
  </si>
  <si>
    <t>=(32768/BASE_TORQ) * MTPATorque_52</t>
  </si>
  <si>
    <t>=(32768/BASE_FLUX) * MTPAFlux_52</t>
  </si>
  <si>
    <t>=(32768/BASE_TORQ) * MTPATorque_53</t>
  </si>
  <si>
    <t>=(32768/BASE_FLUX) * MTPAFlux_53</t>
  </si>
  <si>
    <t>=(32768/BASE_TORQ) * MTPATorque_54</t>
  </si>
  <si>
    <t>=(32768/BASE_FLUX) * MTPAFlux_54</t>
  </si>
  <si>
    <t>=(32768/BASE_TORQ) * MTPATorque_55</t>
  </si>
  <si>
    <t>=(32768/BASE_FLUX) * MTPAFlux_55</t>
  </si>
  <si>
    <t>=(32768/BASE_TORQ) * MTPATorque_56</t>
  </si>
  <si>
    <t>=(32768/BASE_FLUX) * MTPAFlux_56</t>
  </si>
  <si>
    <t>=(32768/BASE_TORQ) * MTPATorque_57</t>
  </si>
  <si>
    <t>=(32768/BASE_FLUX) * MTPAFlux_57</t>
  </si>
  <si>
    <t>=(32768/BASE_TORQ) * MTPATorque_58</t>
  </si>
  <si>
    <t>=(32768/BASE_FLUX) * MTPAFlux_58</t>
  </si>
  <si>
    <t>=(32768/BASE_TORQ) * MTPATorque_59</t>
  </si>
  <si>
    <t>=(32768/BASE_FLUX) * MTPAFlux_59</t>
  </si>
  <si>
    <t>=(32768/BASE_TORQ) * MTPATorque_60</t>
  </si>
  <si>
    <t>=(32768/BASE_FLUX) * MTPAFlux_60</t>
  </si>
  <si>
    <t>=(32768/BASE_TORQ) * MTPATorque_61</t>
  </si>
  <si>
    <t>=(32768/BASE_FLUX) * MTPAFlux_61</t>
  </si>
  <si>
    <t>=(32768/BASE_TORQ) * MTPATorque_62</t>
  </si>
  <si>
    <t>=(32768/BASE_FLUX) * MTPAFlux_62</t>
  </si>
  <si>
    <t>=(32768/BASE_TORQ) * MTPATorque_63</t>
  </si>
  <si>
    <t>=(32768/BASE_FLUX) * MTPAFlux_63</t>
  </si>
  <si>
    <t>=(32768/BASE_TORQ) * MTPATorque_64</t>
  </si>
  <si>
    <t>=(32768/BASE_FLUX) * MTPAFlux_64</t>
  </si>
  <si>
    <t>=(32768/BASE_TORQ) * MTPATorque_65</t>
  </si>
  <si>
    <t>=(32768/BASE_FLUX) * MTPAFlux_65</t>
  </si>
  <si>
    <t>=(32768/BASE_TORQ) * MTPATorque_66</t>
  </si>
  <si>
    <t>=(32768/BASE_FLUX) * MTPAFlux_66</t>
  </si>
  <si>
    <t>=(32768/BASE_TORQ) * MTPATorque_67</t>
  </si>
  <si>
    <t>=(32768/BASE_FLUX) * MTPAFlux_67</t>
  </si>
  <si>
    <t>=(32768/BASE_TORQ) * MTPATorque_68</t>
  </si>
  <si>
    <t>=(32768/BASE_FLUX) * MTPAFlux_68</t>
  </si>
  <si>
    <t>=(32768/BASE_TORQ) * MTPATorque_69</t>
  </si>
  <si>
    <t>=(32768/BASE_FLUX) * MTPAFlux_69</t>
  </si>
  <si>
    <t>=(32768/BASE_TORQ) * MTPATorque_70</t>
  </si>
  <si>
    <t>=(32768/BASE_FLUX) * MTPAFlux_70</t>
  </si>
  <si>
    <t>=(32768/BASE_TORQ) * MTPATorque_71</t>
  </si>
  <si>
    <t>=(32768/BASE_FLUX) * MTPAFlux_71</t>
  </si>
  <si>
    <t>=(32768/BASE_TORQ) * MTPATorque_72</t>
  </si>
  <si>
    <t>=(32768/BASE_FLUX) * MTPAFlux_72</t>
  </si>
  <si>
    <t>=(32768/BASE_TORQ) * MTPATorque_73</t>
  </si>
  <si>
    <t>=(32768/BASE_FLUX) * MTPAFlux_73</t>
  </si>
  <si>
    <t>=(32768/BASE_TORQ) * MTPATorque_74</t>
  </si>
  <si>
    <t>=(32768/BASE_FLUX) * MTPAFlux_74</t>
  </si>
  <si>
    <t>=(32768/BASE_TORQ) * MTPATorque_75</t>
  </si>
  <si>
    <t>=(32768/BASE_FLUX) * MTPAFlux_75</t>
  </si>
  <si>
    <t>=(32768/BASE_TORQ) * MTPATorque_76</t>
  </si>
  <si>
    <t>=(32768/BASE_FLUX) * MTPAFlux_76</t>
  </si>
  <si>
    <t>=(32768/BASE_TORQ) * MTPATorque_77</t>
  </si>
  <si>
    <t>=(32768/BASE_FLUX) * MTPAFlux_77</t>
  </si>
  <si>
    <t>=(32768/BASE_TORQ) * MTPATorque_78</t>
  </si>
  <si>
    <t>=(32768/BASE_FLUX) * MTPAFlux_78</t>
  </si>
  <si>
    <t>=(32768/BASE_TORQ) * MTPATorque_79</t>
  </si>
  <si>
    <t>=(32768/BASE_FLUX) * MTPAFlux_79</t>
  </si>
  <si>
    <t>=(32768/BASE_TORQ) * MTPATorque_80</t>
  </si>
  <si>
    <t>=(32768/BASE_FLUX) * MTPAFlux_80</t>
  </si>
  <si>
    <t>MTPV Lut</t>
  </si>
  <si>
    <t>MTPVTorque_0</t>
  </si>
  <si>
    <t>MTPVTorque_1</t>
  </si>
  <si>
    <t>MTPVTorque_2</t>
  </si>
  <si>
    <t>MTPVTorque_3</t>
  </si>
  <si>
    <t>MTPVTorque_4</t>
  </si>
  <si>
    <t>MTPVTorque_5</t>
  </si>
  <si>
    <t>MTPVTorque_6</t>
  </si>
  <si>
    <t>MTPVTorque_7</t>
  </si>
  <si>
    <t>MTPVTorque_8</t>
  </si>
  <si>
    <t>MTPVTorque_9</t>
  </si>
  <si>
    <t>MTPVTorque_10</t>
  </si>
  <si>
    <t>MTPVTorque_11</t>
  </si>
  <si>
    <t>MTPVTorque_12</t>
  </si>
  <si>
    <t>MTPVTorque_13</t>
  </si>
  <si>
    <t>MTPVTorque_14</t>
  </si>
  <si>
    <t>MTPVTorque_15</t>
  </si>
  <si>
    <t>MTPVTorque_16</t>
  </si>
  <si>
    <t>MTPVTorque_17</t>
  </si>
  <si>
    <t>MTPVTorque_18</t>
  </si>
  <si>
    <t>MTPVTorque_19</t>
  </si>
  <si>
    <t>MTPVTorque_20</t>
  </si>
  <si>
    <t>MTPVTorque_21</t>
  </si>
  <si>
    <t>MTPVTorque_22</t>
  </si>
  <si>
    <t>MTPVTorque_23</t>
  </si>
  <si>
    <t>MTPVTorque_24</t>
  </si>
  <si>
    <t>MTPVTorque_25</t>
  </si>
  <si>
    <t>MTPVTorque_26</t>
  </si>
  <si>
    <t>MTPVTorque_27</t>
  </si>
  <si>
    <t>MTPVTorque_28</t>
  </si>
  <si>
    <t>MTPVTorque_29</t>
  </si>
  <si>
    <t>MTPVTorque_30</t>
  </si>
  <si>
    <t>MTPVTorque_31</t>
  </si>
  <si>
    <t>MTPVTorque_32</t>
  </si>
  <si>
    <t>MTPVTorque_33</t>
  </si>
  <si>
    <t>MTPVTorque_34</t>
  </si>
  <si>
    <t>MTPVTorque_35</t>
  </si>
  <si>
    <t>MTPVTorque_36</t>
  </si>
  <si>
    <t>MTPVTorque_37</t>
  </si>
  <si>
    <t>MTPVTorque_38</t>
  </si>
  <si>
    <t>MTPVTorque_39</t>
  </si>
  <si>
    <t>MTPVTorque_40</t>
  </si>
  <si>
    <t>MTPVTorque_41</t>
  </si>
  <si>
    <t>MTPVTorque_42</t>
  </si>
  <si>
    <t>MTPVTorque_43</t>
  </si>
  <si>
    <t>MTPVTorque_44</t>
  </si>
  <si>
    <t>MTPVTorque_45</t>
  </si>
  <si>
    <t>MTPVTorque_46</t>
  </si>
  <si>
    <t>MTPVTorque_47</t>
  </si>
  <si>
    <t>MTPVTorque_48</t>
  </si>
  <si>
    <t>MTPVTorque_49</t>
  </si>
  <si>
    <t>MTPVTorque_50</t>
  </si>
  <si>
    <t>MTPVTorque_51</t>
  </si>
  <si>
    <t>MTPVTorque_52</t>
  </si>
  <si>
    <t>MTPVTorque_53</t>
  </si>
  <si>
    <t>MTPVTorque_54</t>
  </si>
  <si>
    <t>MTPVTorque_55</t>
  </si>
  <si>
    <t>MTPVTorque_56</t>
  </si>
  <si>
    <t>MTPVTorque_57</t>
  </si>
  <si>
    <t>MTPVTorque_58</t>
  </si>
  <si>
    <t>MTPVTorque_59</t>
  </si>
  <si>
    <t>MTPVTorque_60</t>
  </si>
  <si>
    <t>MTPVTorque_61</t>
  </si>
  <si>
    <t>MTPVTorque_62</t>
  </si>
  <si>
    <t>MTPVTorque_63</t>
  </si>
  <si>
    <t>MTPVTorque_64</t>
  </si>
  <si>
    <t>MTPVTorque_65</t>
  </si>
  <si>
    <t>MTPVTorque_66</t>
  </si>
  <si>
    <t>MTPVTorque_67</t>
  </si>
  <si>
    <t>MTPVTorque_68</t>
  </si>
  <si>
    <t>MTPVTorque_69</t>
  </si>
  <si>
    <t>MTPVTorque_70</t>
  </si>
  <si>
    <t>MTPVTorque_71</t>
  </si>
  <si>
    <t>MTPVTorque_72</t>
  </si>
  <si>
    <t>MTPVTorque_73</t>
  </si>
  <si>
    <t>MTPVTorque_74</t>
  </si>
  <si>
    <t>MTPVTorque_75</t>
  </si>
  <si>
    <t>MTPVTorque_76</t>
  </si>
  <si>
    <t>MTPVTorque_77</t>
  </si>
  <si>
    <t>MTPVTorque_78</t>
  </si>
  <si>
    <t>MTPVTorque_79</t>
  </si>
  <si>
    <t>MTPVTorque_80</t>
  </si>
  <si>
    <t>MTPVTorque_81</t>
  </si>
  <si>
    <t>MTPVTorque_82</t>
  </si>
  <si>
    <t>MTPVTorque_83</t>
  </si>
  <si>
    <t>MTPVTorque_84</t>
  </si>
  <si>
    <t>MTPVTorque_85</t>
  </si>
  <si>
    <t>MTPVTorque_86</t>
  </si>
  <si>
    <t>MTPVTorque_87</t>
  </si>
  <si>
    <t>MTPVTorque_88</t>
  </si>
  <si>
    <t>MTPVTorque_89</t>
  </si>
  <si>
    <t>MTPVTorque_90</t>
  </si>
  <si>
    <t>MTPVTorque_91</t>
  </si>
  <si>
    <t>MTPVTorque_92</t>
  </si>
  <si>
    <t>MTPVTorque_93</t>
  </si>
  <si>
    <t>MTPVTorque_94</t>
  </si>
  <si>
    <t>MTPVTorque_95</t>
  </si>
  <si>
    <t>MTPVTorque_96</t>
  </si>
  <si>
    <t>MTPVTorque_97</t>
  </si>
  <si>
    <t>MTPVTorque_98</t>
  </si>
  <si>
    <t>MTPVTorque_99</t>
  </si>
  <si>
    <t>MTPVTorque_100</t>
  </si>
  <si>
    <t>MTPVTorque_101</t>
  </si>
  <si>
    <t>MTPVTorque_102</t>
  </si>
  <si>
    <t>MTPVTorque_103</t>
  </si>
  <si>
    <t>MTPVTorque_104</t>
  </si>
  <si>
    <t>MTPVTorque_105</t>
  </si>
  <si>
    <t>MTPVTorque_106</t>
  </si>
  <si>
    <t>MTPVTorque_107</t>
  </si>
  <si>
    <t>MTPVTorque_108</t>
  </si>
  <si>
    <t>MTPVTorque_109</t>
  </si>
  <si>
    <t>MTPVTorque_110</t>
  </si>
  <si>
    <t>MTPVTorque_111</t>
  </si>
  <si>
    <t>MTPVTorque_112</t>
  </si>
  <si>
    <t>MTPVTorque_113</t>
  </si>
  <si>
    <t>MTPVTorque_114</t>
  </si>
  <si>
    <t>MTPVTorque_115</t>
  </si>
  <si>
    <t>MTPVTorque_116</t>
  </si>
  <si>
    <t>MTPVTorque_117</t>
  </si>
  <si>
    <t>MTPVTorque_118</t>
  </si>
  <si>
    <t>MTPVTorque_119</t>
  </si>
  <si>
    <t>MTPVTorque_120</t>
  </si>
  <si>
    <t>MTPVTorque_121</t>
  </si>
  <si>
    <t>MTPVTorque_122</t>
  </si>
  <si>
    <t>MTPVTorque_123</t>
  </si>
  <si>
    <t>MTPVTorque_124</t>
  </si>
  <si>
    <t>MTPVTorque_125</t>
  </si>
  <si>
    <t>MTPVTorque_126</t>
  </si>
  <si>
    <t>MTPVTorque_127</t>
  </si>
  <si>
    <t>MTPVTorque_128</t>
  </si>
  <si>
    <t>MTPVTorque_129</t>
  </si>
  <si>
    <t>MTPVTorque_130</t>
  </si>
  <si>
    <t>MTPVTorque_131</t>
  </si>
  <si>
    <t>MTPVTorque_132</t>
  </si>
  <si>
    <t>MTPVTorque_133</t>
  </si>
  <si>
    <t>MTPVTorque_134</t>
  </si>
  <si>
    <t>MTPVTorque_135</t>
  </si>
  <si>
    <t>MTPVTorque_136</t>
  </si>
  <si>
    <t>MTPVTorque_137</t>
  </si>
  <si>
    <t>MTPVTorque_138</t>
  </si>
  <si>
    <t>MTPVTorque_139</t>
  </si>
  <si>
    <t>MTPVTorque_140</t>
  </si>
  <si>
    <t>MTPVTorque_141</t>
  </si>
  <si>
    <t>MTPVTorque_142</t>
  </si>
  <si>
    <t>MTPVTorque_143</t>
  </si>
  <si>
    <t>MTPVTorque_144</t>
  </si>
  <si>
    <t>MTPVTorque_145</t>
  </si>
  <si>
    <t>MTPVTorque_146</t>
  </si>
  <si>
    <t>MTPVTorque_147</t>
  </si>
  <si>
    <t>MTPVTorque_148</t>
  </si>
  <si>
    <t>MTPVTorque_149</t>
  </si>
  <si>
    <t>MTPVTorque_150</t>
  </si>
  <si>
    <t>MTPVTorque_151</t>
  </si>
  <si>
    <t>MTPVTorque_152</t>
  </si>
  <si>
    <t>MTPVTorque_153</t>
  </si>
  <si>
    <t>MTPVTorque_154</t>
  </si>
  <si>
    <t>MTPVTorque_155</t>
  </si>
  <si>
    <t>MTPVTorque_156</t>
  </si>
  <si>
    <t>MTPVTorque_157</t>
  </si>
  <si>
    <t>MTPVTorque_158</t>
  </si>
  <si>
    <t>MTPVTorque_159</t>
  </si>
  <si>
    <t>MTPVTorque_160</t>
  </si>
  <si>
    <t>MTPVFlux_0</t>
  </si>
  <si>
    <t>MTPVFlux_1</t>
  </si>
  <si>
    <t>MTPVFlux_2</t>
  </si>
  <si>
    <t>MTPVFlux_3</t>
  </si>
  <si>
    <t>MTPVFlux_4</t>
  </si>
  <si>
    <t>MTPVFlux_5</t>
  </si>
  <si>
    <t>MTPVFlux_6</t>
  </si>
  <si>
    <t>MTPVFlux_7</t>
  </si>
  <si>
    <t>MTPVFlux_8</t>
  </si>
  <si>
    <t>MTPVFlux_9</t>
  </si>
  <si>
    <t>MTPVFlux_10</t>
  </si>
  <si>
    <t>MTPVFlux_11</t>
  </si>
  <si>
    <t>MTPVFlux_12</t>
  </si>
  <si>
    <t>MTPVFlux_13</t>
  </si>
  <si>
    <t>MTPVFlux_14</t>
  </si>
  <si>
    <t>MTPVFlux_15</t>
  </si>
  <si>
    <t>MTPVFlux_16</t>
  </si>
  <si>
    <t>MTPVFlux_17</t>
  </si>
  <si>
    <t>MTPVFlux_18</t>
  </si>
  <si>
    <t>MTPVFlux_19</t>
  </si>
  <si>
    <t>MTPVFlux_20</t>
  </si>
  <si>
    <t>MTPVFlux_21</t>
  </si>
  <si>
    <t>MTPVFlux_22</t>
  </si>
  <si>
    <t>MTPVFlux_23</t>
  </si>
  <si>
    <t>MTPVFlux_24</t>
  </si>
  <si>
    <t>MTPVFlux_25</t>
  </si>
  <si>
    <t>MTPVFlux_26</t>
  </si>
  <si>
    <t>MTPVFlux_27</t>
  </si>
  <si>
    <t>MTPVFlux_28</t>
  </si>
  <si>
    <t>MTPVFlux_29</t>
  </si>
  <si>
    <t>MTPVFlux_30</t>
  </si>
  <si>
    <t>MTPVFlux_31</t>
  </si>
  <si>
    <t>MTPVFlux_32</t>
  </si>
  <si>
    <t>MTPVFlux_33</t>
  </si>
  <si>
    <t>MTPVFlux_34</t>
  </si>
  <si>
    <t>MTPVFlux_35</t>
  </si>
  <si>
    <t>MTPVFlux_36</t>
  </si>
  <si>
    <t>MTPVFlux_37</t>
  </si>
  <si>
    <t>MTPVFlux_38</t>
  </si>
  <si>
    <t>MTPVFlux_39</t>
  </si>
  <si>
    <t>MTPVFlux_40</t>
  </si>
  <si>
    <t>MTPVFlux_41</t>
  </si>
  <si>
    <t>MTPVFlux_42</t>
  </si>
  <si>
    <t>MTPVFlux_43</t>
  </si>
  <si>
    <t>MTPVFlux_44</t>
  </si>
  <si>
    <t>MTPVFlux_45</t>
  </si>
  <si>
    <t>MTPVFlux_46</t>
  </si>
  <si>
    <t>MTPVFlux_47</t>
  </si>
  <si>
    <t>MTPVFlux_48</t>
  </si>
  <si>
    <t>MTPVFlux_49</t>
  </si>
  <si>
    <t>MTPVFlux_50</t>
  </si>
  <si>
    <t>MTPVFlux_51</t>
  </si>
  <si>
    <t>MTPVFlux_52</t>
  </si>
  <si>
    <t>MTPVFlux_53</t>
  </si>
  <si>
    <t>MTPVFlux_54</t>
  </si>
  <si>
    <t>MTPVFlux_55</t>
  </si>
  <si>
    <t>MTPVFlux_56</t>
  </si>
  <si>
    <t>MTPVFlux_57</t>
  </si>
  <si>
    <t>MTPVFlux_58</t>
  </si>
  <si>
    <t>MTPVFlux_59</t>
  </si>
  <si>
    <t>MTPVFlux_60</t>
  </si>
  <si>
    <t>MTPVFlux_61</t>
  </si>
  <si>
    <t>MTPVFlux_62</t>
  </si>
  <si>
    <t>MTPVFlux_63</t>
  </si>
  <si>
    <t>MTPVFlux_64</t>
  </si>
  <si>
    <t>MTPVFlux_65</t>
  </si>
  <si>
    <t>MTPVFlux_66</t>
  </si>
  <si>
    <t>MTPVFlux_67</t>
  </si>
  <si>
    <t>MTPVFlux_68</t>
  </si>
  <si>
    <t>MTPVFlux_69</t>
  </si>
  <si>
    <t>MTPVFlux_70</t>
  </si>
  <si>
    <t>MTPVFlux_71</t>
  </si>
  <si>
    <t>MTPVFlux_72</t>
  </si>
  <si>
    <t>MTPVFlux_73</t>
  </si>
  <si>
    <t>MTPVFlux_74</t>
  </si>
  <si>
    <t>MTPVFlux_75</t>
  </si>
  <si>
    <t>MTPVFlux_76</t>
  </si>
  <si>
    <t>MTPVFlux_77</t>
  </si>
  <si>
    <t>MTPVFlux_78</t>
  </si>
  <si>
    <t>MTPVFlux_79</t>
  </si>
  <si>
    <t>MTPVFlux_80</t>
  </si>
  <si>
    <t>MTPVFlux_81</t>
  </si>
  <si>
    <t>MTPVFlux_82</t>
  </si>
  <si>
    <t>MTPVFlux_83</t>
  </si>
  <si>
    <t>MTPVFlux_84</t>
  </si>
  <si>
    <t>MTPVFlux_85</t>
  </si>
  <si>
    <t>MTPVFlux_86</t>
  </si>
  <si>
    <t>MTPVFlux_87</t>
  </si>
  <si>
    <t>MTPVFlux_88</t>
  </si>
  <si>
    <t>MTPVFlux_89</t>
  </si>
  <si>
    <t>MTPVFlux_90</t>
  </si>
  <si>
    <t>MTPVFlux_91</t>
  </si>
  <si>
    <t>MTPVFlux_92</t>
  </si>
  <si>
    <t>MTPVFlux_93</t>
  </si>
  <si>
    <t>MTPVFlux_94</t>
  </si>
  <si>
    <t>MTPVFlux_95</t>
  </si>
  <si>
    <t>MTPVFlux_96</t>
  </si>
  <si>
    <t>MTPVFlux_97</t>
  </si>
  <si>
    <t>MTPVFlux_98</t>
  </si>
  <si>
    <t>MTPVFlux_99</t>
  </si>
  <si>
    <t>MTPVFlux_100</t>
  </si>
  <si>
    <t>MTPVFlux_101</t>
  </si>
  <si>
    <t>MTPVFlux_102</t>
  </si>
  <si>
    <t>MTPVFlux_103</t>
  </si>
  <si>
    <t>MTPVFlux_104</t>
  </si>
  <si>
    <t>MTPVFlux_105</t>
  </si>
  <si>
    <t>MTPVFlux_106</t>
  </si>
  <si>
    <t>MTPVFlux_107</t>
  </si>
  <si>
    <t>MTPVFlux_108</t>
  </si>
  <si>
    <t>MTPVFlux_109</t>
  </si>
  <si>
    <t>MTPVFlux_110</t>
  </si>
  <si>
    <t>MTPVFlux_111</t>
  </si>
  <si>
    <t>MTPVFlux_112</t>
  </si>
  <si>
    <t>MTPVFlux_113</t>
  </si>
  <si>
    <t>MTPVFlux_114</t>
  </si>
  <si>
    <t>MTPVFlux_115</t>
  </si>
  <si>
    <t>MTPVFlux_116</t>
  </si>
  <si>
    <t>MTPVFlux_117</t>
  </si>
  <si>
    <t>MTPVFlux_118</t>
  </si>
  <si>
    <t>MTPVFlux_119</t>
  </si>
  <si>
    <t>MTPVFlux_120</t>
  </si>
  <si>
    <t>MTPVFlux_121</t>
  </si>
  <si>
    <t>MTPVFlux_122</t>
  </si>
  <si>
    <t>MTPVFlux_123</t>
  </si>
  <si>
    <t>MTPVFlux_124</t>
  </si>
  <si>
    <t>MTPVFlux_125</t>
  </si>
  <si>
    <t>MTPVFlux_126</t>
  </si>
  <si>
    <t>MTPVFlux_127</t>
  </si>
  <si>
    <t>MTPVFlux_128</t>
  </si>
  <si>
    <t>MTPVFlux_129</t>
  </si>
  <si>
    <t>MTPVFlux_130</t>
  </si>
  <si>
    <t>MTPVFlux_131</t>
  </si>
  <si>
    <t>MTPVFlux_132</t>
  </si>
  <si>
    <t>MTPVFlux_133</t>
  </si>
  <si>
    <t>MTPVFlux_134</t>
  </si>
  <si>
    <t>MTPVFlux_135</t>
  </si>
  <si>
    <t>MTPVFlux_136</t>
  </si>
  <si>
    <t>MTPVFlux_137</t>
  </si>
  <si>
    <t>MTPVFlux_138</t>
  </si>
  <si>
    <t>MTPVFlux_139</t>
  </si>
  <si>
    <t>MTPVFlux_140</t>
  </si>
  <si>
    <t>MTPVFlux_141</t>
  </si>
  <si>
    <t>MTPVFlux_142</t>
  </si>
  <si>
    <t>MTPVFlux_143</t>
  </si>
  <si>
    <t>MTPVFlux_144</t>
  </si>
  <si>
    <t>MTPVFlux_145</t>
  </si>
  <si>
    <t>MTPVFlux_146</t>
  </si>
  <si>
    <t>MTPVFlux_147</t>
  </si>
  <si>
    <t>MTPVFlux_148</t>
  </si>
  <si>
    <t>MTPVFlux_149</t>
  </si>
  <si>
    <t>MTPVFlux_150</t>
  </si>
  <si>
    <t>MTPVFlux_151</t>
  </si>
  <si>
    <t>MTPVFlux_152</t>
  </si>
  <si>
    <t>MTPVFlux_153</t>
  </si>
  <si>
    <t>MTPVFlux_154</t>
  </si>
  <si>
    <t>MTPVFlux_155</t>
  </si>
  <si>
    <t>MTPVFlux_156</t>
  </si>
  <si>
    <t>MTPVFlux_157</t>
  </si>
  <si>
    <t>MTPVFlux_158</t>
  </si>
  <si>
    <t>MTPVFlux_159</t>
  </si>
  <si>
    <t>MTPVFlux_160</t>
  </si>
  <si>
    <t>MTPVAngle_0</t>
  </si>
  <si>
    <t>MTPVAngle_1</t>
  </si>
  <si>
    <t>MTPVAngle_2</t>
  </si>
  <si>
    <t>MTPVAngle_3</t>
  </si>
  <si>
    <t>MTPVAngle_4</t>
  </si>
  <si>
    <t>MTPVAngle_5</t>
  </si>
  <si>
    <t>MTPVAngle_6</t>
  </si>
  <si>
    <t>MTPVAngle_7</t>
  </si>
  <si>
    <t>MTPVAngle_8</t>
  </si>
  <si>
    <t>MTPVAngle_9</t>
  </si>
  <si>
    <t>MTPVAngle_10</t>
  </si>
  <si>
    <t>MTPVAngle_11</t>
  </si>
  <si>
    <t>MTPVAngle_12</t>
  </si>
  <si>
    <t>MTPVAngle_13</t>
  </si>
  <si>
    <t>MTPVAngle_14</t>
  </si>
  <si>
    <t>MTPVAngle_15</t>
  </si>
  <si>
    <t>MTPVAngle_16</t>
  </si>
  <si>
    <t>MTPVAngle_17</t>
  </si>
  <si>
    <t>MTPVAngle_18</t>
  </si>
  <si>
    <t>MTPVAngle_19</t>
  </si>
  <si>
    <t>MTPVAngle_20</t>
  </si>
  <si>
    <t>MTPVAngle_21</t>
  </si>
  <si>
    <t>MTPVAngle_22</t>
  </si>
  <si>
    <t>MTPVAngle_23</t>
  </si>
  <si>
    <t>MTPVAngle_24</t>
  </si>
  <si>
    <t>MTPVAngle_25</t>
  </si>
  <si>
    <t>MTPVAngle_26</t>
  </si>
  <si>
    <t>MTPVAngle_27</t>
  </si>
  <si>
    <t>MTPVAngle_28</t>
  </si>
  <si>
    <t>MTPVAngle_29</t>
  </si>
  <si>
    <t>MTPVAngle_30</t>
  </si>
  <si>
    <t>MTPVAngle_31</t>
  </si>
  <si>
    <t>MTPVAngle_32</t>
  </si>
  <si>
    <t>MTPVAngle_33</t>
  </si>
  <si>
    <t>MTPVAngle_34</t>
  </si>
  <si>
    <t>MTPVAngle_35</t>
  </si>
  <si>
    <t>MTPVAngle_36</t>
  </si>
  <si>
    <t>MTPVAngle_37</t>
  </si>
  <si>
    <t>MTPVAngle_38</t>
  </si>
  <si>
    <t>MTPVAngle_39</t>
  </si>
  <si>
    <t>MTPVAngle_40</t>
  </si>
  <si>
    <t>MTPVAngle_41</t>
  </si>
  <si>
    <t>MTPVAngle_42</t>
  </si>
  <si>
    <t>MTPVAngle_43</t>
  </si>
  <si>
    <t>MTPVAngle_44</t>
  </si>
  <si>
    <t>MTPVAngle_45</t>
  </si>
  <si>
    <t>MTPVAngle_46</t>
  </si>
  <si>
    <t>MTPVAngle_47</t>
  </si>
  <si>
    <t>MTPVAngle_48</t>
  </si>
  <si>
    <t>MTPVAngle_49</t>
  </si>
  <si>
    <t>MTPVAngle_50</t>
  </si>
  <si>
    <t>MTPVAngle_51</t>
  </si>
  <si>
    <t>MTPVAngle_52</t>
  </si>
  <si>
    <t>MTPVAngle_53</t>
  </si>
  <si>
    <t>MTPVAngle_54</t>
  </si>
  <si>
    <t>MTPVAngle_55</t>
  </si>
  <si>
    <t>MTPVAngle_56</t>
  </si>
  <si>
    <t>MTPVAngle_57</t>
  </si>
  <si>
    <t>MTPVAngle_58</t>
  </si>
  <si>
    <t>MTPVAngle_59</t>
  </si>
  <si>
    <t>MTPVAngle_60</t>
  </si>
  <si>
    <t>MTPVAngle_61</t>
  </si>
  <si>
    <t>MTPVAngle_62</t>
  </si>
  <si>
    <t>MTPVAngle_63</t>
  </si>
  <si>
    <t>MTPVAngle_64</t>
  </si>
  <si>
    <t>MTPVAngle_65</t>
  </si>
  <si>
    <t>MTPVAngle_66</t>
  </si>
  <si>
    <t>MTPVAngle_67</t>
  </si>
  <si>
    <t>MTPVAngle_68</t>
  </si>
  <si>
    <t>MTPVAngle_69</t>
  </si>
  <si>
    <t>MTPVAngle_70</t>
  </si>
  <si>
    <t>MTPVAngle_71</t>
  </si>
  <si>
    <t>MTPVAngle_72</t>
  </si>
  <si>
    <t>MTPVAngle_73</t>
  </si>
  <si>
    <t>MTPVAngle_74</t>
  </si>
  <si>
    <t>MTPVAngle_75</t>
  </si>
  <si>
    <t>MTPVAngle_76</t>
  </si>
  <si>
    <t>MTPVAngle_77</t>
  </si>
  <si>
    <t>MTPVAngle_78</t>
  </si>
  <si>
    <t>MTPVAngle_79</t>
  </si>
  <si>
    <t>MTPVAngle_80</t>
  </si>
  <si>
    <t>MTPVAngle_81</t>
  </si>
  <si>
    <t>MTPVAngle_82</t>
  </si>
  <si>
    <t>MTPVAngle_83</t>
  </si>
  <si>
    <t>MTPVAngle_84</t>
  </si>
  <si>
    <t>MTPVAngle_85</t>
  </si>
  <si>
    <t>MTPVAngle_86</t>
  </si>
  <si>
    <t>MTPVAngle_87</t>
  </si>
  <si>
    <t>MTPVAngle_88</t>
  </si>
  <si>
    <t>MTPVAngle_89</t>
  </si>
  <si>
    <t>MTPVAngle_90</t>
  </si>
  <si>
    <t>MTPVAngle_91</t>
  </si>
  <si>
    <t>MTPVAngle_92</t>
  </si>
  <si>
    <t>MTPVAngle_93</t>
  </si>
  <si>
    <t>MTPVAngle_94</t>
  </si>
  <si>
    <t>MTPVAngle_95</t>
  </si>
  <si>
    <t>MTPVAngle_96</t>
  </si>
  <si>
    <t>MTPVAngle_97</t>
  </si>
  <si>
    <t>MTPVAngle_98</t>
  </si>
  <si>
    <t>MTPVAngle_99</t>
  </si>
  <si>
    <t>MTPVAngle_100</t>
  </si>
  <si>
    <t>MTPVAngle_101</t>
  </si>
  <si>
    <t>MTPVAngle_102</t>
  </si>
  <si>
    <t>MTPVAngle_103</t>
  </si>
  <si>
    <t>MTPVAngle_104</t>
  </si>
  <si>
    <t>MTPVAngle_105</t>
  </si>
  <si>
    <t>MTPVAngle_106</t>
  </si>
  <si>
    <t>MTPVAngle_107</t>
  </si>
  <si>
    <t>MTPVAngle_108</t>
  </si>
  <si>
    <t>MTPVAngle_109</t>
  </si>
  <si>
    <t>MTPVAngle_110</t>
  </si>
  <si>
    <t>MTPVAngle_111</t>
  </si>
  <si>
    <t>MTPVAngle_112</t>
  </si>
  <si>
    <t>MTPVAngle_113</t>
  </si>
  <si>
    <t>MTPVAngle_114</t>
  </si>
  <si>
    <t>MTPVAngle_115</t>
  </si>
  <si>
    <t>MTPVAngle_116</t>
  </si>
  <si>
    <t>MTPVAngle_117</t>
  </si>
  <si>
    <t>MTPVAngle_118</t>
  </si>
  <si>
    <t>MTPVAngle_119</t>
  </si>
  <si>
    <t>MTPVAngle_120</t>
  </si>
  <si>
    <t>MTPVAngle_121</t>
  </si>
  <si>
    <t>MTPVAngle_122</t>
  </si>
  <si>
    <t>MTPVAngle_123</t>
  </si>
  <si>
    <t>MTPVAngle_124</t>
  </si>
  <si>
    <t>MTPVAngle_125</t>
  </si>
  <si>
    <t>MTPVAngle_126</t>
  </si>
  <si>
    <t>MTPVAngle_127</t>
  </si>
  <si>
    <t>MTPVAngle_128</t>
  </si>
  <si>
    <t>MTPVAngle_129</t>
  </si>
  <si>
    <t>MTPVAngle_130</t>
  </si>
  <si>
    <t>MTPVAngle_131</t>
  </si>
  <si>
    <t>MTPVAngle_132</t>
  </si>
  <si>
    <t>MTPVAngle_133</t>
  </si>
  <si>
    <t>MTPVAngle_134</t>
  </si>
  <si>
    <t>MTPVAngle_135</t>
  </si>
  <si>
    <t>MTPVAngle_136</t>
  </si>
  <si>
    <t>MTPVAngle_137</t>
  </si>
  <si>
    <t>MTPVAngle_138</t>
  </si>
  <si>
    <t>MTPVAngle_139</t>
  </si>
  <si>
    <t>MTPVAngle_140</t>
  </si>
  <si>
    <t>MTPVAngle_141</t>
  </si>
  <si>
    <t>MTPVAngle_142</t>
  </si>
  <si>
    <t>MTPVAngle_143</t>
  </si>
  <si>
    <t>MTPVAngle_144</t>
  </si>
  <si>
    <t>MTPVAngle_145</t>
  </si>
  <si>
    <t>MTPVAngle_146</t>
  </si>
  <si>
    <t>MTPVAngle_147</t>
  </si>
  <si>
    <t>MTPVAngle_148</t>
  </si>
  <si>
    <t>MTPVAngle_149</t>
  </si>
  <si>
    <t>MTPVAngle_150</t>
  </si>
  <si>
    <t>MTPVAngle_151</t>
  </si>
  <si>
    <t>MTPVAngle_152</t>
  </si>
  <si>
    <t>MTPVAngle_153</t>
  </si>
  <si>
    <t>MTPVAngle_154</t>
  </si>
  <si>
    <t>MTPVAngle_155</t>
  </si>
  <si>
    <t>MTPVAngle_156</t>
  </si>
  <si>
    <t>MTPVAngle_157</t>
  </si>
  <si>
    <t>MTPVAngle_158</t>
  </si>
  <si>
    <t>MTPVAngle_159</t>
  </si>
  <si>
    <t>MTPVAngle_160</t>
  </si>
  <si>
    <t>Deg</t>
  </si>
  <si>
    <t>Mtpv_Flux_0</t>
  </si>
  <si>
    <t>Mtpv_Torque_0</t>
  </si>
  <si>
    <t>Mtpv_Angle_0</t>
  </si>
  <si>
    <t>Mtpv_Flux_1</t>
  </si>
  <si>
    <t>Mtpv_Torque_1</t>
  </si>
  <si>
    <t>Mtpv_Angle_1</t>
  </si>
  <si>
    <t>Mtpv_Flux_2</t>
  </si>
  <si>
    <t>Mtpv_Torque_2</t>
  </si>
  <si>
    <t>Mtpv_Angle_2</t>
  </si>
  <si>
    <t>Mtpv_Flux_3</t>
  </si>
  <si>
    <t>Mtpv_Torque_3</t>
  </si>
  <si>
    <t>Mtpv_Angle_3</t>
  </si>
  <si>
    <t>Mtpv_Flux_4</t>
  </si>
  <si>
    <t>Mtpv_Torque_4</t>
  </si>
  <si>
    <t>Mtpv_Angle_4</t>
  </si>
  <si>
    <t>Mtpv_Flux_5</t>
  </si>
  <si>
    <t>Mtpv_Torque_5</t>
  </si>
  <si>
    <t>Mtpv_Angle_5</t>
  </si>
  <si>
    <t>Mtpv_Flux_6</t>
  </si>
  <si>
    <t>Mtpv_Torque_6</t>
  </si>
  <si>
    <t>Mtpv_Angle_6</t>
  </si>
  <si>
    <t>Mtpv_Flux_7</t>
  </si>
  <si>
    <t>Mtpv_Torque_7</t>
  </si>
  <si>
    <t>Mtpv_Angle_7</t>
  </si>
  <si>
    <t>Mtpv_Flux_8</t>
  </si>
  <si>
    <t>Mtpv_Torque_8</t>
  </si>
  <si>
    <t>Mtpv_Angle_8</t>
  </si>
  <si>
    <t>Mtpv_Flux_9</t>
  </si>
  <si>
    <t>Mtpv_Torque_9</t>
  </si>
  <si>
    <t>Mtpv_Angle_9</t>
  </si>
  <si>
    <t>Mtpv_Flux_10</t>
  </si>
  <si>
    <t>Mtpv_Torque_10</t>
  </si>
  <si>
    <t>Mtpv_Angle_10</t>
  </si>
  <si>
    <t>Mtpv_Flux_11</t>
  </si>
  <si>
    <t>Mtpv_Torque_11</t>
  </si>
  <si>
    <t>Mtpv_Angle_11</t>
  </si>
  <si>
    <t>Mtpv_Flux_12</t>
  </si>
  <si>
    <t>Mtpv_Torque_12</t>
  </si>
  <si>
    <t>Mtpv_Angle_12</t>
  </si>
  <si>
    <t>Mtpv_Flux_13</t>
  </si>
  <si>
    <t>Mtpv_Torque_13</t>
  </si>
  <si>
    <t>Mtpv_Angle_13</t>
  </si>
  <si>
    <t>Mtpv_Flux_14</t>
  </si>
  <si>
    <t>Mtpv_Torque_14</t>
  </si>
  <si>
    <t>Mtpv_Angle_14</t>
  </si>
  <si>
    <t>Mtpv_Flux_15</t>
  </si>
  <si>
    <t>Mtpv_Torque_15</t>
  </si>
  <si>
    <t>Mtpv_Angle_15</t>
  </si>
  <si>
    <t>Mtpv_Flux_16</t>
  </si>
  <si>
    <t>Mtpv_Torque_16</t>
  </si>
  <si>
    <t>Mtpv_Angle_16</t>
  </si>
  <si>
    <t>Mtpv_Flux_17</t>
  </si>
  <si>
    <t>Mtpv_Torque_17</t>
  </si>
  <si>
    <t>Mtpv_Angle_17</t>
  </si>
  <si>
    <t>Mtpv_Flux_18</t>
  </si>
  <si>
    <t>Mtpv_Torque_18</t>
  </si>
  <si>
    <t>Mtpv_Angle_18</t>
  </si>
  <si>
    <t>Mtpv_Flux_19</t>
  </si>
  <si>
    <t>Mtpv_Torque_19</t>
  </si>
  <si>
    <t>Mtpv_Angle_19</t>
  </si>
  <si>
    <t>Mtpv_Flux_20</t>
  </si>
  <si>
    <t>Mtpv_Torque_20</t>
  </si>
  <si>
    <t>Mtpv_Angle_20</t>
  </si>
  <si>
    <t>Mtpv_Flux_21</t>
  </si>
  <si>
    <t>Mtpv_Torque_21</t>
  </si>
  <si>
    <t>Mtpv_Angle_21</t>
  </si>
  <si>
    <t>Mtpv_Flux_22</t>
  </si>
  <si>
    <t>Mtpv_Torque_22</t>
  </si>
  <si>
    <t>Mtpv_Angle_22</t>
  </si>
  <si>
    <t>Mtpv_Flux_23</t>
  </si>
  <si>
    <t>Mtpv_Torque_23</t>
  </si>
  <si>
    <t>Mtpv_Angle_23</t>
  </si>
  <si>
    <t>Mtpv_Flux_24</t>
  </si>
  <si>
    <t>Mtpv_Torque_24</t>
  </si>
  <si>
    <t>Mtpv_Angle_24</t>
  </si>
  <si>
    <t>Mtpv_Flux_25</t>
  </si>
  <si>
    <t>Mtpv_Torque_25</t>
  </si>
  <si>
    <t>Mtpv_Angle_25</t>
  </si>
  <si>
    <t>Mtpv_Flux_26</t>
  </si>
  <si>
    <t>Mtpv_Torque_26</t>
  </si>
  <si>
    <t>Mtpv_Angle_26</t>
  </si>
  <si>
    <t>Mtpv_Flux_27</t>
  </si>
  <si>
    <t>Mtpv_Torque_27</t>
  </si>
  <si>
    <t>Mtpv_Angle_27</t>
  </si>
  <si>
    <t>Mtpv_Flux_28</t>
  </si>
  <si>
    <t>Mtpv_Torque_28</t>
  </si>
  <si>
    <t>Mtpv_Angle_28</t>
  </si>
  <si>
    <t>Mtpv_Flux_29</t>
  </si>
  <si>
    <t>Mtpv_Torque_29</t>
  </si>
  <si>
    <t>Mtpv_Angle_29</t>
  </si>
  <si>
    <t>Mtpv_Flux_30</t>
  </si>
  <si>
    <t>Mtpv_Torque_30</t>
  </si>
  <si>
    <t>Mtpv_Angle_30</t>
  </si>
  <si>
    <t>Mtpv_Flux_31</t>
  </si>
  <si>
    <t>Mtpv_Torque_31</t>
  </si>
  <si>
    <t>Mtpv_Angle_31</t>
  </si>
  <si>
    <t>Mtpv_Flux_32</t>
  </si>
  <si>
    <t>Mtpv_Torque_32</t>
  </si>
  <si>
    <t>Mtpv_Angle_32</t>
  </si>
  <si>
    <t>Mtpv_Flux_33</t>
  </si>
  <si>
    <t>Mtpv_Torque_33</t>
  </si>
  <si>
    <t>Mtpv_Angle_33</t>
  </si>
  <si>
    <t>Mtpv_Flux_34</t>
  </si>
  <si>
    <t>Mtpv_Torque_34</t>
  </si>
  <si>
    <t>Mtpv_Angle_34</t>
  </si>
  <si>
    <t>Mtpv_Flux_35</t>
  </si>
  <si>
    <t>Mtpv_Torque_35</t>
  </si>
  <si>
    <t>Mtpv_Angle_35</t>
  </si>
  <si>
    <t>Mtpv_Flux_36</t>
  </si>
  <si>
    <t>Mtpv_Torque_36</t>
  </si>
  <si>
    <t>Mtpv_Angle_36</t>
  </si>
  <si>
    <t>Mtpv_Flux_37</t>
  </si>
  <si>
    <t>Mtpv_Torque_37</t>
  </si>
  <si>
    <t>Mtpv_Angle_37</t>
  </si>
  <si>
    <t>Mtpv_Flux_38</t>
  </si>
  <si>
    <t>Mtpv_Torque_38</t>
  </si>
  <si>
    <t>Mtpv_Angle_38</t>
  </si>
  <si>
    <t>Mtpv_Flux_39</t>
  </si>
  <si>
    <t>Mtpv_Torque_39</t>
  </si>
  <si>
    <t>Mtpv_Angle_39</t>
  </si>
  <si>
    <t>Mtpv_Flux_40</t>
  </si>
  <si>
    <t>Mtpv_Torque_40</t>
  </si>
  <si>
    <t>Mtpv_Angle_40</t>
  </si>
  <si>
    <t>Mtpv_Flux_41</t>
  </si>
  <si>
    <t>Mtpv_Torque_41</t>
  </si>
  <si>
    <t>Mtpv_Angle_41</t>
  </si>
  <si>
    <t>Mtpv_Flux_42</t>
  </si>
  <si>
    <t>Mtpv_Torque_42</t>
  </si>
  <si>
    <t>Mtpv_Angle_42</t>
  </si>
  <si>
    <t>Mtpv_Flux_43</t>
  </si>
  <si>
    <t>Mtpv_Torque_43</t>
  </si>
  <si>
    <t>Mtpv_Angle_43</t>
  </si>
  <si>
    <t>Mtpv_Flux_44</t>
  </si>
  <si>
    <t>Mtpv_Torque_44</t>
  </si>
  <si>
    <t>Mtpv_Angle_44</t>
  </si>
  <si>
    <t>Mtpv_Flux_45</t>
  </si>
  <si>
    <t>Mtpv_Torque_45</t>
  </si>
  <si>
    <t>Mtpv_Angle_45</t>
  </si>
  <si>
    <t>Mtpv_Flux_46</t>
  </si>
  <si>
    <t>Mtpv_Torque_46</t>
  </si>
  <si>
    <t>Mtpv_Angle_46</t>
  </si>
  <si>
    <t>Mtpv_Flux_47</t>
  </si>
  <si>
    <t>Mtpv_Torque_47</t>
  </si>
  <si>
    <t>Mtpv_Angle_47</t>
  </si>
  <si>
    <t>Mtpv_Flux_48</t>
  </si>
  <si>
    <t>Mtpv_Torque_48</t>
  </si>
  <si>
    <t>Mtpv_Angle_48</t>
  </si>
  <si>
    <t>Mtpv_Flux_49</t>
  </si>
  <si>
    <t>Mtpv_Torque_49</t>
  </si>
  <si>
    <t>Mtpv_Angle_49</t>
  </si>
  <si>
    <t>Mtpv_Flux_50</t>
  </si>
  <si>
    <t>Mtpv_Torque_50</t>
  </si>
  <si>
    <t>Mtpv_Angle_50</t>
  </si>
  <si>
    <t>Mtpv_Flux_51</t>
  </si>
  <si>
    <t>Mtpv_Torque_51</t>
  </si>
  <si>
    <t>Mtpv_Angle_51</t>
  </si>
  <si>
    <t>Mtpv_Flux_52</t>
  </si>
  <si>
    <t>Mtpv_Torque_52</t>
  </si>
  <si>
    <t>Mtpv_Angle_52</t>
  </si>
  <si>
    <t>Mtpv_Flux_53</t>
  </si>
  <si>
    <t>Mtpv_Torque_53</t>
  </si>
  <si>
    <t>Mtpv_Angle_53</t>
  </si>
  <si>
    <t>Mtpv_Flux_54</t>
  </si>
  <si>
    <t>Mtpv_Torque_54</t>
  </si>
  <si>
    <t>Mtpv_Angle_54</t>
  </si>
  <si>
    <t>Mtpv_Flux_55</t>
  </si>
  <si>
    <t>Mtpv_Torque_55</t>
  </si>
  <si>
    <t>Mtpv_Angle_55</t>
  </si>
  <si>
    <t>Mtpv_Flux_56</t>
  </si>
  <si>
    <t>Mtpv_Torque_56</t>
  </si>
  <si>
    <t>Mtpv_Angle_56</t>
  </si>
  <si>
    <t>Mtpv_Flux_57</t>
  </si>
  <si>
    <t>Mtpv_Torque_57</t>
  </si>
  <si>
    <t>Mtpv_Angle_57</t>
  </si>
  <si>
    <t>Mtpv_Flux_58</t>
  </si>
  <si>
    <t>Mtpv_Torque_58</t>
  </si>
  <si>
    <t>Mtpv_Angle_58</t>
  </si>
  <si>
    <t>Mtpv_Flux_59</t>
  </si>
  <si>
    <t>Mtpv_Torque_59</t>
  </si>
  <si>
    <t>Mtpv_Angle_59</t>
  </si>
  <si>
    <t>Mtpv_Flux_60</t>
  </si>
  <si>
    <t>Mtpv_Torque_60</t>
  </si>
  <si>
    <t>Mtpv_Angle_60</t>
  </si>
  <si>
    <t>Mtpv_Flux_61</t>
  </si>
  <si>
    <t>Mtpv_Torque_61</t>
  </si>
  <si>
    <t>Mtpv_Angle_61</t>
  </si>
  <si>
    <t>Mtpv_Flux_62</t>
  </si>
  <si>
    <t>Mtpv_Torque_62</t>
  </si>
  <si>
    <t>Mtpv_Angle_62</t>
  </si>
  <si>
    <t>Mtpv_Flux_63</t>
  </si>
  <si>
    <t>Mtpv_Torque_63</t>
  </si>
  <si>
    <t>Mtpv_Angle_63</t>
  </si>
  <si>
    <t>Mtpv_Flux_64</t>
  </si>
  <si>
    <t>Mtpv_Torque_64</t>
  </si>
  <si>
    <t>Mtpv_Angle_64</t>
  </si>
  <si>
    <t>Mtpv_Flux_65</t>
  </si>
  <si>
    <t>Mtpv_Torque_65</t>
  </si>
  <si>
    <t>Mtpv_Angle_65</t>
  </si>
  <si>
    <t>Mtpv_Flux_66</t>
  </si>
  <si>
    <t>Mtpv_Torque_66</t>
  </si>
  <si>
    <t>Mtpv_Angle_66</t>
  </si>
  <si>
    <t>Mtpv_Flux_67</t>
  </si>
  <si>
    <t>Mtpv_Torque_67</t>
  </si>
  <si>
    <t>Mtpv_Angle_67</t>
  </si>
  <si>
    <t>Mtpv_Flux_68</t>
  </si>
  <si>
    <t>Mtpv_Torque_68</t>
  </si>
  <si>
    <t>Mtpv_Angle_68</t>
  </si>
  <si>
    <t>Mtpv_Flux_69</t>
  </si>
  <si>
    <t>Mtpv_Torque_69</t>
  </si>
  <si>
    <t>Mtpv_Angle_69</t>
  </si>
  <si>
    <t>Mtpv_Flux_70</t>
  </si>
  <si>
    <t>Mtpv_Torque_70</t>
  </si>
  <si>
    <t>Mtpv_Angle_70</t>
  </si>
  <si>
    <t>Mtpv_Flux_71</t>
  </si>
  <si>
    <t>Mtpv_Torque_71</t>
  </si>
  <si>
    <t>Mtpv_Angle_71</t>
  </si>
  <si>
    <t>Mtpv_Flux_72</t>
  </si>
  <si>
    <t>Mtpv_Torque_72</t>
  </si>
  <si>
    <t>Mtpv_Angle_72</t>
  </si>
  <si>
    <t>Mtpv_Flux_73</t>
  </si>
  <si>
    <t>Mtpv_Torque_73</t>
  </si>
  <si>
    <t>Mtpv_Angle_73</t>
  </si>
  <si>
    <t>Mtpv_Flux_74</t>
  </si>
  <si>
    <t>Mtpv_Torque_74</t>
  </si>
  <si>
    <t>Mtpv_Angle_74</t>
  </si>
  <si>
    <t>Mtpv_Flux_75</t>
  </si>
  <si>
    <t>Mtpv_Torque_75</t>
  </si>
  <si>
    <t>Mtpv_Angle_75</t>
  </si>
  <si>
    <t>Mtpv_Flux_76</t>
  </si>
  <si>
    <t>Mtpv_Torque_76</t>
  </si>
  <si>
    <t>Mtpv_Angle_76</t>
  </si>
  <si>
    <t>Mtpv_Flux_77</t>
  </si>
  <si>
    <t>Mtpv_Torque_77</t>
  </si>
  <si>
    <t>Mtpv_Angle_77</t>
  </si>
  <si>
    <t>Mtpv_Flux_78</t>
  </si>
  <si>
    <t>Mtpv_Torque_78</t>
  </si>
  <si>
    <t>Mtpv_Angle_78</t>
  </si>
  <si>
    <t>Mtpv_Flux_79</t>
  </si>
  <si>
    <t>Mtpv_Torque_79</t>
  </si>
  <si>
    <t>Mtpv_Angle_79</t>
  </si>
  <si>
    <t>Mtpv_Flux_80</t>
  </si>
  <si>
    <t>Mtpv_Torque_80</t>
  </si>
  <si>
    <t>Mtpv_Angle_80</t>
  </si>
  <si>
    <t>Mtpv_Flux_81</t>
  </si>
  <si>
    <t>Mtpv_Torque_81</t>
  </si>
  <si>
    <t>Mtpv_Angle_81</t>
  </si>
  <si>
    <t>Mtpv_Flux_82</t>
  </si>
  <si>
    <t>Mtpv_Torque_82</t>
  </si>
  <si>
    <t>Mtpv_Angle_82</t>
  </si>
  <si>
    <t>Mtpv_Flux_83</t>
  </si>
  <si>
    <t>Mtpv_Torque_83</t>
  </si>
  <si>
    <t>Mtpv_Angle_83</t>
  </si>
  <si>
    <t>Mtpv_Flux_84</t>
  </si>
  <si>
    <t>Mtpv_Torque_84</t>
  </si>
  <si>
    <t>Mtpv_Angle_84</t>
  </si>
  <si>
    <t>Mtpv_Flux_85</t>
  </si>
  <si>
    <t>Mtpv_Torque_85</t>
  </si>
  <si>
    <t>Mtpv_Angle_85</t>
  </si>
  <si>
    <t>Mtpv_Flux_86</t>
  </si>
  <si>
    <t>Mtpv_Torque_86</t>
  </si>
  <si>
    <t>Mtpv_Angle_86</t>
  </si>
  <si>
    <t>Mtpv_Flux_87</t>
  </si>
  <si>
    <t>Mtpv_Torque_87</t>
  </si>
  <si>
    <t>Mtpv_Angle_87</t>
  </si>
  <si>
    <t>Mtpv_Flux_88</t>
  </si>
  <si>
    <t>Mtpv_Torque_88</t>
  </si>
  <si>
    <t>Mtpv_Angle_88</t>
  </si>
  <si>
    <t>Mtpv_Flux_89</t>
  </si>
  <si>
    <t>Mtpv_Torque_89</t>
  </si>
  <si>
    <t>Mtpv_Angle_89</t>
  </si>
  <si>
    <t>Mtpv_Flux_90</t>
  </si>
  <si>
    <t>Mtpv_Torque_90</t>
  </si>
  <si>
    <t>Mtpv_Angle_90</t>
  </si>
  <si>
    <t>Mtpv_Flux_91</t>
  </si>
  <si>
    <t>Mtpv_Torque_91</t>
  </si>
  <si>
    <t>Mtpv_Angle_91</t>
  </si>
  <si>
    <t>Mtpv_Flux_92</t>
  </si>
  <si>
    <t>Mtpv_Torque_92</t>
  </si>
  <si>
    <t>Mtpv_Angle_92</t>
  </si>
  <si>
    <t>Mtpv_Flux_93</t>
  </si>
  <si>
    <t>Mtpv_Torque_93</t>
  </si>
  <si>
    <t>Mtpv_Angle_93</t>
  </si>
  <si>
    <t>Mtpv_Flux_94</t>
  </si>
  <si>
    <t>Mtpv_Torque_94</t>
  </si>
  <si>
    <t>Mtpv_Angle_94</t>
  </si>
  <si>
    <t>Mtpv_Flux_95</t>
  </si>
  <si>
    <t>Mtpv_Torque_95</t>
  </si>
  <si>
    <t>Mtpv_Angle_95</t>
  </si>
  <si>
    <t>Mtpv_Flux_96</t>
  </si>
  <si>
    <t>Mtpv_Torque_96</t>
  </si>
  <si>
    <t>Mtpv_Angle_96</t>
  </si>
  <si>
    <t>Mtpv_Flux_97</t>
  </si>
  <si>
    <t>Mtpv_Torque_97</t>
  </si>
  <si>
    <t>Mtpv_Angle_97</t>
  </si>
  <si>
    <t>Mtpv_Flux_98</t>
  </si>
  <si>
    <t>Mtpv_Torque_98</t>
  </si>
  <si>
    <t>Mtpv_Angle_98</t>
  </si>
  <si>
    <t>Mtpv_Flux_99</t>
  </si>
  <si>
    <t>Mtpv_Torque_99</t>
  </si>
  <si>
    <t>Mtpv_Angle_99</t>
  </si>
  <si>
    <t>Mtpv_Flux_100</t>
  </si>
  <si>
    <t>Mtpv_Torque_100</t>
  </si>
  <si>
    <t>Mtpv_Angle_100</t>
  </si>
  <si>
    <t>Mtpv_Flux_101</t>
  </si>
  <si>
    <t>Mtpv_Torque_101</t>
  </si>
  <si>
    <t>Mtpv_Angle_101</t>
  </si>
  <si>
    <t>Mtpv_Flux_102</t>
  </si>
  <si>
    <t>Mtpv_Torque_102</t>
  </si>
  <si>
    <t>Mtpv_Angle_102</t>
  </si>
  <si>
    <t>Mtpv_Flux_103</t>
  </si>
  <si>
    <t>Mtpv_Torque_103</t>
  </si>
  <si>
    <t>Mtpv_Angle_103</t>
  </si>
  <si>
    <t>Mtpv_Flux_104</t>
  </si>
  <si>
    <t>Mtpv_Torque_104</t>
  </si>
  <si>
    <t>Mtpv_Angle_104</t>
  </si>
  <si>
    <t>Mtpv_Flux_105</t>
  </si>
  <si>
    <t>Mtpv_Torque_105</t>
  </si>
  <si>
    <t>Mtpv_Angle_105</t>
  </si>
  <si>
    <t>Mtpv_Flux_106</t>
  </si>
  <si>
    <t>Mtpv_Torque_106</t>
  </si>
  <si>
    <t>Mtpv_Angle_106</t>
  </si>
  <si>
    <t>Mtpv_Flux_107</t>
  </si>
  <si>
    <t>Mtpv_Torque_107</t>
  </si>
  <si>
    <t>Mtpv_Angle_107</t>
  </si>
  <si>
    <t>Mtpv_Flux_108</t>
  </si>
  <si>
    <t>Mtpv_Torque_108</t>
  </si>
  <si>
    <t>Mtpv_Angle_108</t>
  </si>
  <si>
    <t>Mtpv_Flux_109</t>
  </si>
  <si>
    <t>Mtpv_Torque_109</t>
  </si>
  <si>
    <t>Mtpv_Angle_109</t>
  </si>
  <si>
    <t>Mtpv_Flux_110</t>
  </si>
  <si>
    <t>Mtpv_Torque_110</t>
  </si>
  <si>
    <t>Mtpv_Angle_110</t>
  </si>
  <si>
    <t>Mtpv_Flux_111</t>
  </si>
  <si>
    <t>Mtpv_Torque_111</t>
  </si>
  <si>
    <t>Mtpv_Angle_111</t>
  </si>
  <si>
    <t>Mtpv_Flux_112</t>
  </si>
  <si>
    <t>Mtpv_Torque_112</t>
  </si>
  <si>
    <t>Mtpv_Angle_112</t>
  </si>
  <si>
    <t>Mtpv_Flux_113</t>
  </si>
  <si>
    <t>Mtpv_Torque_113</t>
  </si>
  <si>
    <t>Mtpv_Angle_113</t>
  </si>
  <si>
    <t>Mtpv_Flux_114</t>
  </si>
  <si>
    <t>Mtpv_Torque_114</t>
  </si>
  <si>
    <t>Mtpv_Angle_114</t>
  </si>
  <si>
    <t>Mtpv_Flux_115</t>
  </si>
  <si>
    <t>Mtpv_Torque_115</t>
  </si>
  <si>
    <t>Mtpv_Angle_115</t>
  </si>
  <si>
    <t>Mtpv_Flux_116</t>
  </si>
  <si>
    <t>Mtpv_Torque_116</t>
  </si>
  <si>
    <t>Mtpv_Angle_116</t>
  </si>
  <si>
    <t>Mtpv_Flux_117</t>
  </si>
  <si>
    <t>Mtpv_Torque_117</t>
  </si>
  <si>
    <t>Mtpv_Angle_117</t>
  </si>
  <si>
    <t>Mtpv_Flux_118</t>
  </si>
  <si>
    <t>Mtpv_Torque_118</t>
  </si>
  <si>
    <t>Mtpv_Angle_118</t>
  </si>
  <si>
    <t>Mtpv_Flux_119</t>
  </si>
  <si>
    <t>Mtpv_Torque_119</t>
  </si>
  <si>
    <t>Mtpv_Angle_119</t>
  </si>
  <si>
    <t>Mtpv_Flux_120</t>
  </si>
  <si>
    <t>Mtpv_Torque_120</t>
  </si>
  <si>
    <t>Mtpv_Angle_120</t>
  </si>
  <si>
    <t>Mtpv_Flux_121</t>
  </si>
  <si>
    <t>Mtpv_Torque_121</t>
  </si>
  <si>
    <t>Mtpv_Angle_121</t>
  </si>
  <si>
    <t>Mtpv_Flux_122</t>
  </si>
  <si>
    <t>Mtpv_Torque_122</t>
  </si>
  <si>
    <t>Mtpv_Angle_122</t>
  </si>
  <si>
    <t>Mtpv_Flux_123</t>
  </si>
  <si>
    <t>Mtpv_Torque_123</t>
  </si>
  <si>
    <t>Mtpv_Angle_123</t>
  </si>
  <si>
    <t>Mtpv_Flux_124</t>
  </si>
  <si>
    <t>Mtpv_Torque_124</t>
  </si>
  <si>
    <t>Mtpv_Angle_124</t>
  </si>
  <si>
    <t>Mtpv_Flux_125</t>
  </si>
  <si>
    <t>Mtpv_Torque_125</t>
  </si>
  <si>
    <t>Mtpv_Angle_125</t>
  </si>
  <si>
    <t>Mtpv_Flux_126</t>
  </si>
  <si>
    <t>Mtpv_Torque_126</t>
  </si>
  <si>
    <t>Mtpv_Angle_126</t>
  </si>
  <si>
    <t>Mtpv_Flux_127</t>
  </si>
  <si>
    <t>Mtpv_Torque_127</t>
  </si>
  <si>
    <t>Mtpv_Angle_127</t>
  </si>
  <si>
    <t>Mtpv_Flux_128</t>
  </si>
  <si>
    <t>Mtpv_Torque_128</t>
  </si>
  <si>
    <t>Mtpv_Angle_128</t>
  </si>
  <si>
    <t>Mtpv_Flux_129</t>
  </si>
  <si>
    <t>Mtpv_Torque_129</t>
  </si>
  <si>
    <t>Mtpv_Angle_129</t>
  </si>
  <si>
    <t>Mtpv_Flux_130</t>
  </si>
  <si>
    <t>Mtpv_Torque_130</t>
  </si>
  <si>
    <t>Mtpv_Angle_130</t>
  </si>
  <si>
    <t>Mtpv_Flux_131</t>
  </si>
  <si>
    <t>Mtpv_Torque_131</t>
  </si>
  <si>
    <t>Mtpv_Angle_131</t>
  </si>
  <si>
    <t>Mtpv_Flux_132</t>
  </si>
  <si>
    <t>Mtpv_Torque_132</t>
  </si>
  <si>
    <t>Mtpv_Angle_132</t>
  </si>
  <si>
    <t>Mtpv_Flux_133</t>
  </si>
  <si>
    <t>Mtpv_Torque_133</t>
  </si>
  <si>
    <t>Mtpv_Angle_133</t>
  </si>
  <si>
    <t>Mtpv_Flux_134</t>
  </si>
  <si>
    <t>Mtpv_Torque_134</t>
  </si>
  <si>
    <t>Mtpv_Angle_134</t>
  </si>
  <si>
    <t>Mtpv_Flux_135</t>
  </si>
  <si>
    <t>Mtpv_Torque_135</t>
  </si>
  <si>
    <t>Mtpv_Angle_135</t>
  </si>
  <si>
    <t>Mtpv_Flux_136</t>
  </si>
  <si>
    <t>Mtpv_Torque_136</t>
  </si>
  <si>
    <t>Mtpv_Angle_136</t>
  </si>
  <si>
    <t>Mtpv_Flux_137</t>
  </si>
  <si>
    <t>Mtpv_Torque_137</t>
  </si>
  <si>
    <t>Mtpv_Angle_137</t>
  </si>
  <si>
    <t>Mtpv_Flux_138</t>
  </si>
  <si>
    <t>Mtpv_Torque_138</t>
  </si>
  <si>
    <t>Mtpv_Angle_138</t>
  </si>
  <si>
    <t>Mtpv_Flux_139</t>
  </si>
  <si>
    <t>Mtpv_Torque_139</t>
  </si>
  <si>
    <t>Mtpv_Angle_139</t>
  </si>
  <si>
    <t>Mtpv_Flux_140</t>
  </si>
  <si>
    <t>Mtpv_Torque_140</t>
  </si>
  <si>
    <t>Mtpv_Angle_140</t>
  </si>
  <si>
    <t>Mtpv_Flux_141</t>
  </si>
  <si>
    <t>Mtpv_Torque_141</t>
  </si>
  <si>
    <t>Mtpv_Angle_141</t>
  </si>
  <si>
    <t>Mtpv_Flux_142</t>
  </si>
  <si>
    <t>Mtpv_Torque_142</t>
  </si>
  <si>
    <t>Mtpv_Angle_142</t>
  </si>
  <si>
    <t>Mtpv_Flux_143</t>
  </si>
  <si>
    <t>Mtpv_Torque_143</t>
  </si>
  <si>
    <t>Mtpv_Angle_143</t>
  </si>
  <si>
    <t>Mtpv_Flux_144</t>
  </si>
  <si>
    <t>Mtpv_Torque_144</t>
  </si>
  <si>
    <t>Mtpv_Angle_144</t>
  </si>
  <si>
    <t>Mtpv_Flux_145</t>
  </si>
  <si>
    <t>Mtpv_Torque_145</t>
  </si>
  <si>
    <t>Mtpv_Angle_145</t>
  </si>
  <si>
    <t>Mtpv_Flux_146</t>
  </si>
  <si>
    <t>Mtpv_Torque_146</t>
  </si>
  <si>
    <t>Mtpv_Angle_146</t>
  </si>
  <si>
    <t>Mtpv_Flux_147</t>
  </si>
  <si>
    <t>Mtpv_Torque_147</t>
  </si>
  <si>
    <t>Mtpv_Angle_147</t>
  </si>
  <si>
    <t>Mtpv_Flux_148</t>
  </si>
  <si>
    <t>Mtpv_Torque_148</t>
  </si>
  <si>
    <t>Mtpv_Angle_148</t>
  </si>
  <si>
    <t>Mtpv_Flux_149</t>
  </si>
  <si>
    <t>Mtpv_Torque_149</t>
  </si>
  <si>
    <t>Mtpv_Angle_149</t>
  </si>
  <si>
    <t>Mtpv_Flux_150</t>
  </si>
  <si>
    <t>Mtpv_Torque_150</t>
  </si>
  <si>
    <t>Mtpv_Angle_150</t>
  </si>
  <si>
    <t>Mtpv_Flux_151</t>
  </si>
  <si>
    <t>Mtpv_Torque_151</t>
  </si>
  <si>
    <t>Mtpv_Angle_151</t>
  </si>
  <si>
    <t>Mtpv_Flux_152</t>
  </si>
  <si>
    <t>Mtpv_Torque_152</t>
  </si>
  <si>
    <t>Mtpv_Angle_152</t>
  </si>
  <si>
    <t>Mtpv_Flux_153</t>
  </si>
  <si>
    <t>Mtpv_Torque_153</t>
  </si>
  <si>
    <t>Mtpv_Angle_153</t>
  </si>
  <si>
    <t>Mtpv_Flux_154</t>
  </si>
  <si>
    <t>Mtpv_Torque_154</t>
  </si>
  <si>
    <t>Mtpv_Angle_154</t>
  </si>
  <si>
    <t>Mtpv_Flux_155</t>
  </si>
  <si>
    <t>Mtpv_Torque_155</t>
  </si>
  <si>
    <t>Mtpv_Angle_155</t>
  </si>
  <si>
    <t>Mtpv_Flux_156</t>
  </si>
  <si>
    <t>Mtpv_Torque_156</t>
  </si>
  <si>
    <t>Mtpv_Angle_156</t>
  </si>
  <si>
    <t>Mtpv_Flux_157</t>
  </si>
  <si>
    <t>Mtpv_Torque_157</t>
  </si>
  <si>
    <t>Mtpv_Angle_157</t>
  </si>
  <si>
    <t>Mtpv_Flux_158</t>
  </si>
  <si>
    <t>Mtpv_Torque_158</t>
  </si>
  <si>
    <t>Mtpv_Angle_158</t>
  </si>
  <si>
    <t>Mtpv_Flux_159</t>
  </si>
  <si>
    <t>Mtpv_Torque_159</t>
  </si>
  <si>
    <t>Mtpv_Angle_159</t>
  </si>
  <si>
    <t>Mtpv_Flux_160</t>
  </si>
  <si>
    <t>Mtpv_Torque_160</t>
  </si>
  <si>
    <t>Mtpv_Angle_160</t>
  </si>
  <si>
    <t>=(32768/BASE_FLUX) * MTPVFlux_0</t>
  </si>
  <si>
    <t>=(32768/BASE_TORQ) * MTPVTorque_0</t>
  </si>
  <si>
    <t>=(32768/BASE_ANGLE) * MTPVAngle_0</t>
  </si>
  <si>
    <t>=(32768/BASE_FLUX) * MTPVFlux_1</t>
  </si>
  <si>
    <t>=(32768/BASE_TORQ) * MTPVTorque_1</t>
  </si>
  <si>
    <t>=(32768/BASE_ANGLE) * MTPVAngle_1</t>
  </si>
  <si>
    <t>=(32768/BASE_FLUX) * MTPVFlux_2</t>
  </si>
  <si>
    <t>=(32768/BASE_TORQ) * MTPVTorque_2</t>
  </si>
  <si>
    <t>=(32768/BASE_ANGLE) * MTPVAngle_2</t>
  </si>
  <si>
    <t>=(32768/BASE_FLUX) * MTPVFlux_3</t>
  </si>
  <si>
    <t>=(32768/BASE_TORQ) * MTPVTorque_3</t>
  </si>
  <si>
    <t>=(32768/BASE_ANGLE) * MTPVAngle_3</t>
  </si>
  <si>
    <t>=(32768/BASE_FLUX) * MTPVFlux_4</t>
  </si>
  <si>
    <t>=(32768/BASE_TORQ) * MTPVTorque_4</t>
  </si>
  <si>
    <t>=(32768/BASE_ANGLE) * MTPVAngle_4</t>
  </si>
  <si>
    <t>=(32768/BASE_FLUX) * MTPVFlux_5</t>
  </si>
  <si>
    <t>=(32768/BASE_TORQ) * MTPVTorque_5</t>
  </si>
  <si>
    <t>=(32768/BASE_ANGLE) * MTPVAngle_5</t>
  </si>
  <si>
    <t>=(32768/BASE_FLUX) * MTPVFlux_6</t>
  </si>
  <si>
    <t>=(32768/BASE_TORQ) * MTPVTorque_6</t>
  </si>
  <si>
    <t>=(32768/BASE_ANGLE) * MTPVAngle_6</t>
  </si>
  <si>
    <t>=(32768/BASE_FLUX) * MTPVFlux_7</t>
  </si>
  <si>
    <t>=(32768/BASE_TORQ) * MTPVTorque_7</t>
  </si>
  <si>
    <t>=(32768/BASE_ANGLE) * MTPVAngle_7</t>
  </si>
  <si>
    <t>=(32768/BASE_FLUX) * MTPVFlux_8</t>
  </si>
  <si>
    <t>=(32768/BASE_TORQ) * MTPVTorque_8</t>
  </si>
  <si>
    <t>=(32768/BASE_ANGLE) * MTPVAngle_8</t>
  </si>
  <si>
    <t>=(32768/BASE_FLUX) * MTPVFlux_9</t>
  </si>
  <si>
    <t>=(32768/BASE_TORQ) * MTPVTorque_9</t>
  </si>
  <si>
    <t>=(32768/BASE_ANGLE) * MTPVAngle_9</t>
  </si>
  <si>
    <t>=(32768/BASE_FLUX) * MTPVFlux_10</t>
  </si>
  <si>
    <t>=(32768/BASE_TORQ) * MTPVTorque_10</t>
  </si>
  <si>
    <t>=(32768/BASE_ANGLE) * MTPVAngle_10</t>
  </si>
  <si>
    <t>=(32768/BASE_FLUX) * MTPVFlux_11</t>
  </si>
  <si>
    <t>=(32768/BASE_TORQ) * MTPVTorque_11</t>
  </si>
  <si>
    <t>=(32768/BASE_ANGLE) * MTPVAngle_11</t>
  </si>
  <si>
    <t>=(32768/BASE_FLUX) * MTPVFlux_12</t>
  </si>
  <si>
    <t>=(32768/BASE_TORQ) * MTPVTorque_12</t>
  </si>
  <si>
    <t>=(32768/BASE_ANGLE) * MTPVAngle_12</t>
  </si>
  <si>
    <t>=(32768/BASE_FLUX) * MTPVFlux_13</t>
  </si>
  <si>
    <t>=(32768/BASE_TORQ) * MTPVTorque_13</t>
  </si>
  <si>
    <t>=(32768/BASE_ANGLE) * MTPVAngle_13</t>
  </si>
  <si>
    <t>=(32768/BASE_FLUX) * MTPVFlux_14</t>
  </si>
  <si>
    <t>=(32768/BASE_TORQ) * MTPVTorque_14</t>
  </si>
  <si>
    <t>=(32768/BASE_ANGLE) * MTPVAngle_14</t>
  </si>
  <si>
    <t>=(32768/BASE_FLUX) * MTPVFlux_15</t>
  </si>
  <si>
    <t>=(32768/BASE_TORQ) * MTPVTorque_15</t>
  </si>
  <si>
    <t>=(32768/BASE_ANGLE) * MTPVAngle_15</t>
  </si>
  <si>
    <t>=(32768/BASE_FLUX) * MTPVFlux_16</t>
  </si>
  <si>
    <t>=(32768/BASE_TORQ) * MTPVTorque_16</t>
  </si>
  <si>
    <t>=(32768/BASE_ANGLE) * MTPVAngle_16</t>
  </si>
  <si>
    <t>=(32768/BASE_FLUX) * MTPVFlux_17</t>
  </si>
  <si>
    <t>=(32768/BASE_TORQ) * MTPVTorque_17</t>
  </si>
  <si>
    <t>=(32768/BASE_ANGLE) * MTPVAngle_17</t>
  </si>
  <si>
    <t>=(32768/BASE_FLUX) * MTPVFlux_18</t>
  </si>
  <si>
    <t>=(32768/BASE_TORQ) * MTPVTorque_18</t>
  </si>
  <si>
    <t>=(32768/BASE_ANGLE) * MTPVAngle_18</t>
  </si>
  <si>
    <t>=(32768/BASE_FLUX) * MTPVFlux_19</t>
  </si>
  <si>
    <t>=(32768/BASE_TORQ) * MTPVTorque_19</t>
  </si>
  <si>
    <t>=(32768/BASE_ANGLE) * MTPVAngle_19</t>
  </si>
  <si>
    <t>=(32768/BASE_FLUX) * MTPVFlux_20</t>
  </si>
  <si>
    <t>=(32768/BASE_TORQ) * MTPVTorque_20</t>
  </si>
  <si>
    <t>=(32768/BASE_ANGLE) * MTPVAngle_20</t>
  </si>
  <si>
    <t>=(32768/BASE_FLUX) * MTPVFlux_21</t>
  </si>
  <si>
    <t>=(32768/BASE_TORQ) * MTPVTorque_21</t>
  </si>
  <si>
    <t>=(32768/BASE_ANGLE) * MTPVAngle_21</t>
  </si>
  <si>
    <t>=(32768/BASE_FLUX) * MTPVFlux_22</t>
  </si>
  <si>
    <t>=(32768/BASE_TORQ) * MTPVTorque_22</t>
  </si>
  <si>
    <t>=(32768/BASE_ANGLE) * MTPVAngle_22</t>
  </si>
  <si>
    <t>=(32768/BASE_FLUX) * MTPVFlux_23</t>
  </si>
  <si>
    <t>=(32768/BASE_TORQ) * MTPVTorque_23</t>
  </si>
  <si>
    <t>=(32768/BASE_ANGLE) * MTPVAngle_23</t>
  </si>
  <si>
    <t>=(32768/BASE_FLUX) * MTPVFlux_24</t>
  </si>
  <si>
    <t>=(32768/BASE_TORQ) * MTPVTorque_24</t>
  </si>
  <si>
    <t>=(32768/BASE_ANGLE) * MTPVAngle_24</t>
  </si>
  <si>
    <t>=(32768/BASE_FLUX) * MTPVFlux_25</t>
  </si>
  <si>
    <t>=(32768/BASE_TORQ) * MTPVTorque_25</t>
  </si>
  <si>
    <t>=(32768/BASE_ANGLE) * MTPVAngle_25</t>
  </si>
  <si>
    <t>=(32768/BASE_FLUX) * MTPVFlux_26</t>
  </si>
  <si>
    <t>=(32768/BASE_TORQ) * MTPVTorque_26</t>
  </si>
  <si>
    <t>=(32768/BASE_ANGLE) * MTPVAngle_26</t>
  </si>
  <si>
    <t>=(32768/BASE_FLUX) * MTPVFlux_27</t>
  </si>
  <si>
    <t>=(32768/BASE_TORQ) * MTPVTorque_27</t>
  </si>
  <si>
    <t>=(32768/BASE_ANGLE) * MTPVAngle_27</t>
  </si>
  <si>
    <t>=(32768/BASE_FLUX) * MTPVFlux_28</t>
  </si>
  <si>
    <t>=(32768/BASE_TORQ) * MTPVTorque_28</t>
  </si>
  <si>
    <t>=(32768/BASE_ANGLE) * MTPVAngle_28</t>
  </si>
  <si>
    <t>=(32768/BASE_FLUX) * MTPVFlux_29</t>
  </si>
  <si>
    <t>=(32768/BASE_TORQ) * MTPVTorque_29</t>
  </si>
  <si>
    <t>=(32768/BASE_ANGLE) * MTPVAngle_29</t>
  </si>
  <si>
    <t>=(32768/BASE_FLUX) * MTPVFlux_30</t>
  </si>
  <si>
    <t>=(32768/BASE_TORQ) * MTPVTorque_30</t>
  </si>
  <si>
    <t>=(32768/BASE_ANGLE) * MTPVAngle_30</t>
  </si>
  <si>
    <t>=(32768/BASE_FLUX) * MTPVFlux_31</t>
  </si>
  <si>
    <t>=(32768/BASE_TORQ) * MTPVTorque_31</t>
  </si>
  <si>
    <t>=(32768/BASE_ANGLE) * MTPVAngle_31</t>
  </si>
  <si>
    <t>=(32768/BASE_FLUX) * MTPVFlux_32</t>
  </si>
  <si>
    <t>=(32768/BASE_TORQ) * MTPVTorque_32</t>
  </si>
  <si>
    <t>=(32768/BASE_ANGLE) * MTPVAngle_32</t>
  </si>
  <si>
    <t>=(32768/BASE_FLUX) * MTPVFlux_33</t>
  </si>
  <si>
    <t>=(32768/BASE_TORQ) * MTPVTorque_33</t>
  </si>
  <si>
    <t>=(32768/BASE_ANGLE) * MTPVAngle_33</t>
  </si>
  <si>
    <t>=(32768/BASE_FLUX) * MTPVFlux_34</t>
  </si>
  <si>
    <t>=(32768/BASE_TORQ) * MTPVTorque_34</t>
  </si>
  <si>
    <t>=(32768/BASE_ANGLE) * MTPVAngle_34</t>
  </si>
  <si>
    <t>=(32768/BASE_FLUX) * MTPVFlux_35</t>
  </si>
  <si>
    <t>=(32768/BASE_TORQ) * MTPVTorque_35</t>
  </si>
  <si>
    <t>=(32768/BASE_ANGLE) * MTPVAngle_35</t>
  </si>
  <si>
    <t>=(32768/BASE_FLUX) * MTPVFlux_36</t>
  </si>
  <si>
    <t>=(32768/BASE_TORQ) * MTPVTorque_36</t>
  </si>
  <si>
    <t>=(32768/BASE_ANGLE) * MTPVAngle_36</t>
  </si>
  <si>
    <t>=(32768/BASE_FLUX) * MTPVFlux_37</t>
  </si>
  <si>
    <t>=(32768/BASE_TORQ) * MTPVTorque_37</t>
  </si>
  <si>
    <t>=(32768/BASE_ANGLE) * MTPVAngle_37</t>
  </si>
  <si>
    <t>=(32768/BASE_FLUX) * MTPVFlux_38</t>
  </si>
  <si>
    <t>=(32768/BASE_TORQ) * MTPVTorque_38</t>
  </si>
  <si>
    <t>=(32768/BASE_ANGLE) * MTPVAngle_38</t>
  </si>
  <si>
    <t>=(32768/BASE_FLUX) * MTPVFlux_39</t>
  </si>
  <si>
    <t>=(32768/BASE_TORQ) * MTPVTorque_39</t>
  </si>
  <si>
    <t>=(32768/BASE_ANGLE) * MTPVAngle_39</t>
  </si>
  <si>
    <t>=(32768/BASE_FLUX) * MTPVFlux_40</t>
  </si>
  <si>
    <t>=(32768/BASE_TORQ) * MTPVTorque_40</t>
  </si>
  <si>
    <t>=(32768/BASE_ANGLE) * MTPVAngle_40</t>
  </si>
  <si>
    <t>=(32768/BASE_FLUX) * MTPVFlux_41</t>
  </si>
  <si>
    <t>=(32768/BASE_TORQ) * MTPVTorque_41</t>
  </si>
  <si>
    <t>=(32768/BASE_ANGLE) * MTPVAngle_41</t>
  </si>
  <si>
    <t>=(32768/BASE_FLUX) * MTPVFlux_42</t>
  </si>
  <si>
    <t>=(32768/BASE_TORQ) * MTPVTorque_42</t>
  </si>
  <si>
    <t>=(32768/BASE_ANGLE) * MTPVAngle_42</t>
  </si>
  <si>
    <t>=(32768/BASE_FLUX) * MTPVFlux_43</t>
  </si>
  <si>
    <t>=(32768/BASE_TORQ) * MTPVTorque_43</t>
  </si>
  <si>
    <t>=(32768/BASE_ANGLE) * MTPVAngle_43</t>
  </si>
  <si>
    <t>=(32768/BASE_FLUX) * MTPVFlux_44</t>
  </si>
  <si>
    <t>=(32768/BASE_TORQ) * MTPVTorque_44</t>
  </si>
  <si>
    <t>=(32768/BASE_ANGLE) * MTPVAngle_44</t>
  </si>
  <si>
    <t>=(32768/BASE_FLUX) * MTPVFlux_45</t>
  </si>
  <si>
    <t>=(32768/BASE_TORQ) * MTPVTorque_45</t>
  </si>
  <si>
    <t>=(32768/BASE_ANGLE) * MTPVAngle_45</t>
  </si>
  <si>
    <t>=(32768/BASE_FLUX) * MTPVFlux_46</t>
  </si>
  <si>
    <t>=(32768/BASE_TORQ) * MTPVTorque_46</t>
  </si>
  <si>
    <t>=(32768/BASE_ANGLE) * MTPVAngle_46</t>
  </si>
  <si>
    <t>=(32768/BASE_FLUX) * MTPVFlux_47</t>
  </si>
  <si>
    <t>=(32768/BASE_TORQ) * MTPVTorque_47</t>
  </si>
  <si>
    <t>=(32768/BASE_ANGLE) * MTPVAngle_47</t>
  </si>
  <si>
    <t>=(32768/BASE_FLUX) * MTPVFlux_48</t>
  </si>
  <si>
    <t>=(32768/BASE_TORQ) * MTPVTorque_48</t>
  </si>
  <si>
    <t>=(32768/BASE_ANGLE) * MTPVAngle_48</t>
  </si>
  <si>
    <t>=(32768/BASE_FLUX) * MTPVFlux_49</t>
  </si>
  <si>
    <t>=(32768/BASE_TORQ) * MTPVTorque_49</t>
  </si>
  <si>
    <t>=(32768/BASE_ANGLE) * MTPVAngle_49</t>
  </si>
  <si>
    <t>=(32768/BASE_FLUX) * MTPVFlux_50</t>
  </si>
  <si>
    <t>=(32768/BASE_TORQ) * MTPVTorque_50</t>
  </si>
  <si>
    <t>=(32768/BASE_ANGLE) * MTPVAngle_50</t>
  </si>
  <si>
    <t>=(32768/BASE_FLUX) * MTPVFlux_51</t>
  </si>
  <si>
    <t>=(32768/BASE_TORQ) * MTPVTorque_51</t>
  </si>
  <si>
    <t>=(32768/BASE_ANGLE) * MTPVAngle_51</t>
  </si>
  <si>
    <t>=(32768/BASE_FLUX) * MTPVFlux_52</t>
  </si>
  <si>
    <t>=(32768/BASE_TORQ) * MTPVTorque_52</t>
  </si>
  <si>
    <t>=(32768/BASE_ANGLE) * MTPVAngle_52</t>
  </si>
  <si>
    <t>=(32768/BASE_FLUX) * MTPVFlux_53</t>
  </si>
  <si>
    <t>=(32768/BASE_TORQ) * MTPVTorque_53</t>
  </si>
  <si>
    <t>=(32768/BASE_ANGLE) * MTPVAngle_53</t>
  </si>
  <si>
    <t>=(32768/BASE_FLUX) * MTPVFlux_54</t>
  </si>
  <si>
    <t>=(32768/BASE_TORQ) * MTPVTorque_54</t>
  </si>
  <si>
    <t>=(32768/BASE_ANGLE) * MTPVAngle_54</t>
  </si>
  <si>
    <t>=(32768/BASE_FLUX) * MTPVFlux_55</t>
  </si>
  <si>
    <t>=(32768/BASE_TORQ) * MTPVTorque_55</t>
  </si>
  <si>
    <t>=(32768/BASE_ANGLE) * MTPVAngle_55</t>
  </si>
  <si>
    <t>=(32768/BASE_FLUX) * MTPVFlux_56</t>
  </si>
  <si>
    <t>=(32768/BASE_TORQ) * MTPVTorque_56</t>
  </si>
  <si>
    <t>=(32768/BASE_ANGLE) * MTPVAngle_56</t>
  </si>
  <si>
    <t>=(32768/BASE_FLUX) * MTPVFlux_57</t>
  </si>
  <si>
    <t>=(32768/BASE_TORQ) * MTPVTorque_57</t>
  </si>
  <si>
    <t>=(32768/BASE_ANGLE) * MTPVAngle_57</t>
  </si>
  <si>
    <t>=(32768/BASE_FLUX) * MTPVFlux_58</t>
  </si>
  <si>
    <t>=(32768/BASE_TORQ) * MTPVTorque_58</t>
  </si>
  <si>
    <t>=(32768/BASE_ANGLE) * MTPVAngle_58</t>
  </si>
  <si>
    <t>=(32768/BASE_FLUX) * MTPVFlux_59</t>
  </si>
  <si>
    <t>=(32768/BASE_TORQ) * MTPVTorque_59</t>
  </si>
  <si>
    <t>=(32768/BASE_ANGLE) * MTPVAngle_59</t>
  </si>
  <si>
    <t>=(32768/BASE_FLUX) * MTPVFlux_60</t>
  </si>
  <si>
    <t>=(32768/BASE_TORQ) * MTPVTorque_60</t>
  </si>
  <si>
    <t>=(32768/BASE_ANGLE) * MTPVAngle_60</t>
  </si>
  <si>
    <t>=(32768/BASE_FLUX) * MTPVFlux_61</t>
  </si>
  <si>
    <t>=(32768/BASE_TORQ) * MTPVTorque_61</t>
  </si>
  <si>
    <t>=(32768/BASE_ANGLE) * MTPVAngle_61</t>
  </si>
  <si>
    <t>=(32768/BASE_FLUX) * MTPVFlux_62</t>
  </si>
  <si>
    <t>=(32768/BASE_TORQ) * MTPVTorque_62</t>
  </si>
  <si>
    <t>=(32768/BASE_ANGLE) * MTPVAngle_62</t>
  </si>
  <si>
    <t>=(32768/BASE_FLUX) * MTPVFlux_63</t>
  </si>
  <si>
    <t>=(32768/BASE_TORQ) * MTPVTorque_63</t>
  </si>
  <si>
    <t>=(32768/BASE_ANGLE) * MTPVAngle_63</t>
  </si>
  <si>
    <t>=(32768/BASE_FLUX) * MTPVFlux_64</t>
  </si>
  <si>
    <t>=(32768/BASE_TORQ) * MTPVTorque_64</t>
  </si>
  <si>
    <t>=(32768/BASE_ANGLE) * MTPVAngle_64</t>
  </si>
  <si>
    <t>=(32768/BASE_FLUX) * MTPVFlux_65</t>
  </si>
  <si>
    <t>=(32768/BASE_TORQ) * MTPVTorque_65</t>
  </si>
  <si>
    <t>=(32768/BASE_ANGLE) * MTPVAngle_65</t>
  </si>
  <si>
    <t>=(32768/BASE_FLUX) * MTPVFlux_66</t>
  </si>
  <si>
    <t>=(32768/BASE_TORQ) * MTPVTorque_66</t>
  </si>
  <si>
    <t>=(32768/BASE_ANGLE) * MTPVAngle_66</t>
  </si>
  <si>
    <t>=(32768/BASE_FLUX) * MTPVFlux_67</t>
  </si>
  <si>
    <t>=(32768/BASE_TORQ) * MTPVTorque_67</t>
  </si>
  <si>
    <t>=(32768/BASE_ANGLE) * MTPVAngle_67</t>
  </si>
  <si>
    <t>=(32768/BASE_FLUX) * MTPVFlux_68</t>
  </si>
  <si>
    <t>=(32768/BASE_TORQ) * MTPVTorque_68</t>
  </si>
  <si>
    <t>=(32768/BASE_ANGLE) * MTPVAngle_68</t>
  </si>
  <si>
    <t>=(32768/BASE_FLUX) * MTPVFlux_69</t>
  </si>
  <si>
    <t>=(32768/BASE_TORQ) * MTPVTorque_69</t>
  </si>
  <si>
    <t>=(32768/BASE_ANGLE) * MTPVAngle_69</t>
  </si>
  <si>
    <t>=(32768/BASE_FLUX) * MTPVFlux_70</t>
  </si>
  <si>
    <t>=(32768/BASE_TORQ) * MTPVTorque_70</t>
  </si>
  <si>
    <t>=(32768/BASE_ANGLE) * MTPVAngle_70</t>
  </si>
  <si>
    <t>=(32768/BASE_FLUX) * MTPVFlux_71</t>
  </si>
  <si>
    <t>=(32768/BASE_TORQ) * MTPVTorque_71</t>
  </si>
  <si>
    <t>=(32768/BASE_ANGLE) * MTPVAngle_71</t>
  </si>
  <si>
    <t>=(32768/BASE_FLUX) * MTPVFlux_72</t>
  </si>
  <si>
    <t>=(32768/BASE_TORQ) * MTPVTorque_72</t>
  </si>
  <si>
    <t>=(32768/BASE_ANGLE) * MTPVAngle_72</t>
  </si>
  <si>
    <t>=(32768/BASE_FLUX) * MTPVFlux_73</t>
  </si>
  <si>
    <t>=(32768/BASE_TORQ) * MTPVTorque_73</t>
  </si>
  <si>
    <t>=(32768/BASE_ANGLE) * MTPVAngle_73</t>
  </si>
  <si>
    <t>=(32768/BASE_FLUX) * MTPVFlux_74</t>
  </si>
  <si>
    <t>=(32768/BASE_TORQ) * MTPVTorque_74</t>
  </si>
  <si>
    <t>=(32768/BASE_ANGLE) * MTPVAngle_74</t>
  </si>
  <si>
    <t>=(32768/BASE_FLUX) * MTPVFlux_75</t>
  </si>
  <si>
    <t>=(32768/BASE_TORQ) * MTPVTorque_75</t>
  </si>
  <si>
    <t>=(32768/BASE_ANGLE) * MTPVAngle_75</t>
  </si>
  <si>
    <t>=(32768/BASE_FLUX) * MTPVFlux_76</t>
  </si>
  <si>
    <t>=(32768/BASE_TORQ) * MTPVTorque_76</t>
  </si>
  <si>
    <t>=(32768/BASE_ANGLE) * MTPVAngle_76</t>
  </si>
  <si>
    <t>=(32768/BASE_FLUX) * MTPVFlux_77</t>
  </si>
  <si>
    <t>=(32768/BASE_TORQ) * MTPVTorque_77</t>
  </si>
  <si>
    <t>=(32768/BASE_ANGLE) * MTPVAngle_77</t>
  </si>
  <si>
    <t>=(32768/BASE_FLUX) * MTPVFlux_78</t>
  </si>
  <si>
    <t>=(32768/BASE_TORQ) * MTPVTorque_78</t>
  </si>
  <si>
    <t>=(32768/BASE_ANGLE) * MTPVAngle_78</t>
  </si>
  <si>
    <t>=(32768/BASE_FLUX) * MTPVFlux_79</t>
  </si>
  <si>
    <t>=(32768/BASE_TORQ) * MTPVTorque_79</t>
  </si>
  <si>
    <t>=(32768/BASE_ANGLE) * MTPVAngle_79</t>
  </si>
  <si>
    <t>=(32768/BASE_FLUX) * MTPVFlux_80</t>
  </si>
  <si>
    <t>=(32768/BASE_TORQ) * MTPVTorque_80</t>
  </si>
  <si>
    <t>=(32768/BASE_ANGLE) * MTPVAngle_80</t>
  </si>
  <si>
    <t>=(32768/BASE_FLUX) * MTPVFlux_81</t>
  </si>
  <si>
    <t>=(32768/BASE_TORQ) * MTPVTorque_81</t>
  </si>
  <si>
    <t>=(32768/BASE_ANGLE) * MTPVAngle_81</t>
  </si>
  <si>
    <t>=(32768/BASE_FLUX) * MTPVFlux_82</t>
  </si>
  <si>
    <t>=(32768/BASE_TORQ) * MTPVTorque_82</t>
  </si>
  <si>
    <t>=(32768/BASE_ANGLE) * MTPVAngle_82</t>
  </si>
  <si>
    <t>=(32768/BASE_FLUX) * MTPVFlux_83</t>
  </si>
  <si>
    <t>=(32768/BASE_TORQ) * MTPVTorque_83</t>
  </si>
  <si>
    <t>=(32768/BASE_ANGLE) * MTPVAngle_83</t>
  </si>
  <si>
    <t>=(32768/BASE_FLUX) * MTPVFlux_84</t>
  </si>
  <si>
    <t>=(32768/BASE_TORQ) * MTPVTorque_84</t>
  </si>
  <si>
    <t>=(32768/BASE_ANGLE) * MTPVAngle_84</t>
  </si>
  <si>
    <t>=(32768/BASE_FLUX) * MTPVFlux_85</t>
  </si>
  <si>
    <t>=(32768/BASE_TORQ) * MTPVTorque_85</t>
  </si>
  <si>
    <t>=(32768/BASE_ANGLE) * MTPVAngle_85</t>
  </si>
  <si>
    <t>=(32768/BASE_FLUX) * MTPVFlux_86</t>
  </si>
  <si>
    <t>=(32768/BASE_TORQ) * MTPVTorque_86</t>
  </si>
  <si>
    <t>=(32768/BASE_ANGLE) * MTPVAngle_86</t>
  </si>
  <si>
    <t>=(32768/BASE_FLUX) * MTPVFlux_87</t>
  </si>
  <si>
    <t>=(32768/BASE_TORQ) * MTPVTorque_87</t>
  </si>
  <si>
    <t>=(32768/BASE_ANGLE) * MTPVAngle_87</t>
  </si>
  <si>
    <t>=(32768/BASE_FLUX) * MTPVFlux_88</t>
  </si>
  <si>
    <t>=(32768/BASE_TORQ) * MTPVTorque_88</t>
  </si>
  <si>
    <t>=(32768/BASE_ANGLE) * MTPVAngle_88</t>
  </si>
  <si>
    <t>=(32768/BASE_FLUX) * MTPVFlux_89</t>
  </si>
  <si>
    <t>=(32768/BASE_TORQ) * MTPVTorque_89</t>
  </si>
  <si>
    <t>=(32768/BASE_ANGLE) * MTPVAngle_89</t>
  </si>
  <si>
    <t>=(32768/BASE_FLUX) * MTPVFlux_90</t>
  </si>
  <si>
    <t>=(32768/BASE_TORQ) * MTPVTorque_90</t>
  </si>
  <si>
    <t>=(32768/BASE_ANGLE) * MTPVAngle_90</t>
  </si>
  <si>
    <t>=(32768/BASE_FLUX) * MTPVFlux_91</t>
  </si>
  <si>
    <t>=(32768/BASE_TORQ) * MTPVTorque_91</t>
  </si>
  <si>
    <t>=(32768/BASE_ANGLE) * MTPVAngle_91</t>
  </si>
  <si>
    <t>=(32768/BASE_FLUX) * MTPVFlux_92</t>
  </si>
  <si>
    <t>=(32768/BASE_TORQ) * MTPVTorque_92</t>
  </si>
  <si>
    <t>=(32768/BASE_ANGLE) * MTPVAngle_92</t>
  </si>
  <si>
    <t>=(32768/BASE_FLUX) * MTPVFlux_93</t>
  </si>
  <si>
    <t>=(32768/BASE_TORQ) * MTPVTorque_93</t>
  </si>
  <si>
    <t>=(32768/BASE_ANGLE) * MTPVAngle_93</t>
  </si>
  <si>
    <t>=(32768/BASE_FLUX) * MTPVFlux_94</t>
  </si>
  <si>
    <t>=(32768/BASE_TORQ) * MTPVTorque_94</t>
  </si>
  <si>
    <t>=(32768/BASE_ANGLE) * MTPVAngle_94</t>
  </si>
  <si>
    <t>=(32768/BASE_FLUX) * MTPVFlux_95</t>
  </si>
  <si>
    <t>=(32768/BASE_TORQ) * MTPVTorque_95</t>
  </si>
  <si>
    <t>=(32768/BASE_ANGLE) * MTPVAngle_95</t>
  </si>
  <si>
    <t>=(32768/BASE_FLUX) * MTPVFlux_96</t>
  </si>
  <si>
    <t>=(32768/BASE_TORQ) * MTPVTorque_96</t>
  </si>
  <si>
    <t>=(32768/BASE_ANGLE) * MTPVAngle_96</t>
  </si>
  <si>
    <t>=(32768/BASE_FLUX) * MTPVFlux_97</t>
  </si>
  <si>
    <t>=(32768/BASE_TORQ) * MTPVTorque_97</t>
  </si>
  <si>
    <t>=(32768/BASE_ANGLE) * MTPVAngle_97</t>
  </si>
  <si>
    <t>=(32768/BASE_FLUX) * MTPVFlux_98</t>
  </si>
  <si>
    <t>=(32768/BASE_TORQ) * MTPVTorque_98</t>
  </si>
  <si>
    <t>=(32768/BASE_ANGLE) * MTPVAngle_98</t>
  </si>
  <si>
    <t>=(32768/BASE_FLUX) * MTPVFlux_99</t>
  </si>
  <si>
    <t>=(32768/BASE_TORQ) * MTPVTorque_99</t>
  </si>
  <si>
    <t>=(32768/BASE_ANGLE) * MTPVAngle_99</t>
  </si>
  <si>
    <t>=(32768/BASE_FLUX) * MTPVFlux_100</t>
  </si>
  <si>
    <t>=(32768/BASE_TORQ) * MTPVTorque_100</t>
  </si>
  <si>
    <t>=(32768/BASE_ANGLE) * MTPVAngle_100</t>
  </si>
  <si>
    <t>=(32768/BASE_FLUX) * MTPVFlux_101</t>
  </si>
  <si>
    <t>=(32768/BASE_TORQ) * MTPVTorque_101</t>
  </si>
  <si>
    <t>=(32768/BASE_ANGLE) * MTPVAngle_101</t>
  </si>
  <si>
    <t>=(32768/BASE_FLUX) * MTPVFlux_102</t>
  </si>
  <si>
    <t>=(32768/BASE_TORQ) * MTPVTorque_102</t>
  </si>
  <si>
    <t>=(32768/BASE_ANGLE) * MTPVAngle_102</t>
  </si>
  <si>
    <t>=(32768/BASE_FLUX) * MTPVFlux_103</t>
  </si>
  <si>
    <t>=(32768/BASE_TORQ) * MTPVTorque_103</t>
  </si>
  <si>
    <t>=(32768/BASE_ANGLE) * MTPVAngle_103</t>
  </si>
  <si>
    <t>=(32768/BASE_FLUX) * MTPVFlux_104</t>
  </si>
  <si>
    <t>=(32768/BASE_TORQ) * MTPVTorque_104</t>
  </si>
  <si>
    <t>=(32768/BASE_ANGLE) * MTPVAngle_104</t>
  </si>
  <si>
    <t>=(32768/BASE_FLUX) * MTPVFlux_105</t>
  </si>
  <si>
    <t>=(32768/BASE_TORQ) * MTPVTorque_105</t>
  </si>
  <si>
    <t>=(32768/BASE_ANGLE) * MTPVAngle_105</t>
  </si>
  <si>
    <t>=(32768/BASE_FLUX) * MTPVFlux_106</t>
  </si>
  <si>
    <t>=(32768/BASE_TORQ) * MTPVTorque_106</t>
  </si>
  <si>
    <t>=(32768/BASE_ANGLE) * MTPVAngle_106</t>
  </si>
  <si>
    <t>=(32768/BASE_FLUX) * MTPVFlux_107</t>
  </si>
  <si>
    <t>=(32768/BASE_TORQ) * MTPVTorque_107</t>
  </si>
  <si>
    <t>=(32768/BASE_ANGLE) * MTPVAngle_107</t>
  </si>
  <si>
    <t>=(32768/BASE_FLUX) * MTPVFlux_108</t>
  </si>
  <si>
    <t>=(32768/BASE_TORQ) * MTPVTorque_108</t>
  </si>
  <si>
    <t>=(32768/BASE_ANGLE) * MTPVAngle_108</t>
  </si>
  <si>
    <t>=(32768/BASE_FLUX) * MTPVFlux_109</t>
  </si>
  <si>
    <t>=(32768/BASE_TORQ) * MTPVTorque_109</t>
  </si>
  <si>
    <t>=(32768/BASE_ANGLE) * MTPVAngle_109</t>
  </si>
  <si>
    <t>=(32768/BASE_FLUX) * MTPVFlux_110</t>
  </si>
  <si>
    <t>=(32768/BASE_TORQ) * MTPVTorque_110</t>
  </si>
  <si>
    <t>=(32768/BASE_ANGLE) * MTPVAngle_110</t>
  </si>
  <si>
    <t>=(32768/BASE_FLUX) * MTPVFlux_111</t>
  </si>
  <si>
    <t>=(32768/BASE_TORQ) * MTPVTorque_111</t>
  </si>
  <si>
    <t>=(32768/BASE_ANGLE) * MTPVAngle_111</t>
  </si>
  <si>
    <t>=(32768/BASE_FLUX) * MTPVFlux_112</t>
  </si>
  <si>
    <t>=(32768/BASE_TORQ) * MTPVTorque_112</t>
  </si>
  <si>
    <t>=(32768/BASE_ANGLE) * MTPVAngle_112</t>
  </si>
  <si>
    <t>=(32768/BASE_FLUX) * MTPVFlux_113</t>
  </si>
  <si>
    <t>=(32768/BASE_TORQ) * MTPVTorque_113</t>
  </si>
  <si>
    <t>=(32768/BASE_ANGLE) * MTPVAngle_113</t>
  </si>
  <si>
    <t>=(32768/BASE_FLUX) * MTPVFlux_114</t>
  </si>
  <si>
    <t>=(32768/BASE_TORQ) * MTPVTorque_114</t>
  </si>
  <si>
    <t>=(32768/BASE_ANGLE) * MTPVAngle_114</t>
  </si>
  <si>
    <t>=(32768/BASE_FLUX) * MTPVFlux_115</t>
  </si>
  <si>
    <t>=(32768/BASE_TORQ) * MTPVTorque_115</t>
  </si>
  <si>
    <t>=(32768/BASE_ANGLE) * MTPVAngle_115</t>
  </si>
  <si>
    <t>=(32768/BASE_FLUX) * MTPVFlux_116</t>
  </si>
  <si>
    <t>=(32768/BASE_TORQ) * MTPVTorque_116</t>
  </si>
  <si>
    <t>=(32768/BASE_ANGLE) * MTPVAngle_116</t>
  </si>
  <si>
    <t>=(32768/BASE_FLUX) * MTPVFlux_117</t>
  </si>
  <si>
    <t>=(32768/BASE_TORQ) * MTPVTorque_117</t>
  </si>
  <si>
    <t>=(32768/BASE_ANGLE) * MTPVAngle_117</t>
  </si>
  <si>
    <t>=(32768/BASE_FLUX) * MTPVFlux_118</t>
  </si>
  <si>
    <t>=(32768/BASE_TORQ) * MTPVTorque_118</t>
  </si>
  <si>
    <t>=(32768/BASE_ANGLE) * MTPVAngle_118</t>
  </si>
  <si>
    <t>=(32768/BASE_FLUX) * MTPVFlux_119</t>
  </si>
  <si>
    <t>=(32768/BASE_TORQ) * MTPVTorque_119</t>
  </si>
  <si>
    <t>=(32768/BASE_ANGLE) * MTPVAngle_119</t>
  </si>
  <si>
    <t>=(32768/BASE_FLUX) * MTPVFlux_120</t>
  </si>
  <si>
    <t>=(32768/BASE_TORQ) * MTPVTorque_120</t>
  </si>
  <si>
    <t>=(32768/BASE_ANGLE) * MTPVAngle_120</t>
  </si>
  <si>
    <t>=(32768/BASE_FLUX) * MTPVFlux_121</t>
  </si>
  <si>
    <t>=(32768/BASE_TORQ) * MTPVTorque_121</t>
  </si>
  <si>
    <t>=(32768/BASE_ANGLE) * MTPVAngle_121</t>
  </si>
  <si>
    <t>=(32768/BASE_FLUX) * MTPVFlux_122</t>
  </si>
  <si>
    <t>=(32768/BASE_TORQ) * MTPVTorque_122</t>
  </si>
  <si>
    <t>=(32768/BASE_ANGLE) * MTPVAngle_122</t>
  </si>
  <si>
    <t>=(32768/BASE_FLUX) * MTPVFlux_123</t>
  </si>
  <si>
    <t>=(32768/BASE_TORQ) * MTPVTorque_123</t>
  </si>
  <si>
    <t>=(32768/BASE_ANGLE) * MTPVAngle_123</t>
  </si>
  <si>
    <t>=(32768/BASE_FLUX) * MTPVFlux_124</t>
  </si>
  <si>
    <t>=(32768/BASE_TORQ) * MTPVTorque_124</t>
  </si>
  <si>
    <t>=(32768/BASE_ANGLE) * MTPVAngle_124</t>
  </si>
  <si>
    <t>=(32768/BASE_FLUX) * MTPVFlux_125</t>
  </si>
  <si>
    <t>=(32768/BASE_TORQ) * MTPVTorque_125</t>
  </si>
  <si>
    <t>=(32768/BASE_ANGLE) * MTPVAngle_125</t>
  </si>
  <si>
    <t>=(32768/BASE_FLUX) * MTPVFlux_126</t>
  </si>
  <si>
    <t>=(32768/BASE_TORQ) * MTPVTorque_126</t>
  </si>
  <si>
    <t>=(32768/BASE_ANGLE) * MTPVAngle_126</t>
  </si>
  <si>
    <t>=(32768/BASE_FLUX) * MTPVFlux_127</t>
  </si>
  <si>
    <t>=(32768/BASE_TORQ) * MTPVTorque_127</t>
  </si>
  <si>
    <t>=(32768/BASE_ANGLE) * MTPVAngle_127</t>
  </si>
  <si>
    <t>=(32768/BASE_FLUX) * MTPVFlux_128</t>
  </si>
  <si>
    <t>=(32768/BASE_TORQ) * MTPVTorque_128</t>
  </si>
  <si>
    <t>=(32768/BASE_ANGLE) * MTPVAngle_128</t>
  </si>
  <si>
    <t>=(32768/BASE_FLUX) * MTPVFlux_129</t>
  </si>
  <si>
    <t>=(32768/BASE_TORQ) * MTPVTorque_129</t>
  </si>
  <si>
    <t>=(32768/BASE_ANGLE) * MTPVAngle_129</t>
  </si>
  <si>
    <t>=(32768/BASE_FLUX) * MTPVFlux_130</t>
  </si>
  <si>
    <t>=(32768/BASE_TORQ) * MTPVTorque_130</t>
  </si>
  <si>
    <t>=(32768/BASE_ANGLE) * MTPVAngle_130</t>
  </si>
  <si>
    <t>=(32768/BASE_FLUX) * MTPVFlux_131</t>
  </si>
  <si>
    <t>=(32768/BASE_TORQ) * MTPVTorque_131</t>
  </si>
  <si>
    <t>=(32768/BASE_ANGLE) * MTPVAngle_131</t>
  </si>
  <si>
    <t>=(32768/BASE_FLUX) * MTPVFlux_132</t>
  </si>
  <si>
    <t>=(32768/BASE_TORQ) * MTPVTorque_132</t>
  </si>
  <si>
    <t>=(32768/BASE_ANGLE) * MTPVAngle_132</t>
  </si>
  <si>
    <t>=(32768/BASE_FLUX) * MTPVFlux_133</t>
  </si>
  <si>
    <t>=(32768/BASE_TORQ) * MTPVTorque_133</t>
  </si>
  <si>
    <t>=(32768/BASE_ANGLE) * MTPVAngle_133</t>
  </si>
  <si>
    <t>=(32768/BASE_FLUX) * MTPVFlux_134</t>
  </si>
  <si>
    <t>=(32768/BASE_TORQ) * MTPVTorque_134</t>
  </si>
  <si>
    <t>=(32768/BASE_ANGLE) * MTPVAngle_134</t>
  </si>
  <si>
    <t>=(32768/BASE_FLUX) * MTPVFlux_135</t>
  </si>
  <si>
    <t>=(32768/BASE_TORQ) * MTPVTorque_135</t>
  </si>
  <si>
    <t>=(32768/BASE_ANGLE) * MTPVAngle_135</t>
  </si>
  <si>
    <t>=(32768/BASE_FLUX) * MTPVFlux_136</t>
  </si>
  <si>
    <t>=(32768/BASE_TORQ) * MTPVTorque_136</t>
  </si>
  <si>
    <t>=(32768/BASE_ANGLE) * MTPVAngle_136</t>
  </si>
  <si>
    <t>=(32768/BASE_FLUX) * MTPVFlux_137</t>
  </si>
  <si>
    <t>=(32768/BASE_TORQ) * MTPVTorque_137</t>
  </si>
  <si>
    <t>=(32768/BASE_ANGLE) * MTPVAngle_137</t>
  </si>
  <si>
    <t>=(32768/BASE_FLUX) * MTPVFlux_138</t>
  </si>
  <si>
    <t>=(32768/BASE_TORQ) * MTPVTorque_138</t>
  </si>
  <si>
    <t>=(32768/BASE_ANGLE) * MTPVAngle_138</t>
  </si>
  <si>
    <t>=(32768/BASE_FLUX) * MTPVFlux_139</t>
  </si>
  <si>
    <t>=(32768/BASE_TORQ) * MTPVTorque_139</t>
  </si>
  <si>
    <t>=(32768/BASE_ANGLE) * MTPVAngle_139</t>
  </si>
  <si>
    <t>=(32768/BASE_FLUX) * MTPVFlux_140</t>
  </si>
  <si>
    <t>=(32768/BASE_TORQ) * MTPVTorque_140</t>
  </si>
  <si>
    <t>=(32768/BASE_ANGLE) * MTPVAngle_140</t>
  </si>
  <si>
    <t>=(32768/BASE_FLUX) * MTPVFlux_141</t>
  </si>
  <si>
    <t>=(32768/BASE_TORQ) * MTPVTorque_141</t>
  </si>
  <si>
    <t>=(32768/BASE_ANGLE) * MTPVAngle_141</t>
  </si>
  <si>
    <t>=(32768/BASE_FLUX) * MTPVFlux_142</t>
  </si>
  <si>
    <t>=(32768/BASE_TORQ) * MTPVTorque_142</t>
  </si>
  <si>
    <t>=(32768/BASE_ANGLE) * MTPVAngle_142</t>
  </si>
  <si>
    <t>=(32768/BASE_FLUX) * MTPVFlux_143</t>
  </si>
  <si>
    <t>=(32768/BASE_TORQ) * MTPVTorque_143</t>
  </si>
  <si>
    <t>=(32768/BASE_ANGLE) * MTPVAngle_143</t>
  </si>
  <si>
    <t>=(32768/BASE_FLUX) * MTPVFlux_144</t>
  </si>
  <si>
    <t>=(32768/BASE_TORQ) * MTPVTorque_144</t>
  </si>
  <si>
    <t>=(32768/BASE_ANGLE) * MTPVAngle_144</t>
  </si>
  <si>
    <t>=(32768/BASE_FLUX) * MTPVFlux_145</t>
  </si>
  <si>
    <t>=(32768/BASE_TORQ) * MTPVTorque_145</t>
  </si>
  <si>
    <t>=(32768/BASE_ANGLE) * MTPVAngle_145</t>
  </si>
  <si>
    <t>=(32768/BASE_FLUX) * MTPVFlux_146</t>
  </si>
  <si>
    <t>=(32768/BASE_TORQ) * MTPVTorque_146</t>
  </si>
  <si>
    <t>=(32768/BASE_ANGLE) * MTPVAngle_146</t>
  </si>
  <si>
    <t>=(32768/BASE_FLUX) * MTPVFlux_147</t>
  </si>
  <si>
    <t>=(32768/BASE_TORQ) * MTPVTorque_147</t>
  </si>
  <si>
    <t>=(32768/BASE_ANGLE) * MTPVAngle_147</t>
  </si>
  <si>
    <t>=(32768/BASE_FLUX) * MTPVFlux_148</t>
  </si>
  <si>
    <t>=(32768/BASE_TORQ) * MTPVTorque_148</t>
  </si>
  <si>
    <t>=(32768/BASE_ANGLE) * MTPVAngle_148</t>
  </si>
  <si>
    <t>=(32768/BASE_FLUX) * MTPVFlux_149</t>
  </si>
  <si>
    <t>=(32768/BASE_TORQ) * MTPVTorque_149</t>
  </si>
  <si>
    <t>=(32768/BASE_ANGLE) * MTPVAngle_149</t>
  </si>
  <si>
    <t>=(32768/BASE_FLUX) * MTPVFlux_150</t>
  </si>
  <si>
    <t>=(32768/BASE_TORQ) * MTPVTorque_150</t>
  </si>
  <si>
    <t>=(32768/BASE_ANGLE) * MTPVAngle_150</t>
  </si>
  <si>
    <t>=(32768/BASE_FLUX) * MTPVFlux_151</t>
  </si>
  <si>
    <t>=(32768/BASE_TORQ) * MTPVTorque_151</t>
  </si>
  <si>
    <t>=(32768/BASE_ANGLE) * MTPVAngle_151</t>
  </si>
  <si>
    <t>=(32768/BASE_FLUX) * MTPVFlux_152</t>
  </si>
  <si>
    <t>=(32768/BASE_TORQ) * MTPVTorque_152</t>
  </si>
  <si>
    <t>=(32768/BASE_ANGLE) * MTPVAngle_152</t>
  </si>
  <si>
    <t>=(32768/BASE_FLUX) * MTPVFlux_153</t>
  </si>
  <si>
    <t>=(32768/BASE_TORQ) * MTPVTorque_153</t>
  </si>
  <si>
    <t>=(32768/BASE_ANGLE) * MTPVAngle_153</t>
  </si>
  <si>
    <t>=(32768/BASE_FLUX) * MTPVFlux_154</t>
  </si>
  <si>
    <t>=(32768/BASE_TORQ) * MTPVTorque_154</t>
  </si>
  <si>
    <t>=(32768/BASE_ANGLE) * MTPVAngle_154</t>
  </si>
  <si>
    <t>=(32768/BASE_FLUX) * MTPVFlux_155</t>
  </si>
  <si>
    <t>=(32768/BASE_TORQ) * MTPVTorque_155</t>
  </si>
  <si>
    <t>=(32768/BASE_ANGLE) * MTPVAngle_155</t>
  </si>
  <si>
    <t>=(32768/BASE_FLUX) * MTPVFlux_156</t>
  </si>
  <si>
    <t>=(32768/BASE_TORQ) * MTPVTorque_156</t>
  </si>
  <si>
    <t>=(32768/BASE_ANGLE) * MTPVAngle_156</t>
  </si>
  <si>
    <t>=(32768/BASE_FLUX) * MTPVFlux_157</t>
  </si>
  <si>
    <t>=(32768/BASE_TORQ) * MTPVTorque_157</t>
  </si>
  <si>
    <t>=(32768/BASE_ANGLE) * MTPVAngle_157</t>
  </si>
  <si>
    <t>=(32768/BASE_FLUX) * MTPVFlux_158</t>
  </si>
  <si>
    <t>=(32768/BASE_TORQ) * MTPVTorque_158</t>
  </si>
  <si>
    <t>=(32768/BASE_ANGLE) * MTPVAngle_158</t>
  </si>
  <si>
    <t>=(32768/BASE_FLUX) * MTPVFlux_159</t>
  </si>
  <si>
    <t>=(32768/BASE_TORQ) * MTPVTorque_159</t>
  </si>
  <si>
    <t>=(32768/BASE_ANGLE) * MTPVAngle_159</t>
  </si>
  <si>
    <t>=(32768/BASE_FLUX) * MTPVFlux_160</t>
  </si>
  <si>
    <t>=(32768/BASE_TORQ) * MTPVTorque_160</t>
  </si>
  <si>
    <t>=(32768/BASE_ANGLE) * MTPVAngle_160</t>
  </si>
  <si>
    <t>Angle base</t>
  </si>
  <si>
    <t>=BASE_ANGLE</t>
  </si>
  <si>
    <t>Inductance base</t>
  </si>
  <si>
    <t>=BASE_IND</t>
  </si>
  <si>
    <t>Maximum peak phase current [high speed]</t>
  </si>
  <si>
    <t>High Speed threshold</t>
  </si>
  <si>
    <t>High_Speed_Thr_Max_Current</t>
  </si>
  <si>
    <t>=(((MAX_PHASE_CURRENT_HIGH_SPEED*MAX_PHASE_CURRENT_HIGH_SPEED  * 32768* 32768)/(BASE_CURRENT * BASE_CURRENT)))</t>
  </si>
  <si>
    <t>=((SPEED_THRESHOLD_MAX_PHASE_CURRENT * (32768/BASE_SPEED_RPM)))</t>
  </si>
  <si>
    <t xml:space="preserve">Max_Squared_Inv_Current_High_Speed </t>
  </si>
  <si>
    <t>Max Current for detecting locked rotor</t>
  </si>
  <si>
    <t>Time threshold for locked rotor at startup or in running</t>
  </si>
  <si>
    <t>=BASE_CURRENT/ (current[1]-current[0])</t>
  </si>
  <si>
    <t>step_inv_pwm_comp</t>
  </si>
  <si>
    <t>step_inv_mtpa</t>
  </si>
  <si>
    <t>=BASE_TORQUE/ (torque[1]-torque[0])</t>
  </si>
  <si>
    <t>step_inv_mtpv</t>
  </si>
  <si>
    <t>=BASE_FLUX/ (flux[1]-flux[0])</t>
  </si>
  <si>
    <t>=((ALGO_RUNNING_LOCKED_ROTOR_CURRENT_THRESHOLD*ALGO_RUNNING_LOCKED_ROTOR_CURRENT_THRESHOLD*32768*32768)/(BASE_CURRENT*BASE_CURRENT))*(3/2)</t>
  </si>
  <si>
    <t>sizeof_lut</t>
  </si>
  <si>
    <t>Lut size - 1</t>
  </si>
  <si>
    <t>sizeof_Ld_Lq_Lut</t>
  </si>
  <si>
    <t>Lut size -1</t>
  </si>
  <si>
    <t>sizeof_mtpv</t>
  </si>
  <si>
    <t>mtpv size -1</t>
  </si>
  <si>
    <t>Max Modulation Index(REF)</t>
  </si>
  <si>
    <t>m_index</t>
  </si>
  <si>
    <t>=(M_INDEX_REF/100 * 32768)</t>
  </si>
  <si>
    <t>=(M_INDEX_CTRL/100 * 32768)</t>
  </si>
  <si>
    <t>Max Modulation Index (CTRL)</t>
  </si>
  <si>
    <t>K (torque error compensation)</t>
  </si>
  <si>
    <t>Torque error compensation saturation</t>
  </si>
  <si>
    <t>1/Nm</t>
  </si>
  <si>
    <t>K_Torque_Err</t>
  </si>
  <si>
    <t>Torque_Error_Sat</t>
  </si>
  <si>
    <t>=(TORQUE_ERROR_SAT * 32768)</t>
  </si>
  <si>
    <t>=(K_TORQUE_ERROR * BASE_TORQ * 32768)</t>
  </si>
</sst>
</file>

<file path=xl/styles.xml><?xml version="1.0" encoding="utf-8"?>
<styleSheet xmlns="http://schemas.openxmlformats.org/spreadsheetml/2006/main">
  <numFmts count="13">
    <numFmt numFmtId="164" formatCode="0.0"/>
    <numFmt numFmtId="165" formatCode="0.000"/>
    <numFmt numFmtId="166" formatCode="0.0000000000"/>
    <numFmt numFmtId="167" formatCode="0.000000000000000000"/>
    <numFmt numFmtId="168" formatCode="0.0000000000000000000"/>
    <numFmt numFmtId="169" formatCode="0.0000000000000000000000000"/>
    <numFmt numFmtId="170" formatCode="0.00000"/>
    <numFmt numFmtId="171" formatCode="0.000000000"/>
    <numFmt numFmtId="172" formatCode="0.00000000000"/>
    <numFmt numFmtId="173" formatCode="0.000000000000000"/>
    <numFmt numFmtId="174" formatCode="0.000000"/>
    <numFmt numFmtId="175" formatCode="0.0000000"/>
    <numFmt numFmtId="176" formatCode="0.0000"/>
  </numFmts>
  <fonts count="3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3"/>
      <name val="Calibri"/>
      <family val="2"/>
    </font>
    <font>
      <b/>
      <i/>
      <sz val="11"/>
      <name val="Calibri"/>
      <family val="2"/>
    </font>
    <font>
      <i/>
      <sz val="11"/>
      <name val="Calibri"/>
      <family val="2"/>
    </font>
    <font>
      <i/>
      <sz val="11"/>
      <color rgb="FF000000"/>
      <name val="Calibri"/>
      <family val="2"/>
    </font>
    <font>
      <b/>
      <i/>
      <sz val="11"/>
      <color rgb="FF00B050"/>
      <name val="Calibri"/>
      <family val="2"/>
    </font>
    <font>
      <b/>
      <i/>
      <sz val="18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i/>
      <sz val="1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20"/>
      <color rgb="FFFF0000"/>
      <name val="Calibri"/>
      <family val="2"/>
      <scheme val="minor"/>
    </font>
    <font>
      <sz val="15"/>
      <color theme="1"/>
      <name val="Calibri"/>
      <family val="2"/>
      <scheme val="minor"/>
    </font>
    <font>
      <i/>
      <sz val="15"/>
      <color rgb="FFFF0000"/>
      <name val="Calibri"/>
      <family val="2"/>
      <scheme val="minor"/>
    </font>
    <font>
      <i/>
      <sz val="15"/>
      <name val="Calibri"/>
      <family val="2"/>
      <scheme val="minor"/>
    </font>
    <font>
      <i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5"/>
      <color rgb="FF00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DBE5F1"/>
        <bgColor rgb="FF000000"/>
      </patternFill>
    </fill>
    <fill>
      <patternFill patternType="solid">
        <fgColor rgb="FFE4DFE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7" borderId="0" applyNumberFormat="0" applyBorder="0" applyAlignment="0" applyProtection="0"/>
    <xf numFmtId="0" fontId="25" fillId="8" borderId="0" applyNumberFormat="0" applyBorder="0" applyAlignment="0" applyProtection="0"/>
    <xf numFmtId="0" fontId="26" fillId="9" borderId="0" applyNumberFormat="0" applyBorder="0" applyAlignment="0" applyProtection="0"/>
    <xf numFmtId="0" fontId="27" fillId="10" borderId="8" applyNumberFormat="0" applyAlignment="0" applyProtection="0"/>
    <xf numFmtId="0" fontId="28" fillId="11" borderId="9" applyNumberFormat="0" applyAlignment="0" applyProtection="0"/>
    <xf numFmtId="0" fontId="29" fillId="11" borderId="8" applyNumberFormat="0" applyAlignment="0" applyProtection="0"/>
    <xf numFmtId="0" fontId="30" fillId="0" borderId="10" applyNumberFormat="0" applyFill="0" applyAlignment="0" applyProtection="0"/>
    <xf numFmtId="0" fontId="31" fillId="12" borderId="11" applyNumberFormat="0" applyAlignment="0" applyProtection="0"/>
    <xf numFmtId="0" fontId="32" fillId="0" borderId="0" applyNumberFormat="0" applyFill="0" applyBorder="0" applyAlignment="0" applyProtection="0"/>
    <xf numFmtId="0" fontId="19" fillId="13" borderId="12" applyNumberFormat="0" applyFont="0" applyAlignment="0" applyProtection="0"/>
    <xf numFmtId="0" fontId="33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34" fillId="14" borderId="0" applyNumberFormat="0" applyBorder="0" applyAlignment="0" applyProtection="0"/>
    <xf numFmtId="0" fontId="19" fillId="15" borderId="0" applyNumberFormat="0" applyBorder="0" applyAlignment="0" applyProtection="0"/>
    <xf numFmtId="0" fontId="19" fillId="16" borderId="0" applyNumberFormat="0" applyBorder="0" applyAlignment="0" applyProtection="0"/>
    <xf numFmtId="0" fontId="34" fillId="17" borderId="0" applyNumberFormat="0" applyBorder="0" applyAlignment="0" applyProtection="0"/>
    <xf numFmtId="0" fontId="34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2" borderId="0" applyNumberFormat="0" applyBorder="0" applyAlignment="0" applyProtection="0"/>
    <xf numFmtId="0" fontId="19" fillId="23" borderId="0" applyNumberFormat="0" applyBorder="0" applyAlignment="0" applyProtection="0"/>
    <xf numFmtId="0" fontId="19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19" fillId="27" borderId="0" applyNumberFormat="0" applyBorder="0" applyAlignment="0" applyProtection="0"/>
    <xf numFmtId="0" fontId="19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30" borderId="0" applyNumberFormat="0" applyBorder="0" applyAlignment="0" applyProtection="0"/>
    <xf numFmtId="0" fontId="19" fillId="31" borderId="0" applyNumberFormat="0" applyBorder="0" applyAlignment="0" applyProtection="0"/>
    <xf numFmtId="0" fontId="19" fillId="32" borderId="0" applyNumberFormat="0" applyBorder="0" applyAlignment="0" applyProtection="0"/>
    <xf numFmtId="0" fontId="34" fillId="33" borderId="0" applyNumberFormat="0" applyBorder="0" applyAlignment="0" applyProtection="0"/>
    <xf numFmtId="0" fontId="34" fillId="34" borderId="0" applyNumberFormat="0" applyBorder="0" applyAlignment="0" applyProtection="0"/>
    <xf numFmtId="0" fontId="19" fillId="35" borderId="0" applyNumberFormat="0" applyBorder="0" applyAlignment="0" applyProtection="0"/>
    <xf numFmtId="0" fontId="19" fillId="36" borderId="0" applyNumberFormat="0" applyBorder="0" applyAlignment="0" applyProtection="0"/>
    <xf numFmtId="0" fontId="34" fillId="37" borderId="0" applyNumberFormat="0" applyBorder="0" applyAlignment="0" applyProtection="0"/>
  </cellStyleXfs>
  <cellXfs count="116">
    <xf numFmtId="0" fontId="0" fillId="0" borderId="0" xfId="0"/>
    <xf numFmtId="0" fontId="1" fillId="0" borderId="0" xfId="0" applyFont="1"/>
    <xf numFmtId="0" fontId="0" fillId="0" borderId="0" xfId="0" quotePrefix="1"/>
    <xf numFmtId="0" fontId="3" fillId="3" borderId="1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applyFill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9" fillId="0" borderId="0" xfId="0" applyFont="1" applyFill="1" applyAlignment="1">
      <alignment horizontal="center" vertical="center" wrapText="1"/>
    </xf>
    <xf numFmtId="0" fontId="7" fillId="0" borderId="0" xfId="0" applyFont="1" applyFill="1" applyAlignment="1">
      <alignment horizontal="center" vertical="center" wrapText="1"/>
    </xf>
    <xf numFmtId="0" fontId="0" fillId="0" borderId="0" xfId="0" quotePrefix="1" applyAlignment="1"/>
    <xf numFmtId="165" fontId="6" fillId="0" borderId="1" xfId="0" applyNumberFormat="1" applyFont="1" applyFill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4" fillId="0" borderId="0" xfId="0" applyFont="1" applyFill="1"/>
    <xf numFmtId="0" fontId="15" fillId="0" borderId="0" xfId="0" applyFont="1" applyFill="1" applyAlignment="1">
      <alignment horizontal="center" vertical="center" wrapText="1"/>
    </xf>
    <xf numFmtId="0" fontId="14" fillId="0" borderId="0" xfId="0" applyFont="1" applyFill="1" applyAlignment="1">
      <alignment wrapText="1"/>
    </xf>
    <xf numFmtId="0" fontId="16" fillId="0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1" fontId="6" fillId="0" borderId="1" xfId="0" applyNumberFormat="1" applyFont="1" applyFill="1" applyBorder="1" applyAlignment="1">
      <alignment horizontal="center"/>
    </xf>
    <xf numFmtId="167" fontId="6" fillId="0" borderId="1" xfId="0" applyNumberFormat="1" applyFont="1" applyFill="1" applyBorder="1" applyAlignment="1">
      <alignment horizontal="center"/>
    </xf>
    <xf numFmtId="169" fontId="0" fillId="0" borderId="0" xfId="0" applyNumberFormat="1"/>
    <xf numFmtId="168" fontId="6" fillId="0" borderId="1" xfId="0" applyNumberFormat="1" applyFont="1" applyFill="1" applyBorder="1" applyAlignment="1">
      <alignment horizontal="center"/>
    </xf>
    <xf numFmtId="166" fontId="6" fillId="4" borderId="1" xfId="0" applyNumberFormat="1" applyFont="1" applyFill="1" applyBorder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/>
    </xf>
    <xf numFmtId="171" fontId="6" fillId="4" borderId="1" xfId="0" applyNumberFormat="1" applyFont="1" applyFill="1" applyBorder="1" applyAlignment="1">
      <alignment horizontal="center"/>
    </xf>
    <xf numFmtId="172" fontId="6" fillId="4" borderId="1" xfId="0" applyNumberFormat="1" applyFont="1" applyFill="1" applyBorder="1" applyAlignment="1">
      <alignment horizontal="center"/>
    </xf>
    <xf numFmtId="173" fontId="6" fillId="4" borderId="1" xfId="0" applyNumberFormat="1" applyFont="1" applyFill="1" applyBorder="1" applyAlignment="1">
      <alignment horizontal="center"/>
    </xf>
    <xf numFmtId="170" fontId="6" fillId="4" borderId="1" xfId="0" applyNumberFormat="1" applyFont="1" applyFill="1" applyBorder="1" applyAlignment="1">
      <alignment horizontal="center" vertical="center"/>
    </xf>
    <xf numFmtId="174" fontId="6" fillId="4" borderId="1" xfId="0" applyNumberFormat="1" applyFont="1" applyFill="1" applyBorder="1" applyAlignment="1">
      <alignment horizontal="center"/>
    </xf>
    <xf numFmtId="0" fontId="7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 wrapText="1"/>
    </xf>
    <xf numFmtId="0" fontId="0" fillId="0" borderId="0" xfId="0" applyAlignment="1">
      <alignment horizontal="right"/>
    </xf>
    <xf numFmtId="175" fontId="0" fillId="0" borderId="0" xfId="0" applyNumberFormat="1" applyAlignment="1">
      <alignment wrapText="1"/>
    </xf>
    <xf numFmtId="0" fontId="17" fillId="5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18" fillId="6" borderId="0" xfId="0" applyFont="1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/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quotePrefix="1"/>
    <xf numFmtId="165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167" fontId="6" fillId="4" borderId="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 applyFill="1"/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165" fontId="6" fillId="0" borderId="1" xfId="0" applyNumberFormat="1" applyFont="1" applyFill="1" applyBorder="1" applyAlignment="1">
      <alignment horizontal="center"/>
    </xf>
    <xf numFmtId="0" fontId="0" fillId="0" borderId="0" xfId="0" applyFont="1"/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174" fontId="6" fillId="0" borderId="1" xfId="0" applyNumberFormat="1" applyFont="1" applyFill="1" applyBorder="1" applyAlignment="1">
      <alignment horizontal="center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/>
    <xf numFmtId="0" fontId="3" fillId="3" borderId="1" xfId="0" applyFont="1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Fill="1"/>
    <xf numFmtId="0" fontId="8" fillId="5" borderId="0" xfId="0" applyFont="1" applyFill="1" applyAlignment="1">
      <alignment vertical="center"/>
    </xf>
    <xf numFmtId="0" fontId="0" fillId="0" borderId="0" xfId="0" applyFill="1" applyAlignment="1">
      <alignment horizontal="center"/>
    </xf>
    <xf numFmtId="0" fontId="17" fillId="5" borderId="0" xfId="0" applyFont="1" applyFill="1" applyAlignment="1">
      <alignment horizontal="left" vertical="center"/>
    </xf>
    <xf numFmtId="0" fontId="0" fillId="0" borderId="0" xfId="0"/>
    <xf numFmtId="0" fontId="0" fillId="0" borderId="0" xfId="0" applyFont="1"/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/>
    </xf>
    <xf numFmtId="0" fontId="0" fillId="0" borderId="0" xfId="0"/>
    <xf numFmtId="0" fontId="0" fillId="0" borderId="0" xfId="0" quotePrefix="1"/>
    <xf numFmtId="0" fontId="4" fillId="0" borderId="2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1" fontId="6" fillId="4" borderId="1" xfId="0" applyNumberFormat="1" applyFont="1" applyFill="1" applyBorder="1" applyAlignment="1">
      <alignment horizontal="center"/>
    </xf>
    <xf numFmtId="164" fontId="6" fillId="4" borderId="1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Alignment="1">
      <alignment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5" fillId="38" borderId="1" xfId="0" applyFont="1" applyFill="1" applyBorder="1" applyAlignment="1">
      <alignment horizontal="center"/>
    </xf>
    <xf numFmtId="0" fontId="0" fillId="38" borderId="0" xfId="0" quotePrefix="1" applyFill="1"/>
    <xf numFmtId="0" fontId="0" fillId="38" borderId="0" xfId="0" applyFill="1" applyAlignment="1">
      <alignment wrapText="1"/>
    </xf>
    <xf numFmtId="165" fontId="6" fillId="39" borderId="1" xfId="0" applyNumberFormat="1" applyFont="1" applyFill="1" applyBorder="1" applyAlignment="1">
      <alignment horizontal="center"/>
    </xf>
    <xf numFmtId="0" fontId="0" fillId="0" borderId="0" xfId="0"/>
    <xf numFmtId="0" fontId="0" fillId="38" borderId="0" xfId="0" applyFill="1"/>
    <xf numFmtId="0" fontId="35" fillId="0" borderId="1" xfId="0" applyFont="1" applyBorder="1" applyAlignment="1">
      <alignment horizontal="center"/>
    </xf>
    <xf numFmtId="176" fontId="6" fillId="4" borderId="1" xfId="0" applyNumberFormat="1" applyFont="1" applyFill="1" applyBorder="1" applyAlignment="1">
      <alignment horizontal="center"/>
    </xf>
    <xf numFmtId="2" fontId="6" fillId="4" borderId="1" xfId="0" applyNumberFormat="1" applyFont="1" applyFill="1" applyBorder="1" applyAlignment="1">
      <alignment horizontal="center"/>
    </xf>
    <xf numFmtId="0" fontId="0" fillId="0" borderId="0" xfId="0" applyFill="1" applyBorder="1"/>
    <xf numFmtId="167" fontId="0" fillId="0" borderId="0" xfId="0" applyNumberFormat="1" applyFill="1" applyBorder="1"/>
    <xf numFmtId="167" fontId="6" fillId="0" borderId="0" xfId="0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3" fillId="5" borderId="0" xfId="0" applyFont="1" applyFill="1" applyAlignment="1">
      <alignment horizontal="center" vertical="center" wrapText="1"/>
    </xf>
    <xf numFmtId="0" fontId="15" fillId="0" borderId="0" xfId="0" applyFont="1" applyFill="1" applyAlignment="1">
      <alignment horizontal="right"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9" defaultPivotStyle="PivotStyleLight16"/>
  <colors>
    <mruColors>
      <color rgb="FFFFD246"/>
      <color rgb="FFFFD3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C11"/>
  <sheetViews>
    <sheetView workbookViewId="0">
      <selection activeCell="D26" sqref="D26"/>
    </sheetView>
  </sheetViews>
  <sheetFormatPr defaultRowHeight="15"/>
  <sheetData>
    <row r="3" spans="3:3">
      <c r="C3" s="1" t="s">
        <v>5</v>
      </c>
    </row>
    <row r="5" spans="3:3">
      <c r="C5" t="s">
        <v>8</v>
      </c>
    </row>
    <row r="6" spans="3:3">
      <c r="C6" s="17" t="s">
        <v>6</v>
      </c>
    </row>
    <row r="7" spans="3:3">
      <c r="C7" s="2" t="s">
        <v>7</v>
      </c>
    </row>
    <row r="8" spans="3:3">
      <c r="C8" s="2" t="s">
        <v>9</v>
      </c>
    </row>
    <row r="11" spans="3:3">
      <c r="C11" s="19" t="s">
        <v>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C3:C8"/>
  <sheetViews>
    <sheetView workbookViewId="0">
      <selection activeCell="C27" sqref="C27"/>
    </sheetView>
  </sheetViews>
  <sheetFormatPr defaultRowHeight="15"/>
  <sheetData>
    <row r="3" spans="3:3">
      <c r="C3" t="s">
        <v>12</v>
      </c>
    </row>
    <row r="5" spans="3:3">
      <c r="C5" s="1" t="s">
        <v>11</v>
      </c>
    </row>
    <row r="6" spans="3:3">
      <c r="C6" t="s">
        <v>13</v>
      </c>
    </row>
    <row r="7" spans="3:3">
      <c r="C7" t="s">
        <v>14</v>
      </c>
    </row>
    <row r="8" spans="3:3">
      <c r="C8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M1073"/>
  <sheetViews>
    <sheetView topLeftCell="A565" zoomScaleNormal="100" workbookViewId="0">
      <selection activeCell="C588" sqref="C587:C588"/>
    </sheetView>
  </sheetViews>
  <sheetFormatPr defaultRowHeight="15"/>
  <cols>
    <col min="1" max="1" width="59.7109375" customWidth="1"/>
    <col min="2" max="2" width="15.5703125" bestFit="1" customWidth="1"/>
    <col min="3" max="3" width="24.7109375" customWidth="1"/>
    <col min="4" max="4" width="15" bestFit="1" customWidth="1"/>
    <col min="5" max="5" width="16.140625" bestFit="1" customWidth="1"/>
    <col min="6" max="6" width="14" bestFit="1" customWidth="1"/>
    <col min="7" max="7" width="20.85546875" customWidth="1"/>
    <col min="8" max="8" width="26.5703125" customWidth="1"/>
    <col min="9" max="9" width="28" customWidth="1"/>
    <col min="13" max="13" width="22.28515625" bestFit="1" customWidth="1"/>
  </cols>
  <sheetData>
    <row r="1" spans="1:7" ht="17.25">
      <c r="A1" s="111" t="s">
        <v>209</v>
      </c>
      <c r="B1" s="111"/>
      <c r="C1" s="111"/>
      <c r="D1" s="111"/>
      <c r="E1" s="111"/>
      <c r="F1" s="111"/>
      <c r="G1" t="s">
        <v>1096</v>
      </c>
    </row>
    <row r="2" spans="1:7">
      <c r="A2" s="3" t="s">
        <v>0</v>
      </c>
      <c r="B2" s="3" t="s">
        <v>1</v>
      </c>
      <c r="C2" s="3" t="s">
        <v>2</v>
      </c>
      <c r="D2" s="3" t="s">
        <v>4</v>
      </c>
      <c r="E2" s="3" t="s">
        <v>3</v>
      </c>
      <c r="F2" s="3" t="s">
        <v>21</v>
      </c>
      <c r="G2" t="s">
        <v>1097</v>
      </c>
    </row>
    <row r="3" spans="1:7">
      <c r="A3" s="4" t="s">
        <v>20</v>
      </c>
      <c r="B3" s="5" t="s">
        <v>19</v>
      </c>
      <c r="C3" s="53">
        <v>99.998000000000005</v>
      </c>
      <c r="D3" s="5"/>
      <c r="E3" s="5">
        <v>99.9</v>
      </c>
      <c r="F3" s="5">
        <v>1E-4</v>
      </c>
      <c r="G3" t="s">
        <v>1097</v>
      </c>
    </row>
    <row r="4" spans="1:7">
      <c r="A4" s="5" t="s">
        <v>195</v>
      </c>
      <c r="B4" s="5" t="s">
        <v>197</v>
      </c>
      <c r="C4" s="7">
        <v>8000</v>
      </c>
      <c r="D4" s="5"/>
      <c r="E4" s="5"/>
      <c r="F4" s="5">
        <v>1E-4</v>
      </c>
      <c r="G4" t="s">
        <v>1097</v>
      </c>
    </row>
    <row r="5" spans="1:7">
      <c r="A5" s="5"/>
      <c r="B5" s="5"/>
      <c r="C5" s="8"/>
      <c r="D5" s="5"/>
      <c r="E5" s="5"/>
      <c r="F5" s="5"/>
      <c r="G5" t="s">
        <v>1097</v>
      </c>
    </row>
    <row r="6" spans="1:7" ht="17.25">
      <c r="A6" s="111" t="s">
        <v>210</v>
      </c>
      <c r="B6" s="111"/>
      <c r="C6" s="111"/>
      <c r="D6" s="111"/>
      <c r="E6" s="111"/>
      <c r="F6" s="111"/>
      <c r="G6" t="s">
        <v>1097</v>
      </c>
    </row>
    <row r="7" spans="1:7">
      <c r="A7" s="3" t="s">
        <v>0</v>
      </c>
      <c r="B7" s="3" t="s">
        <v>1</v>
      </c>
      <c r="C7" s="3" t="s">
        <v>2</v>
      </c>
      <c r="D7" s="3" t="s">
        <v>4</v>
      </c>
      <c r="E7" s="3" t="s">
        <v>3</v>
      </c>
      <c r="F7" s="3" t="s">
        <v>21</v>
      </c>
      <c r="G7" t="s">
        <v>1097</v>
      </c>
    </row>
    <row r="8" spans="1:7">
      <c r="A8" s="5" t="s">
        <v>208</v>
      </c>
      <c r="B8" s="5" t="s">
        <v>198</v>
      </c>
      <c r="C8" s="67">
        <v>3</v>
      </c>
      <c r="D8" s="5"/>
      <c r="E8" s="5"/>
      <c r="F8" s="5"/>
      <c r="G8" t="s">
        <v>1097</v>
      </c>
    </row>
    <row r="9" spans="1:7">
      <c r="A9" s="5" t="s">
        <v>213</v>
      </c>
      <c r="B9" s="5" t="s">
        <v>201</v>
      </c>
      <c r="C9" s="18">
        <v>7.2300000000000003E-2</v>
      </c>
      <c r="D9" s="5"/>
      <c r="E9" s="5"/>
      <c r="F9" s="5"/>
      <c r="G9" t="s">
        <v>1097</v>
      </c>
    </row>
    <row r="10" spans="1:7">
      <c r="A10" s="91" t="s">
        <v>214</v>
      </c>
      <c r="B10" s="5" t="s">
        <v>215</v>
      </c>
      <c r="C10" s="18">
        <v>4</v>
      </c>
      <c r="D10" s="5"/>
      <c r="E10" s="5"/>
      <c r="F10" s="5"/>
      <c r="G10" t="s">
        <v>1097</v>
      </c>
    </row>
    <row r="11" spans="1:7">
      <c r="A11" s="5" t="s">
        <v>233</v>
      </c>
      <c r="B11" s="5" t="s">
        <v>232</v>
      </c>
      <c r="C11" s="67">
        <v>21.5</v>
      </c>
      <c r="D11" s="5"/>
      <c r="E11" s="5"/>
      <c r="F11" s="5"/>
      <c r="G11" t="s">
        <v>1097</v>
      </c>
    </row>
    <row r="12" spans="1:7">
      <c r="A12" s="5" t="s">
        <v>234</v>
      </c>
      <c r="B12" s="5" t="s">
        <v>232</v>
      </c>
      <c r="C12" s="67">
        <v>25.5</v>
      </c>
      <c r="D12" s="5"/>
      <c r="E12" s="5"/>
      <c r="F12" s="5"/>
      <c r="G12" t="s">
        <v>1097</v>
      </c>
    </row>
    <row r="13" spans="1:7">
      <c r="A13" s="5" t="s">
        <v>241</v>
      </c>
      <c r="B13" s="5" t="s">
        <v>232</v>
      </c>
      <c r="C13" s="67">
        <v>25.5</v>
      </c>
      <c r="D13" s="5"/>
      <c r="E13" s="5"/>
      <c r="F13" s="5"/>
      <c r="G13" t="s">
        <v>1097</v>
      </c>
    </row>
    <row r="14" spans="1:7">
      <c r="A14" s="5" t="s">
        <v>50</v>
      </c>
      <c r="B14" s="5" t="s">
        <v>69</v>
      </c>
      <c r="C14" s="28">
        <v>4</v>
      </c>
      <c r="D14" s="5">
        <v>2</v>
      </c>
      <c r="E14" s="5" t="s">
        <v>310</v>
      </c>
      <c r="F14" s="5">
        <v>1</v>
      </c>
      <c r="G14" t="s">
        <v>1097</v>
      </c>
    </row>
    <row r="15" spans="1:7">
      <c r="A15" s="5"/>
      <c r="B15" s="5"/>
      <c r="C15" s="18"/>
      <c r="D15" s="5"/>
      <c r="E15" s="5"/>
      <c r="F15" s="5"/>
      <c r="G15" t="s">
        <v>1097</v>
      </c>
    </row>
    <row r="16" spans="1:7" ht="17.25">
      <c r="A16" s="111" t="s">
        <v>211</v>
      </c>
      <c r="B16" s="111"/>
      <c r="C16" s="111"/>
      <c r="D16" s="111"/>
      <c r="E16" s="111"/>
      <c r="F16" s="111"/>
      <c r="G16" t="s">
        <v>1097</v>
      </c>
    </row>
    <row r="17" spans="1:7">
      <c r="A17" s="3" t="s">
        <v>0</v>
      </c>
      <c r="B17" s="3" t="s">
        <v>1</v>
      </c>
      <c r="C17" s="3" t="s">
        <v>2</v>
      </c>
      <c r="D17" s="3" t="s">
        <v>4</v>
      </c>
      <c r="E17" s="3" t="s">
        <v>3</v>
      </c>
      <c r="F17" s="3" t="s">
        <v>21</v>
      </c>
      <c r="G17" t="s">
        <v>1097</v>
      </c>
    </row>
    <row r="18" spans="1:7">
      <c r="A18" s="5" t="s">
        <v>216</v>
      </c>
      <c r="B18" s="5" t="s">
        <v>218</v>
      </c>
      <c r="C18" s="18">
        <v>443.40499999999997</v>
      </c>
      <c r="D18" s="5"/>
      <c r="E18" s="5"/>
      <c r="F18" s="5"/>
      <c r="G18" t="s">
        <v>1097</v>
      </c>
    </row>
    <row r="19" spans="1:7">
      <c r="A19" s="5" t="s">
        <v>217</v>
      </c>
      <c r="B19" s="5" t="s">
        <v>199</v>
      </c>
      <c r="C19" s="18">
        <v>7</v>
      </c>
      <c r="D19" s="5"/>
      <c r="E19" s="5"/>
      <c r="F19" s="5"/>
      <c r="G19" t="s">
        <v>1097</v>
      </c>
    </row>
    <row r="20" spans="1:7" s="103" customFormat="1">
      <c r="A20" s="91" t="s">
        <v>3109</v>
      </c>
      <c r="B20" s="91" t="s">
        <v>199</v>
      </c>
      <c r="C20" s="67">
        <v>4.0999999999999996</v>
      </c>
      <c r="D20" s="91"/>
      <c r="E20" s="91"/>
      <c r="F20" s="91"/>
    </row>
    <row r="21" spans="1:7" s="103" customFormat="1">
      <c r="A21" s="91" t="s">
        <v>3110</v>
      </c>
      <c r="B21" s="91" t="s">
        <v>200</v>
      </c>
      <c r="C21" s="67">
        <v>6000</v>
      </c>
      <c r="D21" s="91"/>
      <c r="E21" s="91"/>
      <c r="F21" s="91"/>
    </row>
    <row r="22" spans="1:7" s="103" customFormat="1">
      <c r="A22" s="99" t="s">
        <v>1163</v>
      </c>
      <c r="B22" s="91" t="s">
        <v>218</v>
      </c>
      <c r="C22" s="67">
        <v>140</v>
      </c>
      <c r="D22" s="91"/>
      <c r="E22" s="91"/>
      <c r="F22" s="91"/>
    </row>
    <row r="23" spans="1:7">
      <c r="A23" s="5"/>
      <c r="B23" s="5"/>
      <c r="C23" s="18"/>
      <c r="D23" s="5"/>
      <c r="E23" s="5"/>
      <c r="F23" s="5"/>
      <c r="G23" t="s">
        <v>1097</v>
      </c>
    </row>
    <row r="24" spans="1:7" ht="17.25">
      <c r="A24" s="111" t="s">
        <v>212</v>
      </c>
      <c r="B24" s="111"/>
      <c r="C24" s="111"/>
      <c r="D24" s="111"/>
      <c r="E24" s="111"/>
      <c r="F24" s="111"/>
      <c r="G24" t="s">
        <v>1097</v>
      </c>
    </row>
    <row r="25" spans="1:7">
      <c r="A25" s="3" t="s">
        <v>0</v>
      </c>
      <c r="B25" s="3" t="s">
        <v>1</v>
      </c>
      <c r="C25" s="3" t="s">
        <v>2</v>
      </c>
      <c r="D25" s="3" t="s">
        <v>4</v>
      </c>
      <c r="E25" s="3" t="s">
        <v>3</v>
      </c>
      <c r="F25" s="3" t="s">
        <v>21</v>
      </c>
      <c r="G25" t="s">
        <v>1097</v>
      </c>
    </row>
    <row r="26" spans="1:7">
      <c r="A26" s="112" t="s">
        <v>235</v>
      </c>
      <c r="B26" s="112"/>
      <c r="C26" s="112"/>
      <c r="D26" s="112"/>
      <c r="E26" s="112"/>
      <c r="F26" s="113"/>
      <c r="G26" t="s">
        <v>1097</v>
      </c>
    </row>
    <row r="27" spans="1:7">
      <c r="A27" s="5" t="s">
        <v>220</v>
      </c>
      <c r="B27" s="5" t="s">
        <v>218</v>
      </c>
      <c r="C27" s="18">
        <f>256</f>
        <v>256</v>
      </c>
      <c r="D27" s="5"/>
      <c r="E27" s="5"/>
      <c r="F27" s="5"/>
      <c r="G27" t="s">
        <v>1097</v>
      </c>
    </row>
    <row r="28" spans="1:7">
      <c r="A28" s="5" t="s">
        <v>219</v>
      </c>
      <c r="B28" s="5" t="s">
        <v>218</v>
      </c>
      <c r="C28" s="18">
        <f>DC_BUS_MAX_VOLTAGE</f>
        <v>443.40499999999997</v>
      </c>
      <c r="D28" s="5"/>
      <c r="E28" s="5"/>
      <c r="F28" s="5"/>
      <c r="G28" t="s">
        <v>1097</v>
      </c>
    </row>
    <row r="29" spans="1:7">
      <c r="A29" s="5" t="s">
        <v>221</v>
      </c>
      <c r="B29" s="5" t="s">
        <v>199</v>
      </c>
      <c r="C29" s="18">
        <v>8.2200000000000006</v>
      </c>
      <c r="D29" s="5"/>
      <c r="E29" s="5"/>
      <c r="F29" s="5"/>
      <c r="G29" t="s">
        <v>1097</v>
      </c>
    </row>
    <row r="30" spans="1:7">
      <c r="A30" s="5" t="s">
        <v>222</v>
      </c>
      <c r="B30" s="5" t="s">
        <v>231</v>
      </c>
      <c r="C30" s="18">
        <v>180</v>
      </c>
      <c r="D30" s="5"/>
      <c r="E30" s="5"/>
      <c r="F30" s="5"/>
      <c r="G30" t="s">
        <v>1097</v>
      </c>
    </row>
    <row r="31" spans="1:7">
      <c r="A31" s="5" t="s">
        <v>223</v>
      </c>
      <c r="B31" s="5" t="s">
        <v>230</v>
      </c>
      <c r="C31" s="18">
        <f>PI()</f>
        <v>3.1415926535897931</v>
      </c>
      <c r="D31" s="5"/>
      <c r="E31" s="5"/>
      <c r="F31" s="5"/>
      <c r="G31" t="s">
        <v>1097</v>
      </c>
    </row>
    <row r="32" spans="1:7">
      <c r="A32" s="112" t="s">
        <v>236</v>
      </c>
      <c r="B32" s="112"/>
      <c r="C32" s="112"/>
      <c r="D32" s="112"/>
      <c r="E32" s="112"/>
      <c r="F32" s="113"/>
      <c r="G32" t="s">
        <v>1097</v>
      </c>
    </row>
    <row r="33" spans="1:7">
      <c r="A33" s="5" t="s">
        <v>224</v>
      </c>
      <c r="B33" s="5" t="s">
        <v>201</v>
      </c>
      <c r="C33" s="18">
        <f>(LS_INDUCTANCE/1000) * MAX_PHASE_CURR + ROTOR_LAMBDAM+ 0.02</f>
        <v>0.27080000000000004</v>
      </c>
      <c r="D33" s="5"/>
      <c r="E33" s="5"/>
      <c r="F33" s="5"/>
      <c r="G33" t="s">
        <v>1097</v>
      </c>
    </row>
    <row r="34" spans="1:7">
      <c r="A34" s="5" t="s">
        <v>225</v>
      </c>
      <c r="B34" s="5" t="s">
        <v>215</v>
      </c>
      <c r="C34" s="18">
        <f>(1.5 * POLE_PAIRS * BASE_FLUX * BASE_CURRENT)</f>
        <v>13.355856000000003</v>
      </c>
      <c r="D34" s="5"/>
      <c r="E34" s="5"/>
      <c r="F34" s="5"/>
      <c r="G34" t="s">
        <v>1097</v>
      </c>
    </row>
    <row r="35" spans="1:7">
      <c r="A35" s="5" t="s">
        <v>226</v>
      </c>
      <c r="B35" s="5" t="s">
        <v>237</v>
      </c>
      <c r="C35" s="18">
        <f>1.5 * BASE_VOLTAGE * BASE_CURRENT</f>
        <v>3156.4800000000005</v>
      </c>
      <c r="D35" s="5"/>
      <c r="E35" s="5"/>
      <c r="F35" s="5"/>
      <c r="G35" t="s">
        <v>1097</v>
      </c>
    </row>
    <row r="36" spans="1:7">
      <c r="A36" s="5" t="s">
        <v>227</v>
      </c>
      <c r="B36" s="5" t="s">
        <v>232</v>
      </c>
      <c r="C36" s="18">
        <f>(BASE_FLUX * 1000 / BASE_CURRENT)</f>
        <v>32.944038929440396</v>
      </c>
      <c r="D36" s="5"/>
      <c r="E36" s="5"/>
      <c r="F36" s="5"/>
      <c r="G36" t="s">
        <v>1097</v>
      </c>
    </row>
    <row r="37" spans="1:7">
      <c r="A37" s="5" t="s">
        <v>228</v>
      </c>
      <c r="B37" s="5" t="s">
        <v>198</v>
      </c>
      <c r="C37" s="18">
        <f>BASE_VOLTAGE / BASE_CURRENT</f>
        <v>31.143552311435521</v>
      </c>
      <c r="D37" s="5"/>
      <c r="E37" s="5"/>
      <c r="F37" s="5"/>
      <c r="G37" t="s">
        <v>1097</v>
      </c>
    </row>
    <row r="38" spans="1:7">
      <c r="A38" s="5" t="s">
        <v>239</v>
      </c>
      <c r="B38" s="5" t="s">
        <v>238</v>
      </c>
      <c r="C38" s="18">
        <f>BASE_VOLTAGE / BASE_FLUX</f>
        <v>945.34711964549467</v>
      </c>
      <c r="D38" s="5"/>
      <c r="E38" s="5"/>
      <c r="F38" s="5"/>
      <c r="G38" t="s">
        <v>1097</v>
      </c>
    </row>
    <row r="39" spans="1:7">
      <c r="A39" s="5" t="s">
        <v>240</v>
      </c>
      <c r="B39" s="5" t="s">
        <v>200</v>
      </c>
      <c r="C39" s="18">
        <f>(BASE_OMEGA * 60) / (2 * PI() * POLE_PAIRS)</f>
        <v>2256.8500054389883</v>
      </c>
      <c r="D39" s="5"/>
      <c r="E39" s="5"/>
      <c r="F39" s="5"/>
      <c r="G39" t="s">
        <v>1097</v>
      </c>
    </row>
    <row r="40" spans="1:7">
      <c r="A40" s="5" t="s">
        <v>229</v>
      </c>
      <c r="B40" s="5" t="s">
        <v>205</v>
      </c>
      <c r="C40" s="18">
        <f>(PI() / BASE_OMEGA)</f>
        <v>3.3232159788754534E-3</v>
      </c>
      <c r="D40" s="5"/>
      <c r="E40" s="5"/>
      <c r="F40" s="5"/>
      <c r="G40" t="s">
        <v>1097</v>
      </c>
    </row>
    <row r="41" spans="1:7">
      <c r="A41" s="5"/>
      <c r="B41" s="5"/>
      <c r="C41" s="18"/>
      <c r="D41" s="5"/>
      <c r="E41" s="5"/>
      <c r="F41" s="5"/>
      <c r="G41" t="s">
        <v>1097</v>
      </c>
    </row>
    <row r="42" spans="1:7" ht="17.25">
      <c r="A42" s="111" t="s">
        <v>308</v>
      </c>
      <c r="B42" s="111"/>
      <c r="C42" s="111"/>
      <c r="D42" s="111"/>
      <c r="E42" s="111"/>
      <c r="F42" s="111"/>
      <c r="G42" t="s">
        <v>1098</v>
      </c>
    </row>
    <row r="43" spans="1:7">
      <c r="A43" s="3" t="s">
        <v>0</v>
      </c>
      <c r="B43" s="3" t="s">
        <v>1</v>
      </c>
      <c r="C43" s="3" t="s">
        <v>2</v>
      </c>
      <c r="D43" s="3" t="s">
        <v>4</v>
      </c>
      <c r="E43" s="3" t="s">
        <v>3</v>
      </c>
      <c r="F43" s="3" t="s">
        <v>21</v>
      </c>
      <c r="G43" t="s">
        <v>1098</v>
      </c>
    </row>
    <row r="44" spans="1:7">
      <c r="A44" s="4" t="s">
        <v>42</v>
      </c>
      <c r="B44" s="5" t="s">
        <v>198</v>
      </c>
      <c r="C44" s="18">
        <f>STATOR_RESISTANCE</f>
        <v>3</v>
      </c>
      <c r="D44" s="5"/>
      <c r="E44" s="5"/>
      <c r="F44" s="5"/>
      <c r="G44" t="s">
        <v>1098</v>
      </c>
    </row>
    <row r="45" spans="1:7">
      <c r="A45" s="4" t="s">
        <v>43</v>
      </c>
      <c r="B45" s="5" t="s">
        <v>202</v>
      </c>
      <c r="C45" s="18">
        <v>0</v>
      </c>
      <c r="D45" s="5"/>
      <c r="E45" s="5"/>
      <c r="F45" s="5"/>
      <c r="G45" t="s">
        <v>1098</v>
      </c>
    </row>
    <row r="46" spans="1:7">
      <c r="A46" s="4" t="s">
        <v>44</v>
      </c>
      <c r="B46" s="5" t="s">
        <v>199</v>
      </c>
      <c r="C46" s="18">
        <v>0.7</v>
      </c>
      <c r="D46" s="5"/>
      <c r="E46" s="5"/>
      <c r="F46" s="5"/>
      <c r="G46" t="s">
        <v>1098</v>
      </c>
    </row>
    <row r="47" spans="1:7">
      <c r="A47" s="4" t="s">
        <v>45</v>
      </c>
      <c r="B47" s="5" t="s">
        <v>200</v>
      </c>
      <c r="C47" s="18">
        <v>80</v>
      </c>
      <c r="D47" s="5"/>
      <c r="E47" s="5"/>
      <c r="F47" s="5"/>
      <c r="G47" t="s">
        <v>1098</v>
      </c>
    </row>
    <row r="48" spans="1:7">
      <c r="A48" s="4" t="s">
        <v>46</v>
      </c>
      <c r="B48" s="5" t="s">
        <v>201</v>
      </c>
      <c r="C48" s="18">
        <f>ROTOR_LAMBDAM</f>
        <v>7.2300000000000003E-2</v>
      </c>
      <c r="D48" s="5"/>
      <c r="E48" s="5"/>
      <c r="F48" s="5"/>
      <c r="G48" t="s">
        <v>1098</v>
      </c>
    </row>
    <row r="49" spans="1:8">
      <c r="A49" s="4" t="s">
        <v>47</v>
      </c>
      <c r="B49" s="5" t="s">
        <v>204</v>
      </c>
      <c r="C49" s="18">
        <v>60</v>
      </c>
      <c r="D49" s="5"/>
      <c r="E49" s="5"/>
      <c r="F49" s="5"/>
      <c r="G49" t="s">
        <v>1098</v>
      </c>
    </row>
    <row r="50" spans="1:8">
      <c r="A50" s="4" t="s">
        <v>48</v>
      </c>
      <c r="B50" s="5" t="s">
        <v>203</v>
      </c>
      <c r="C50" s="18">
        <f>(0.5 * BASE_VOLTAGE * OBSERVER_TS) / BASE_FLUX</f>
        <v>5.9084194977843417E-2</v>
      </c>
      <c r="D50" s="5"/>
      <c r="E50" s="5"/>
      <c r="F50" s="5"/>
      <c r="G50" t="s">
        <v>1098</v>
      </c>
    </row>
    <row r="51" spans="1:8">
      <c r="A51" s="4" t="s">
        <v>49</v>
      </c>
      <c r="B51" s="5" t="s">
        <v>200</v>
      </c>
      <c r="C51" s="18">
        <v>0.01</v>
      </c>
      <c r="D51" s="5"/>
      <c r="E51" s="5"/>
      <c r="F51" s="5"/>
      <c r="G51" t="s">
        <v>1098</v>
      </c>
    </row>
    <row r="52" spans="1:8">
      <c r="A52" s="4" t="s">
        <v>50</v>
      </c>
      <c r="B52" s="5" t="s">
        <v>69</v>
      </c>
      <c r="C52" s="28">
        <f>POLE_PAIRS</f>
        <v>4</v>
      </c>
      <c r="D52" s="5"/>
      <c r="E52" s="5"/>
      <c r="F52" s="5"/>
      <c r="G52" t="s">
        <v>1098</v>
      </c>
    </row>
    <row r="53" spans="1:8">
      <c r="A53" s="4" t="s">
        <v>51</v>
      </c>
      <c r="B53" s="5" t="s">
        <v>307</v>
      </c>
      <c r="C53" s="29">
        <f>(  (1/OBSERVER_TS)/BASE_OMEGA  )</f>
        <v>8.4625000000000021</v>
      </c>
      <c r="D53" s="5"/>
      <c r="E53" s="5"/>
      <c r="F53" s="5"/>
      <c r="G53" t="s">
        <v>1098</v>
      </c>
      <c r="H53" s="30"/>
    </row>
    <row r="54" spans="1:8">
      <c r="A54" s="4" t="s">
        <v>52</v>
      </c>
      <c r="B54" s="5" t="s">
        <v>205</v>
      </c>
      <c r="C54" s="18">
        <v>0.5</v>
      </c>
      <c r="D54" s="5"/>
      <c r="E54" s="5"/>
      <c r="F54" s="5"/>
      <c r="G54" t="s">
        <v>1098</v>
      </c>
    </row>
    <row r="55" spans="1:8">
      <c r="A55" s="4" t="s">
        <v>53</v>
      </c>
      <c r="B55" s="5"/>
      <c r="C55" s="18">
        <v>118</v>
      </c>
      <c r="D55" s="5"/>
      <c r="E55" s="5"/>
      <c r="F55" s="5"/>
      <c r="G55" t="s">
        <v>1098</v>
      </c>
    </row>
    <row r="56" spans="1:8">
      <c r="A56" s="4" t="s">
        <v>54</v>
      </c>
      <c r="B56" s="5"/>
      <c r="C56" s="18">
        <v>3410</v>
      </c>
      <c r="D56" s="5"/>
      <c r="E56" s="5"/>
      <c r="F56" s="5"/>
      <c r="G56" t="s">
        <v>1098</v>
      </c>
    </row>
    <row r="57" spans="1:8">
      <c r="A57" s="4" t="s">
        <v>55</v>
      </c>
      <c r="B57" s="5"/>
      <c r="C57" s="31">
        <f>(OBSERVER_TS * 0.5)</f>
        <v>6.2500000000000001E-5</v>
      </c>
      <c r="D57" s="5"/>
      <c r="E57" s="5"/>
      <c r="F57" s="5"/>
      <c r="G57" t="s">
        <v>1098</v>
      </c>
    </row>
    <row r="58" spans="1:8">
      <c r="A58" s="4" t="s">
        <v>56</v>
      </c>
      <c r="B58" s="5"/>
      <c r="C58" s="31">
        <f>60 / (BASE_SPEED_RPM * POLE_PAIRS * 2 * PI())</f>
        <v>1.0578125000000002E-3</v>
      </c>
      <c r="D58" s="5"/>
      <c r="E58" s="5"/>
      <c r="F58" s="5"/>
      <c r="G58" t="s">
        <v>1098</v>
      </c>
    </row>
    <row r="59" spans="1:8">
      <c r="A59" s="4" t="s">
        <v>242</v>
      </c>
      <c r="B59" s="5" t="s">
        <v>205</v>
      </c>
      <c r="C59" s="71">
        <f>1/8000</f>
        <v>1.25E-4</v>
      </c>
      <c r="D59" s="5"/>
      <c r="E59" s="5"/>
      <c r="F59" s="5"/>
      <c r="G59" t="s">
        <v>1098</v>
      </c>
    </row>
    <row r="60" spans="1:8">
      <c r="A60" s="4" t="s">
        <v>243</v>
      </c>
      <c r="B60" s="5" t="s">
        <v>232</v>
      </c>
      <c r="C60" s="67">
        <v>21.5</v>
      </c>
      <c r="D60" s="5"/>
      <c r="E60" s="5"/>
      <c r="F60" s="5"/>
      <c r="G60" t="s">
        <v>1098</v>
      </c>
    </row>
    <row r="61" spans="1:8">
      <c r="A61" s="4" t="s">
        <v>244</v>
      </c>
      <c r="B61" s="5" t="s">
        <v>232</v>
      </c>
      <c r="C61" s="67">
        <v>21.5</v>
      </c>
      <c r="D61" s="5"/>
      <c r="E61" s="5"/>
      <c r="F61" s="5"/>
      <c r="G61" t="s">
        <v>1098</v>
      </c>
    </row>
    <row r="62" spans="1:8">
      <c r="A62" s="4" t="s">
        <v>245</v>
      </c>
      <c r="B62" s="5" t="s">
        <v>232</v>
      </c>
      <c r="C62" s="67">
        <v>21.5</v>
      </c>
      <c r="D62" s="5"/>
      <c r="E62" s="5"/>
      <c r="F62" s="5"/>
      <c r="G62" t="s">
        <v>1098</v>
      </c>
    </row>
    <row r="63" spans="1:8">
      <c r="A63" s="4" t="s">
        <v>246</v>
      </c>
      <c r="B63" s="5" t="s">
        <v>232</v>
      </c>
      <c r="C63" s="67">
        <v>21.5</v>
      </c>
      <c r="D63" s="5"/>
      <c r="E63" s="5"/>
      <c r="F63" s="5"/>
      <c r="G63" t="s">
        <v>1098</v>
      </c>
    </row>
    <row r="64" spans="1:8">
      <c r="A64" s="4" t="s">
        <v>247</v>
      </c>
      <c r="B64" s="5" t="s">
        <v>232</v>
      </c>
      <c r="C64" s="67">
        <v>21.5</v>
      </c>
      <c r="D64" s="5"/>
      <c r="E64" s="5"/>
      <c r="F64" s="5"/>
      <c r="G64" t="s">
        <v>1098</v>
      </c>
    </row>
    <row r="65" spans="1:7">
      <c r="A65" s="4" t="s">
        <v>248</v>
      </c>
      <c r="B65" s="5" t="s">
        <v>232</v>
      </c>
      <c r="C65" s="67">
        <v>21.5</v>
      </c>
      <c r="D65" s="5"/>
      <c r="E65" s="5"/>
      <c r="F65" s="5"/>
      <c r="G65" t="s">
        <v>1098</v>
      </c>
    </row>
    <row r="66" spans="1:7">
      <c r="A66" s="4" t="s">
        <v>249</v>
      </c>
      <c r="B66" s="5" t="s">
        <v>232</v>
      </c>
      <c r="C66" s="67">
        <v>21.5</v>
      </c>
      <c r="D66" s="5"/>
      <c r="E66" s="5"/>
      <c r="F66" s="5"/>
      <c r="G66" t="s">
        <v>1098</v>
      </c>
    </row>
    <row r="67" spans="1:7">
      <c r="A67" s="4" t="s">
        <v>250</v>
      </c>
      <c r="B67" s="5" t="s">
        <v>232</v>
      </c>
      <c r="C67" s="67">
        <v>21.5</v>
      </c>
      <c r="D67" s="5"/>
      <c r="E67" s="5"/>
      <c r="F67" s="5"/>
      <c r="G67" t="s">
        <v>1098</v>
      </c>
    </row>
    <row r="68" spans="1:7">
      <c r="A68" s="4" t="s">
        <v>251</v>
      </c>
      <c r="B68" s="5" t="s">
        <v>232</v>
      </c>
      <c r="C68" s="67">
        <v>21.5</v>
      </c>
      <c r="D68" s="5"/>
      <c r="E68" s="5"/>
      <c r="F68" s="5"/>
      <c r="G68" t="s">
        <v>1098</v>
      </c>
    </row>
    <row r="69" spans="1:7">
      <c r="A69" s="4" t="s">
        <v>252</v>
      </c>
      <c r="B69" s="5" t="s">
        <v>232</v>
      </c>
      <c r="C69" s="67">
        <v>21.5</v>
      </c>
      <c r="D69" s="5"/>
      <c r="E69" s="5"/>
      <c r="F69" s="5"/>
      <c r="G69" t="s">
        <v>1098</v>
      </c>
    </row>
    <row r="70" spans="1:7">
      <c r="A70" s="4" t="s">
        <v>253</v>
      </c>
      <c r="B70" s="5" t="s">
        <v>232</v>
      </c>
      <c r="C70" s="67">
        <v>21.5</v>
      </c>
      <c r="D70" s="5"/>
      <c r="E70" s="5"/>
      <c r="F70" s="5"/>
      <c r="G70" t="s">
        <v>1098</v>
      </c>
    </row>
    <row r="71" spans="1:7">
      <c r="A71" s="4" t="s">
        <v>254</v>
      </c>
      <c r="B71" s="5" t="s">
        <v>232</v>
      </c>
      <c r="C71" s="67">
        <v>21.5</v>
      </c>
      <c r="D71" s="5"/>
      <c r="E71" s="5"/>
      <c r="F71" s="5"/>
      <c r="G71" t="s">
        <v>1098</v>
      </c>
    </row>
    <row r="72" spans="1:7">
      <c r="A72" s="4" t="s">
        <v>255</v>
      </c>
      <c r="B72" s="5" t="s">
        <v>232</v>
      </c>
      <c r="C72" s="67">
        <v>21.5</v>
      </c>
      <c r="D72" s="5"/>
      <c r="E72" s="5"/>
      <c r="F72" s="5"/>
      <c r="G72" t="s">
        <v>1098</v>
      </c>
    </row>
    <row r="73" spans="1:7">
      <c r="A73" s="4" t="s">
        <v>256</v>
      </c>
      <c r="B73" s="5" t="s">
        <v>232</v>
      </c>
      <c r="C73" s="67">
        <v>21.5</v>
      </c>
      <c r="D73" s="5"/>
      <c r="E73" s="5"/>
      <c r="F73" s="5"/>
      <c r="G73" t="s">
        <v>1098</v>
      </c>
    </row>
    <row r="74" spans="1:7">
      <c r="A74" s="4" t="s">
        <v>257</v>
      </c>
      <c r="B74" s="5" t="s">
        <v>232</v>
      </c>
      <c r="C74" s="67">
        <v>21.5</v>
      </c>
      <c r="D74" s="5"/>
      <c r="E74" s="5"/>
      <c r="F74" s="5"/>
      <c r="G74" t="s">
        <v>1098</v>
      </c>
    </row>
    <row r="75" spans="1:7">
      <c r="A75" s="4" t="s">
        <v>258</v>
      </c>
      <c r="B75" s="5" t="s">
        <v>232</v>
      </c>
      <c r="C75" s="67">
        <v>21.5</v>
      </c>
      <c r="D75" s="5"/>
      <c r="E75" s="5"/>
      <c r="F75" s="5"/>
      <c r="G75" t="s">
        <v>1098</v>
      </c>
    </row>
    <row r="76" spans="1:7">
      <c r="A76" s="4" t="s">
        <v>259</v>
      </c>
      <c r="B76" s="5" t="s">
        <v>199</v>
      </c>
      <c r="C76" s="18">
        <v>0</v>
      </c>
      <c r="D76" s="5"/>
      <c r="E76" s="5"/>
      <c r="F76" s="5"/>
      <c r="G76" t="s">
        <v>1098</v>
      </c>
    </row>
    <row r="77" spans="1:7">
      <c r="A77" s="4" t="s">
        <v>260</v>
      </c>
      <c r="B77" s="5" t="s">
        <v>199</v>
      </c>
      <c r="C77" s="18">
        <v>-1</v>
      </c>
      <c r="D77" s="5"/>
      <c r="E77" s="5"/>
      <c r="F77" s="5"/>
      <c r="G77" t="s">
        <v>1098</v>
      </c>
    </row>
    <row r="78" spans="1:7">
      <c r="A78" s="4" t="s">
        <v>261</v>
      </c>
      <c r="B78" s="5" t="s">
        <v>199</v>
      </c>
      <c r="C78" s="18">
        <v>-2</v>
      </c>
      <c r="D78" s="5"/>
      <c r="E78" s="5"/>
      <c r="F78" s="5"/>
      <c r="G78" t="s">
        <v>1098</v>
      </c>
    </row>
    <row r="79" spans="1:7">
      <c r="A79" s="4" t="s">
        <v>262</v>
      </c>
      <c r="B79" s="5" t="s">
        <v>199</v>
      </c>
      <c r="C79" s="67">
        <v>-3</v>
      </c>
      <c r="D79" s="5"/>
      <c r="E79" s="5"/>
      <c r="F79" s="5"/>
      <c r="G79" t="s">
        <v>1098</v>
      </c>
    </row>
    <row r="80" spans="1:7">
      <c r="A80" s="4" t="s">
        <v>263</v>
      </c>
      <c r="B80" s="5" t="s">
        <v>199</v>
      </c>
      <c r="C80" s="67">
        <v>-4</v>
      </c>
      <c r="D80" s="5"/>
      <c r="E80" s="5"/>
      <c r="F80" s="5"/>
      <c r="G80" t="s">
        <v>1098</v>
      </c>
    </row>
    <row r="81" spans="1:7">
      <c r="A81" s="4" t="s">
        <v>264</v>
      </c>
      <c r="B81" s="5" t="s">
        <v>199</v>
      </c>
      <c r="C81" s="67">
        <v>-5</v>
      </c>
      <c r="D81" s="5"/>
      <c r="E81" s="5"/>
      <c r="F81" s="5"/>
      <c r="G81" t="s">
        <v>1098</v>
      </c>
    </row>
    <row r="82" spans="1:7">
      <c r="A82" s="4" t="s">
        <v>265</v>
      </c>
      <c r="B82" s="5" t="s">
        <v>199</v>
      </c>
      <c r="C82" s="67">
        <v>-6</v>
      </c>
      <c r="D82" s="5"/>
      <c r="E82" s="5"/>
      <c r="F82" s="5"/>
      <c r="G82" t="s">
        <v>1098</v>
      </c>
    </row>
    <row r="83" spans="1:7">
      <c r="A83" s="4" t="s">
        <v>266</v>
      </c>
      <c r="B83" s="5" t="s">
        <v>199</v>
      </c>
      <c r="C83" s="67">
        <v>-7</v>
      </c>
      <c r="D83" s="5"/>
      <c r="E83" s="5"/>
      <c r="F83" s="5"/>
      <c r="G83" t="s">
        <v>1098</v>
      </c>
    </row>
    <row r="84" spans="1:7">
      <c r="A84" s="4" t="s">
        <v>267</v>
      </c>
      <c r="B84" s="5" t="s">
        <v>199</v>
      </c>
      <c r="C84" s="67">
        <v>-8</v>
      </c>
      <c r="D84" s="5"/>
      <c r="E84" s="5"/>
      <c r="F84" s="5"/>
      <c r="G84" t="s">
        <v>1098</v>
      </c>
    </row>
    <row r="85" spans="1:7">
      <c r="A85" s="4" t="s">
        <v>268</v>
      </c>
      <c r="B85" s="5" t="s">
        <v>199</v>
      </c>
      <c r="C85" s="67">
        <v>-9</v>
      </c>
      <c r="D85" s="5"/>
      <c r="E85" s="5"/>
      <c r="F85" s="5"/>
      <c r="G85" t="s">
        <v>1098</v>
      </c>
    </row>
    <row r="86" spans="1:7">
      <c r="A86" s="4" t="s">
        <v>269</v>
      </c>
      <c r="B86" s="5" t="s">
        <v>199</v>
      </c>
      <c r="C86" s="67">
        <v>-10</v>
      </c>
      <c r="D86" s="5"/>
      <c r="E86" s="5"/>
      <c r="F86" s="5"/>
      <c r="G86" t="s">
        <v>1098</v>
      </c>
    </row>
    <row r="87" spans="1:7">
      <c r="A87" s="4" t="s">
        <v>270</v>
      </c>
      <c r="B87" s="5" t="s">
        <v>199</v>
      </c>
      <c r="C87" s="67">
        <v>-11</v>
      </c>
      <c r="D87" s="5"/>
      <c r="E87" s="5"/>
      <c r="F87" s="5"/>
      <c r="G87" t="s">
        <v>1098</v>
      </c>
    </row>
    <row r="88" spans="1:7">
      <c r="A88" s="4" t="s">
        <v>271</v>
      </c>
      <c r="B88" s="5" t="s">
        <v>199</v>
      </c>
      <c r="C88" s="67">
        <v>-12</v>
      </c>
      <c r="D88" s="5"/>
      <c r="E88" s="5"/>
      <c r="F88" s="5"/>
      <c r="G88" t="s">
        <v>1098</v>
      </c>
    </row>
    <row r="89" spans="1:7">
      <c r="A89" s="4" t="s">
        <v>272</v>
      </c>
      <c r="B89" s="5" t="s">
        <v>199</v>
      </c>
      <c r="C89" s="67">
        <v>-13</v>
      </c>
      <c r="D89" s="5"/>
      <c r="E89" s="5"/>
      <c r="F89" s="5"/>
      <c r="G89" t="s">
        <v>1098</v>
      </c>
    </row>
    <row r="90" spans="1:7">
      <c r="A90" s="4" t="s">
        <v>273</v>
      </c>
      <c r="B90" s="5" t="s">
        <v>199</v>
      </c>
      <c r="C90" s="67">
        <v>-14</v>
      </c>
      <c r="D90" s="5"/>
      <c r="E90" s="5"/>
      <c r="F90" s="5"/>
      <c r="G90" t="s">
        <v>1098</v>
      </c>
    </row>
    <row r="91" spans="1:7">
      <c r="A91" s="4" t="s">
        <v>274</v>
      </c>
      <c r="B91" s="5" t="s">
        <v>199</v>
      </c>
      <c r="C91" s="67">
        <v>-14</v>
      </c>
      <c r="D91" s="5"/>
      <c r="E91" s="5"/>
      <c r="F91" s="5"/>
      <c r="G91" t="s">
        <v>1098</v>
      </c>
    </row>
    <row r="92" spans="1:7">
      <c r="A92" s="4" t="s">
        <v>275</v>
      </c>
      <c r="B92" s="5" t="s">
        <v>232</v>
      </c>
      <c r="C92" s="67">
        <v>25.5</v>
      </c>
      <c r="D92" s="5"/>
      <c r="E92" s="5"/>
      <c r="F92" s="5"/>
      <c r="G92" t="s">
        <v>1098</v>
      </c>
    </row>
    <row r="93" spans="1:7">
      <c r="A93" s="4" t="s">
        <v>276</v>
      </c>
      <c r="B93" s="5" t="s">
        <v>232</v>
      </c>
      <c r="C93" s="67">
        <v>25.6</v>
      </c>
      <c r="D93" s="5"/>
      <c r="E93" s="5"/>
      <c r="F93" s="5"/>
      <c r="G93" t="s">
        <v>1098</v>
      </c>
    </row>
    <row r="94" spans="1:7">
      <c r="A94" s="4" t="s">
        <v>277</v>
      </c>
      <c r="B94" s="5" t="s">
        <v>232</v>
      </c>
      <c r="C94" s="67">
        <v>23.8</v>
      </c>
      <c r="D94" s="5"/>
      <c r="E94" s="5"/>
      <c r="F94" s="5"/>
      <c r="G94" t="s">
        <v>1098</v>
      </c>
    </row>
    <row r="95" spans="1:7">
      <c r="A95" s="4" t="s">
        <v>278</v>
      </c>
      <c r="B95" s="5" t="s">
        <v>232</v>
      </c>
      <c r="C95" s="67">
        <v>21.74</v>
      </c>
      <c r="D95" s="5"/>
      <c r="E95" s="5"/>
      <c r="F95" s="5"/>
      <c r="G95" t="s">
        <v>1098</v>
      </c>
    </row>
    <row r="96" spans="1:7">
      <c r="A96" s="4" t="s">
        <v>279</v>
      </c>
      <c r="B96" s="5" t="s">
        <v>232</v>
      </c>
      <c r="C96" s="67">
        <v>21.74</v>
      </c>
      <c r="D96" s="5"/>
      <c r="E96" s="5"/>
      <c r="F96" s="5"/>
      <c r="G96" t="s">
        <v>1098</v>
      </c>
    </row>
    <row r="97" spans="1:7">
      <c r="A97" s="4" t="s">
        <v>280</v>
      </c>
      <c r="B97" s="5" t="s">
        <v>232</v>
      </c>
      <c r="C97" s="67">
        <v>21.74</v>
      </c>
      <c r="D97" s="5"/>
      <c r="E97" s="5"/>
      <c r="F97" s="5"/>
      <c r="G97" t="s">
        <v>1098</v>
      </c>
    </row>
    <row r="98" spans="1:7">
      <c r="A98" s="4" t="s">
        <v>281</v>
      </c>
      <c r="B98" s="5" t="s">
        <v>232</v>
      </c>
      <c r="C98" s="67">
        <v>21.74</v>
      </c>
      <c r="D98" s="5"/>
      <c r="E98" s="5"/>
      <c r="F98" s="5"/>
      <c r="G98" t="s">
        <v>1098</v>
      </c>
    </row>
    <row r="99" spans="1:7">
      <c r="A99" s="4" t="s">
        <v>282</v>
      </c>
      <c r="B99" s="5" t="s">
        <v>232</v>
      </c>
      <c r="C99" s="67">
        <v>21.74</v>
      </c>
      <c r="D99" s="5"/>
      <c r="E99" s="5"/>
      <c r="F99" s="5"/>
      <c r="G99" t="s">
        <v>1098</v>
      </c>
    </row>
    <row r="100" spans="1:7">
      <c r="A100" s="4" t="s">
        <v>283</v>
      </c>
      <c r="B100" s="5" t="s">
        <v>232</v>
      </c>
      <c r="C100" s="67">
        <v>21.74</v>
      </c>
      <c r="D100" s="5"/>
      <c r="E100" s="5"/>
      <c r="F100" s="5"/>
      <c r="G100" t="s">
        <v>1098</v>
      </c>
    </row>
    <row r="101" spans="1:7">
      <c r="A101" s="4" t="s">
        <v>284</v>
      </c>
      <c r="B101" s="5" t="s">
        <v>232</v>
      </c>
      <c r="C101" s="67">
        <v>21.74</v>
      </c>
      <c r="D101" s="5"/>
      <c r="E101" s="5"/>
      <c r="F101" s="5"/>
      <c r="G101" t="s">
        <v>1098</v>
      </c>
    </row>
    <row r="102" spans="1:7">
      <c r="A102" s="4" t="s">
        <v>285</v>
      </c>
      <c r="B102" s="5" t="s">
        <v>232</v>
      </c>
      <c r="C102" s="67">
        <v>21.74</v>
      </c>
      <c r="D102" s="5"/>
      <c r="E102" s="5"/>
      <c r="F102" s="5"/>
      <c r="G102" t="s">
        <v>1098</v>
      </c>
    </row>
    <row r="103" spans="1:7">
      <c r="A103" s="4" t="s">
        <v>286</v>
      </c>
      <c r="B103" s="5" t="s">
        <v>232</v>
      </c>
      <c r="C103" s="67">
        <v>21.74</v>
      </c>
      <c r="D103" s="5"/>
      <c r="E103" s="5"/>
      <c r="F103" s="5"/>
      <c r="G103" t="s">
        <v>1098</v>
      </c>
    </row>
    <row r="104" spans="1:7">
      <c r="A104" s="4" t="s">
        <v>287</v>
      </c>
      <c r="B104" s="5" t="s">
        <v>232</v>
      </c>
      <c r="C104" s="67">
        <v>21.74</v>
      </c>
      <c r="D104" s="5"/>
      <c r="E104" s="5"/>
      <c r="F104" s="5"/>
      <c r="G104" t="s">
        <v>1098</v>
      </c>
    </row>
    <row r="105" spans="1:7">
      <c r="A105" s="4" t="s">
        <v>288</v>
      </c>
      <c r="B105" s="5" t="s">
        <v>232</v>
      </c>
      <c r="C105" s="67">
        <v>21.74</v>
      </c>
      <c r="D105" s="5"/>
      <c r="E105" s="5"/>
      <c r="F105" s="5"/>
      <c r="G105" t="s">
        <v>1098</v>
      </c>
    </row>
    <row r="106" spans="1:7">
      <c r="A106" s="4" t="s">
        <v>289</v>
      </c>
      <c r="B106" s="5" t="s">
        <v>232</v>
      </c>
      <c r="C106" s="67">
        <v>21.74</v>
      </c>
      <c r="D106" s="5"/>
      <c r="E106" s="5"/>
      <c r="F106" s="5"/>
      <c r="G106" t="s">
        <v>1098</v>
      </c>
    </row>
    <row r="107" spans="1:7">
      <c r="A107" s="4" t="s">
        <v>290</v>
      </c>
      <c r="B107" s="5" t="s">
        <v>232</v>
      </c>
      <c r="C107" s="67">
        <v>21.74</v>
      </c>
      <c r="D107" s="5"/>
      <c r="E107" s="5"/>
      <c r="F107" s="5"/>
      <c r="G107" t="s">
        <v>1098</v>
      </c>
    </row>
    <row r="108" spans="1:7">
      <c r="A108" s="4" t="s">
        <v>291</v>
      </c>
      <c r="B108" s="5" t="s">
        <v>199</v>
      </c>
      <c r="C108" s="67">
        <v>0</v>
      </c>
      <c r="D108" s="5"/>
      <c r="E108" s="5"/>
      <c r="F108" s="5"/>
      <c r="G108" t="s">
        <v>1098</v>
      </c>
    </row>
    <row r="109" spans="1:7">
      <c r="A109" s="4" t="s">
        <v>292</v>
      </c>
      <c r="B109" s="5" t="s">
        <v>199</v>
      </c>
      <c r="C109" s="67">
        <v>1</v>
      </c>
      <c r="D109" s="5"/>
      <c r="E109" s="5"/>
      <c r="F109" s="5"/>
      <c r="G109" t="s">
        <v>1098</v>
      </c>
    </row>
    <row r="110" spans="1:7">
      <c r="A110" s="4" t="s">
        <v>293</v>
      </c>
      <c r="B110" s="5" t="s">
        <v>199</v>
      </c>
      <c r="C110" s="67">
        <v>2</v>
      </c>
      <c r="D110" s="5"/>
      <c r="E110" s="5"/>
      <c r="F110" s="5"/>
      <c r="G110" t="s">
        <v>1098</v>
      </c>
    </row>
    <row r="111" spans="1:7">
      <c r="A111" s="4" t="s">
        <v>294</v>
      </c>
      <c r="B111" s="5" t="s">
        <v>199</v>
      </c>
      <c r="C111" s="67">
        <v>3</v>
      </c>
      <c r="D111" s="5"/>
      <c r="E111" s="5"/>
      <c r="F111" s="5"/>
      <c r="G111" t="s">
        <v>1098</v>
      </c>
    </row>
    <row r="112" spans="1:7">
      <c r="A112" s="4" t="s">
        <v>295</v>
      </c>
      <c r="B112" s="5" t="s">
        <v>199</v>
      </c>
      <c r="C112" s="67">
        <v>4</v>
      </c>
      <c r="D112" s="5"/>
      <c r="E112" s="5"/>
      <c r="F112" s="5"/>
      <c r="G112" t="s">
        <v>1098</v>
      </c>
    </row>
    <row r="113" spans="1:7">
      <c r="A113" s="4" t="s">
        <v>296</v>
      </c>
      <c r="B113" s="5" t="s">
        <v>199</v>
      </c>
      <c r="C113" s="67">
        <v>5</v>
      </c>
      <c r="D113" s="5"/>
      <c r="E113" s="5"/>
      <c r="F113" s="5"/>
      <c r="G113" t="s">
        <v>1098</v>
      </c>
    </row>
    <row r="114" spans="1:7">
      <c r="A114" s="4" t="s">
        <v>297</v>
      </c>
      <c r="B114" s="5" t="s">
        <v>199</v>
      </c>
      <c r="C114" s="67">
        <v>6</v>
      </c>
      <c r="D114" s="5"/>
      <c r="E114" s="5"/>
      <c r="F114" s="5"/>
      <c r="G114" t="s">
        <v>1098</v>
      </c>
    </row>
    <row r="115" spans="1:7">
      <c r="A115" s="4" t="s">
        <v>298</v>
      </c>
      <c r="B115" s="5" t="s">
        <v>199</v>
      </c>
      <c r="C115" s="67">
        <v>7</v>
      </c>
      <c r="D115" s="5"/>
      <c r="E115" s="5"/>
      <c r="F115" s="5"/>
      <c r="G115" t="s">
        <v>1098</v>
      </c>
    </row>
    <row r="116" spans="1:7">
      <c r="A116" s="4" t="s">
        <v>299</v>
      </c>
      <c r="B116" s="5" t="s">
        <v>199</v>
      </c>
      <c r="C116" s="67">
        <v>8</v>
      </c>
      <c r="D116" s="5"/>
      <c r="E116" s="5"/>
      <c r="F116" s="5"/>
      <c r="G116" t="s">
        <v>1098</v>
      </c>
    </row>
    <row r="117" spans="1:7">
      <c r="A117" s="4" t="s">
        <v>300</v>
      </c>
      <c r="B117" s="5" t="s">
        <v>199</v>
      </c>
      <c r="C117" s="67">
        <v>9</v>
      </c>
      <c r="D117" s="5"/>
      <c r="E117" s="5"/>
      <c r="F117" s="5"/>
      <c r="G117" t="s">
        <v>1098</v>
      </c>
    </row>
    <row r="118" spans="1:7">
      <c r="A118" s="4" t="s">
        <v>301</v>
      </c>
      <c r="B118" s="5" t="s">
        <v>199</v>
      </c>
      <c r="C118" s="67">
        <v>10</v>
      </c>
      <c r="D118" s="5"/>
      <c r="E118" s="5"/>
      <c r="F118" s="5"/>
      <c r="G118" t="s">
        <v>1098</v>
      </c>
    </row>
    <row r="119" spans="1:7">
      <c r="A119" s="4" t="s">
        <v>302</v>
      </c>
      <c r="B119" s="5" t="s">
        <v>199</v>
      </c>
      <c r="C119" s="67">
        <v>11</v>
      </c>
      <c r="D119" s="5"/>
      <c r="E119" s="5"/>
      <c r="F119" s="5"/>
      <c r="G119" t="s">
        <v>1098</v>
      </c>
    </row>
    <row r="120" spans="1:7">
      <c r="A120" s="4" t="s">
        <v>303</v>
      </c>
      <c r="B120" s="5" t="s">
        <v>199</v>
      </c>
      <c r="C120" s="67">
        <v>12</v>
      </c>
      <c r="D120" s="5"/>
      <c r="E120" s="5"/>
      <c r="F120" s="5"/>
      <c r="G120" t="s">
        <v>1098</v>
      </c>
    </row>
    <row r="121" spans="1:7">
      <c r="A121" s="4" t="s">
        <v>304</v>
      </c>
      <c r="B121" s="5" t="s">
        <v>199</v>
      </c>
      <c r="C121" s="67">
        <v>13</v>
      </c>
      <c r="D121" s="5"/>
      <c r="E121" s="5"/>
      <c r="F121" s="5"/>
      <c r="G121" t="s">
        <v>1098</v>
      </c>
    </row>
    <row r="122" spans="1:7">
      <c r="A122" s="4" t="s">
        <v>305</v>
      </c>
      <c r="B122" s="5" t="s">
        <v>199</v>
      </c>
      <c r="C122" s="67">
        <v>14</v>
      </c>
      <c r="D122" s="5"/>
      <c r="E122" s="5"/>
      <c r="F122" s="5"/>
      <c r="G122" t="s">
        <v>1098</v>
      </c>
    </row>
    <row r="123" spans="1:7">
      <c r="A123" s="4" t="s">
        <v>306</v>
      </c>
      <c r="B123" s="5" t="s">
        <v>199</v>
      </c>
      <c r="C123" s="67">
        <v>14</v>
      </c>
      <c r="D123" s="5"/>
      <c r="E123" s="5"/>
      <c r="F123" s="5"/>
      <c r="G123" t="s">
        <v>1098</v>
      </c>
    </row>
    <row r="124" spans="1:7">
      <c r="A124" s="4" t="s">
        <v>311</v>
      </c>
      <c r="B124" s="5" t="s">
        <v>232</v>
      </c>
      <c r="C124" s="18">
        <v>0</v>
      </c>
      <c r="D124" s="5"/>
      <c r="E124" s="5"/>
      <c r="F124" s="5"/>
      <c r="G124" t="s">
        <v>1098</v>
      </c>
    </row>
    <row r="125" spans="1:7">
      <c r="A125" s="4" t="s">
        <v>312</v>
      </c>
      <c r="B125" s="5" t="s">
        <v>232</v>
      </c>
      <c r="C125" s="18">
        <v>0</v>
      </c>
      <c r="D125" s="5"/>
      <c r="E125" s="5"/>
      <c r="F125" s="5"/>
      <c r="G125" t="s">
        <v>1098</v>
      </c>
    </row>
    <row r="126" spans="1:7">
      <c r="A126" s="4" t="s">
        <v>313</v>
      </c>
      <c r="B126" s="5" t="s">
        <v>232</v>
      </c>
      <c r="C126" s="18">
        <v>0</v>
      </c>
      <c r="D126" s="5"/>
      <c r="E126" s="5"/>
      <c r="F126" s="5"/>
      <c r="G126" t="s">
        <v>1098</v>
      </c>
    </row>
    <row r="127" spans="1:7">
      <c r="A127" s="4" t="s">
        <v>314</v>
      </c>
      <c r="B127" s="5" t="s">
        <v>232</v>
      </c>
      <c r="C127" s="18">
        <v>0</v>
      </c>
      <c r="D127" s="5"/>
      <c r="E127" s="5"/>
      <c r="F127" s="5"/>
      <c r="G127" t="s">
        <v>1098</v>
      </c>
    </row>
    <row r="128" spans="1:7">
      <c r="A128" s="4" t="s">
        <v>315</v>
      </c>
      <c r="B128" s="5" t="s">
        <v>232</v>
      </c>
      <c r="C128" s="18">
        <v>0</v>
      </c>
      <c r="D128" s="5"/>
      <c r="E128" s="5"/>
      <c r="F128" s="5"/>
      <c r="G128" t="s">
        <v>1098</v>
      </c>
    </row>
    <row r="129" spans="1:7">
      <c r="A129" s="4" t="s">
        <v>316</v>
      </c>
      <c r="B129" s="5" t="s">
        <v>232</v>
      </c>
      <c r="C129" s="18">
        <v>0</v>
      </c>
      <c r="D129" s="5"/>
      <c r="E129" s="5"/>
      <c r="F129" s="5"/>
      <c r="G129" t="s">
        <v>1098</v>
      </c>
    </row>
    <row r="130" spans="1:7">
      <c r="A130" s="4" t="s">
        <v>317</v>
      </c>
      <c r="B130" s="5" t="s">
        <v>232</v>
      </c>
      <c r="C130" s="18">
        <v>0</v>
      </c>
      <c r="D130" s="5"/>
      <c r="E130" s="5"/>
      <c r="F130" s="5"/>
      <c r="G130" t="s">
        <v>1098</v>
      </c>
    </row>
    <row r="131" spans="1:7">
      <c r="A131" s="4" t="s">
        <v>318</v>
      </c>
      <c r="B131" s="5" t="s">
        <v>232</v>
      </c>
      <c r="C131" s="18">
        <v>0</v>
      </c>
      <c r="D131" s="5"/>
      <c r="E131" s="5"/>
      <c r="F131" s="5"/>
      <c r="G131" t="s">
        <v>1098</v>
      </c>
    </row>
    <row r="132" spans="1:7">
      <c r="A132" s="4" t="s">
        <v>319</v>
      </c>
      <c r="B132" s="5" t="s">
        <v>199</v>
      </c>
      <c r="C132" s="18">
        <v>0</v>
      </c>
      <c r="D132" s="5"/>
      <c r="E132" s="5"/>
      <c r="F132" s="5"/>
      <c r="G132" t="s">
        <v>1098</v>
      </c>
    </row>
    <row r="133" spans="1:7">
      <c r="A133" s="4" t="s">
        <v>320</v>
      </c>
      <c r="B133" s="5" t="s">
        <v>199</v>
      </c>
      <c r="C133" s="18">
        <v>0</v>
      </c>
      <c r="D133" s="5"/>
      <c r="E133" s="5"/>
      <c r="F133" s="5"/>
      <c r="G133" t="s">
        <v>1098</v>
      </c>
    </row>
    <row r="134" spans="1:7">
      <c r="A134" s="4" t="s">
        <v>321</v>
      </c>
      <c r="B134" s="5" t="s">
        <v>199</v>
      </c>
      <c r="C134" s="18">
        <v>0</v>
      </c>
      <c r="D134" s="5"/>
      <c r="E134" s="5"/>
      <c r="F134" s="5"/>
      <c r="G134" t="s">
        <v>1098</v>
      </c>
    </row>
    <row r="135" spans="1:7">
      <c r="A135" s="4" t="s">
        <v>322</v>
      </c>
      <c r="B135" s="5" t="s">
        <v>199</v>
      </c>
      <c r="C135" s="18">
        <v>0</v>
      </c>
      <c r="D135" s="5"/>
      <c r="E135" s="5"/>
      <c r="F135" s="5"/>
      <c r="G135" t="s">
        <v>1098</v>
      </c>
    </row>
    <row r="136" spans="1:7">
      <c r="A136" s="4" t="s">
        <v>323</v>
      </c>
      <c r="B136" s="5" t="s">
        <v>199</v>
      </c>
      <c r="C136" s="18">
        <v>0</v>
      </c>
      <c r="D136" s="5"/>
      <c r="E136" s="5"/>
      <c r="F136" s="5"/>
      <c r="G136" t="s">
        <v>1098</v>
      </c>
    </row>
    <row r="137" spans="1:7">
      <c r="A137" s="4" t="s">
        <v>324</v>
      </c>
      <c r="B137" s="5" t="s">
        <v>199</v>
      </c>
      <c r="C137" s="18">
        <v>0</v>
      </c>
      <c r="D137" s="5"/>
      <c r="E137" s="5"/>
      <c r="F137" s="5"/>
      <c r="G137" t="s">
        <v>1098</v>
      </c>
    </row>
    <row r="138" spans="1:7">
      <c r="A138" s="4" t="s">
        <v>325</v>
      </c>
      <c r="B138" s="5" t="s">
        <v>199</v>
      </c>
      <c r="C138" s="18">
        <v>0</v>
      </c>
      <c r="D138" s="5"/>
      <c r="E138" s="5"/>
      <c r="F138" s="5"/>
      <c r="G138" t="s">
        <v>1098</v>
      </c>
    </row>
    <row r="139" spans="1:7">
      <c r="A139" s="4" t="s">
        <v>326</v>
      </c>
      <c r="B139" s="5" t="s">
        <v>199</v>
      </c>
      <c r="C139" s="18">
        <v>0</v>
      </c>
      <c r="D139" s="5"/>
      <c r="E139" s="5"/>
      <c r="F139" s="5"/>
      <c r="G139" t="s">
        <v>1098</v>
      </c>
    </row>
    <row r="140" spans="1:7">
      <c r="A140" s="4"/>
      <c r="B140" s="5"/>
      <c r="C140" s="18"/>
      <c r="D140" s="5"/>
      <c r="E140" s="5"/>
      <c r="F140" s="5"/>
      <c r="G140" t="s">
        <v>1098</v>
      </c>
    </row>
    <row r="141" spans="1:7" ht="17.25">
      <c r="A141" s="111" t="s">
        <v>309</v>
      </c>
      <c r="B141" s="111"/>
      <c r="C141" s="111"/>
      <c r="D141" s="111"/>
      <c r="E141" s="111"/>
      <c r="F141" s="111"/>
      <c r="G141" t="s">
        <v>1099</v>
      </c>
    </row>
    <row r="142" spans="1:7">
      <c r="A142" s="3" t="s">
        <v>0</v>
      </c>
      <c r="B142" s="3" t="s">
        <v>1</v>
      </c>
      <c r="C142" s="3" t="s">
        <v>2</v>
      </c>
      <c r="D142" s="3" t="s">
        <v>4</v>
      </c>
      <c r="E142" s="3" t="s">
        <v>3</v>
      </c>
      <c r="F142" s="3" t="s">
        <v>21</v>
      </c>
      <c r="G142" t="s">
        <v>1099</v>
      </c>
    </row>
    <row r="143" spans="1:7">
      <c r="A143" s="4" t="s">
        <v>424</v>
      </c>
      <c r="B143" s="5"/>
      <c r="C143" s="6">
        <v>0</v>
      </c>
      <c r="D143" s="5"/>
      <c r="E143" s="5"/>
      <c r="F143" s="5"/>
      <c r="G143" t="s">
        <v>1099</v>
      </c>
    </row>
    <row r="144" spans="1:7">
      <c r="A144" s="4" t="s">
        <v>329</v>
      </c>
      <c r="B144" s="5" t="s">
        <v>69</v>
      </c>
      <c r="C144" s="8">
        <v>-0.26</v>
      </c>
      <c r="D144" s="5"/>
      <c r="E144" s="5"/>
      <c r="F144" s="5"/>
      <c r="G144" t="s">
        <v>1099</v>
      </c>
    </row>
    <row r="145" spans="1:7">
      <c r="A145" s="4" t="s">
        <v>330</v>
      </c>
      <c r="B145" s="5"/>
      <c r="C145" s="8">
        <v>0</v>
      </c>
      <c r="D145" s="5"/>
      <c r="E145" s="5"/>
      <c r="F145" s="5"/>
      <c r="G145" t="s">
        <v>1099</v>
      </c>
    </row>
    <row r="146" spans="1:7">
      <c r="A146" s="4" t="s">
        <v>331</v>
      </c>
      <c r="B146" s="5"/>
      <c r="C146" s="8">
        <v>8000</v>
      </c>
      <c r="D146" s="5"/>
      <c r="E146" s="5"/>
      <c r="F146" s="5"/>
      <c r="G146" t="s">
        <v>1099</v>
      </c>
    </row>
    <row r="147" spans="1:7">
      <c r="A147" s="4" t="s">
        <v>332</v>
      </c>
      <c r="B147" s="5" t="s">
        <v>205</v>
      </c>
      <c r="C147" s="8">
        <v>1</v>
      </c>
      <c r="D147" s="5"/>
      <c r="E147" s="5"/>
      <c r="F147" s="5"/>
      <c r="G147" t="s">
        <v>1099</v>
      </c>
    </row>
    <row r="148" spans="1:7">
      <c r="A148" s="4" t="s">
        <v>333</v>
      </c>
      <c r="B148" s="5" t="s">
        <v>215</v>
      </c>
      <c r="C148" s="8">
        <v>1.7</v>
      </c>
      <c r="D148" s="5"/>
      <c r="E148" s="5"/>
      <c r="F148" s="5"/>
      <c r="G148" t="s">
        <v>1099</v>
      </c>
    </row>
    <row r="149" spans="1:7">
      <c r="A149" s="4" t="s">
        <v>334</v>
      </c>
      <c r="B149" s="5" t="s">
        <v>205</v>
      </c>
      <c r="C149" s="8">
        <v>1</v>
      </c>
      <c r="D149" s="5"/>
      <c r="E149" s="5"/>
      <c r="F149" s="5"/>
      <c r="G149" t="s">
        <v>1099</v>
      </c>
    </row>
    <row r="150" spans="1:7">
      <c r="A150" s="4" t="s">
        <v>335</v>
      </c>
      <c r="B150" s="5" t="s">
        <v>328</v>
      </c>
      <c r="C150" s="34">
        <v>8.0000000000000002E-3</v>
      </c>
      <c r="D150" s="5"/>
      <c r="E150" s="5"/>
      <c r="F150" s="5"/>
      <c r="G150" t="s">
        <v>1099</v>
      </c>
    </row>
    <row r="151" spans="1:7">
      <c r="A151" s="4" t="s">
        <v>336</v>
      </c>
      <c r="B151" s="5" t="s">
        <v>327</v>
      </c>
      <c r="C151" s="34">
        <v>6.4999999999999997E-3</v>
      </c>
      <c r="D151" s="5"/>
      <c r="E151" s="5"/>
      <c r="F151" s="5"/>
      <c r="G151" t="s">
        <v>1099</v>
      </c>
    </row>
    <row r="152" spans="1:7">
      <c r="A152" s="4" t="s">
        <v>337</v>
      </c>
      <c r="B152" s="5" t="s">
        <v>200</v>
      </c>
      <c r="C152" s="8">
        <v>900</v>
      </c>
      <c r="D152" s="5"/>
      <c r="E152" s="5"/>
      <c r="F152" s="5"/>
      <c r="G152" t="s">
        <v>1099</v>
      </c>
    </row>
    <row r="153" spans="1:7">
      <c r="A153" s="4" t="s">
        <v>338</v>
      </c>
      <c r="B153" s="5" t="s">
        <v>205</v>
      </c>
      <c r="C153" s="8">
        <v>2</v>
      </c>
      <c r="D153" s="5"/>
      <c r="E153" s="5"/>
      <c r="F153" s="5"/>
      <c r="G153" t="s">
        <v>1099</v>
      </c>
    </row>
    <row r="154" spans="1:7">
      <c r="A154" s="4" t="s">
        <v>339</v>
      </c>
      <c r="B154" s="5" t="s">
        <v>328</v>
      </c>
      <c r="C154" s="8">
        <v>1.2999999999999999E-3</v>
      </c>
      <c r="D154" s="5"/>
      <c r="E154" s="5"/>
      <c r="F154" s="5"/>
      <c r="G154" t="s">
        <v>1099</v>
      </c>
    </row>
    <row r="155" spans="1:7">
      <c r="A155" s="4" t="s">
        <v>340</v>
      </c>
      <c r="B155" s="5" t="s">
        <v>327</v>
      </c>
      <c r="C155" s="8">
        <v>5.8999999999999999E-3</v>
      </c>
      <c r="D155" s="5"/>
      <c r="E155" s="5"/>
      <c r="F155" s="5"/>
      <c r="G155" t="s">
        <v>1099</v>
      </c>
    </row>
    <row r="156" spans="1:7">
      <c r="A156" s="4" t="s">
        <v>341</v>
      </c>
      <c r="B156" s="5" t="s">
        <v>200</v>
      </c>
      <c r="C156" s="8">
        <v>15000</v>
      </c>
      <c r="D156" s="5"/>
      <c r="E156" s="5"/>
      <c r="F156" s="5"/>
      <c r="G156" t="s">
        <v>1099</v>
      </c>
    </row>
    <row r="157" spans="1:7">
      <c r="A157" s="4" t="s">
        <v>342</v>
      </c>
      <c r="B157" s="5" t="s">
        <v>205</v>
      </c>
      <c r="C157" s="8">
        <v>2</v>
      </c>
      <c r="D157" s="5"/>
      <c r="E157" s="5"/>
      <c r="F157" s="5"/>
      <c r="G157" t="s">
        <v>1099</v>
      </c>
    </row>
    <row r="158" spans="1:7">
      <c r="A158" s="4" t="s">
        <v>343</v>
      </c>
      <c r="B158" s="5" t="s">
        <v>328</v>
      </c>
      <c r="C158" s="106">
        <v>5.0000000000000001E-4</v>
      </c>
      <c r="D158" s="5"/>
      <c r="E158" s="5"/>
      <c r="F158" s="5"/>
      <c r="G158" t="s">
        <v>1099</v>
      </c>
    </row>
    <row r="159" spans="1:7">
      <c r="A159" s="4" t="s">
        <v>344</v>
      </c>
      <c r="B159" s="5" t="s">
        <v>327</v>
      </c>
      <c r="C159" s="106">
        <v>1.9E-3</v>
      </c>
      <c r="D159" s="5"/>
      <c r="E159" s="5"/>
      <c r="F159" s="5"/>
      <c r="G159" t="s">
        <v>1099</v>
      </c>
    </row>
    <row r="160" spans="1:7">
      <c r="A160" s="4" t="s">
        <v>345</v>
      </c>
      <c r="B160" s="5" t="s">
        <v>200</v>
      </c>
      <c r="C160" s="8">
        <v>19000</v>
      </c>
      <c r="D160" s="5"/>
      <c r="E160" s="5"/>
      <c r="F160" s="5"/>
      <c r="G160" t="s">
        <v>1099</v>
      </c>
    </row>
    <row r="161" spans="1:7">
      <c r="A161" s="4" t="s">
        <v>346</v>
      </c>
      <c r="B161" s="5" t="s">
        <v>205</v>
      </c>
      <c r="C161" s="8">
        <v>2</v>
      </c>
      <c r="D161" s="5"/>
      <c r="E161" s="5"/>
      <c r="F161" s="5"/>
      <c r="G161" t="s">
        <v>1099</v>
      </c>
    </row>
    <row r="162" spans="1:7">
      <c r="A162" s="4" t="s">
        <v>347</v>
      </c>
      <c r="B162" s="5" t="s">
        <v>328</v>
      </c>
      <c r="C162" s="8">
        <v>0</v>
      </c>
      <c r="D162" s="5"/>
      <c r="E162" s="5"/>
      <c r="F162" s="5"/>
      <c r="G162" t="s">
        <v>1099</v>
      </c>
    </row>
    <row r="163" spans="1:7">
      <c r="A163" s="4" t="s">
        <v>348</v>
      </c>
      <c r="B163" s="5" t="s">
        <v>327</v>
      </c>
      <c r="C163" s="8">
        <v>0</v>
      </c>
      <c r="D163" s="5"/>
      <c r="E163" s="5"/>
      <c r="F163" s="5"/>
      <c r="G163" t="s">
        <v>1099</v>
      </c>
    </row>
    <row r="164" spans="1:7">
      <c r="A164" s="4" t="s">
        <v>349</v>
      </c>
      <c r="B164" s="5" t="s">
        <v>200</v>
      </c>
      <c r="C164" s="8">
        <v>0</v>
      </c>
      <c r="D164" s="5"/>
      <c r="E164" s="5"/>
      <c r="F164" s="5"/>
      <c r="G164" t="s">
        <v>1099</v>
      </c>
    </row>
    <row r="165" spans="1:7">
      <c r="A165" s="4" t="s">
        <v>350</v>
      </c>
      <c r="B165" s="5" t="s">
        <v>205</v>
      </c>
      <c r="C165" s="8">
        <v>2</v>
      </c>
      <c r="D165" s="5"/>
      <c r="E165" s="5"/>
      <c r="F165" s="5"/>
      <c r="G165" t="s">
        <v>1099</v>
      </c>
    </row>
    <row r="166" spans="1:7">
      <c r="A166" s="4" t="s">
        <v>351</v>
      </c>
      <c r="B166" s="5" t="s">
        <v>328</v>
      </c>
      <c r="C166" s="8">
        <v>0</v>
      </c>
      <c r="D166" s="5"/>
      <c r="E166" s="5"/>
      <c r="F166" s="5"/>
      <c r="G166" t="s">
        <v>1099</v>
      </c>
    </row>
    <row r="167" spans="1:7">
      <c r="A167" s="4" t="s">
        <v>352</v>
      </c>
      <c r="B167" s="5" t="s">
        <v>327</v>
      </c>
      <c r="C167" s="8">
        <v>0</v>
      </c>
      <c r="D167" s="5"/>
      <c r="E167" s="5"/>
      <c r="F167" s="5"/>
      <c r="G167" t="s">
        <v>1099</v>
      </c>
    </row>
    <row r="168" spans="1:7">
      <c r="A168" s="4" t="s">
        <v>353</v>
      </c>
      <c r="B168" s="5" t="s">
        <v>200</v>
      </c>
      <c r="C168" s="8">
        <v>0</v>
      </c>
      <c r="D168" s="5"/>
      <c r="E168" s="5"/>
      <c r="F168" s="5"/>
      <c r="G168" t="s">
        <v>1099</v>
      </c>
    </row>
    <row r="169" spans="1:7">
      <c r="A169" s="4" t="s">
        <v>354</v>
      </c>
      <c r="B169" s="5" t="s">
        <v>205</v>
      </c>
      <c r="C169" s="8">
        <v>2</v>
      </c>
      <c r="D169" s="5"/>
      <c r="E169" s="5"/>
      <c r="F169" s="5"/>
      <c r="G169" t="s">
        <v>1099</v>
      </c>
    </row>
    <row r="170" spans="1:7">
      <c r="A170" s="4" t="s">
        <v>355</v>
      </c>
      <c r="B170" s="5" t="s">
        <v>199</v>
      </c>
      <c r="C170" s="8">
        <v>1</v>
      </c>
      <c r="D170" s="5"/>
      <c r="E170" s="5"/>
      <c r="F170" s="5"/>
      <c r="G170" t="s">
        <v>1099</v>
      </c>
    </row>
    <row r="171" spans="1:7">
      <c r="A171" s="4"/>
      <c r="B171" s="5"/>
      <c r="C171" s="18"/>
      <c r="D171" s="5"/>
      <c r="E171" s="5"/>
      <c r="F171" s="5"/>
      <c r="G171" t="s">
        <v>1099</v>
      </c>
    </row>
    <row r="172" spans="1:7" ht="17.25">
      <c r="A172" s="111" t="s">
        <v>384</v>
      </c>
      <c r="B172" s="111"/>
      <c r="C172" s="111"/>
      <c r="D172" s="111"/>
      <c r="E172" s="111"/>
      <c r="F172" s="111"/>
      <c r="G172" t="s">
        <v>1100</v>
      </c>
    </row>
    <row r="173" spans="1:7">
      <c r="A173" s="3" t="s">
        <v>0</v>
      </c>
      <c r="B173" s="3" t="s">
        <v>1</v>
      </c>
      <c r="C173" s="3" t="s">
        <v>2</v>
      </c>
      <c r="D173" s="3" t="s">
        <v>4</v>
      </c>
      <c r="E173" s="3" t="s">
        <v>3</v>
      </c>
      <c r="F173" s="3" t="s">
        <v>21</v>
      </c>
      <c r="G173" t="s">
        <v>1100</v>
      </c>
    </row>
    <row r="174" spans="1:7">
      <c r="A174" s="4" t="s">
        <v>359</v>
      </c>
      <c r="B174" s="5" t="s">
        <v>205</v>
      </c>
      <c r="C174" s="8">
        <v>1</v>
      </c>
      <c r="D174" s="5"/>
      <c r="E174" s="5"/>
      <c r="F174" s="5"/>
      <c r="G174" t="s">
        <v>1100</v>
      </c>
    </row>
    <row r="175" spans="1:7">
      <c r="A175" s="4" t="s">
        <v>362</v>
      </c>
      <c r="B175" s="5" t="s">
        <v>19</v>
      </c>
      <c r="C175" s="92">
        <v>94</v>
      </c>
      <c r="D175" s="5"/>
      <c r="E175" s="5"/>
      <c r="F175" s="5"/>
      <c r="G175" s="88" t="s">
        <v>1100</v>
      </c>
    </row>
    <row r="176" spans="1:7" s="88" customFormat="1">
      <c r="A176" s="90" t="s">
        <v>1153</v>
      </c>
      <c r="B176" s="91" t="s">
        <v>1154</v>
      </c>
      <c r="C176" s="92">
        <v>94</v>
      </c>
      <c r="D176" s="91"/>
      <c r="E176" s="91"/>
      <c r="F176" s="91"/>
      <c r="G176" s="88" t="s">
        <v>1100</v>
      </c>
    </row>
    <row r="177" spans="1:7">
      <c r="A177" s="4" t="s">
        <v>361</v>
      </c>
      <c r="B177" s="5" t="s">
        <v>201</v>
      </c>
      <c r="C177" s="33">
        <f>2/32768*BASE_FLUX</f>
        <v>1.6528320312500002E-5</v>
      </c>
      <c r="D177" s="5"/>
      <c r="E177" s="5"/>
      <c r="F177" s="5"/>
      <c r="G177" s="88" t="s">
        <v>1100</v>
      </c>
    </row>
    <row r="178" spans="1:7">
      <c r="A178" s="4" t="s">
        <v>360</v>
      </c>
      <c r="B178" s="5" t="s">
        <v>201</v>
      </c>
      <c r="C178" s="8">
        <v>95</v>
      </c>
      <c r="D178" s="5"/>
      <c r="E178" s="5"/>
      <c r="F178" s="5"/>
      <c r="G178" s="88" t="s">
        <v>1100</v>
      </c>
    </row>
    <row r="179" spans="1:7">
      <c r="A179" s="4" t="s">
        <v>425</v>
      </c>
      <c r="B179" s="5" t="s">
        <v>205</v>
      </c>
      <c r="C179" s="32">
        <f>OBSERVER_TS</f>
        <v>1.25E-4</v>
      </c>
      <c r="D179" s="5"/>
      <c r="E179" s="5"/>
      <c r="F179" s="5"/>
      <c r="G179" s="88" t="s">
        <v>1100</v>
      </c>
    </row>
    <row r="180" spans="1:7" s="60" customFormat="1">
      <c r="A180" s="62" t="s">
        <v>1115</v>
      </c>
      <c r="B180" s="63" t="s">
        <v>205</v>
      </c>
      <c r="C180" s="64">
        <v>1.5</v>
      </c>
      <c r="D180" s="63"/>
      <c r="E180" s="63"/>
      <c r="F180" s="63"/>
      <c r="G180" s="88" t="s">
        <v>1100</v>
      </c>
    </row>
    <row r="181" spans="1:7" s="88" customFormat="1">
      <c r="A181" s="90" t="s">
        <v>1143</v>
      </c>
      <c r="B181" s="91" t="s">
        <v>200</v>
      </c>
      <c r="C181" s="93">
        <v>35</v>
      </c>
      <c r="D181" s="91"/>
      <c r="E181" s="91"/>
      <c r="F181" s="91"/>
      <c r="G181" s="88" t="s">
        <v>1100</v>
      </c>
    </row>
    <row r="182" spans="1:7" s="88" customFormat="1">
      <c r="A182" s="90" t="s">
        <v>1144</v>
      </c>
      <c r="B182" s="91" t="s">
        <v>19</v>
      </c>
      <c r="C182" s="92">
        <v>112</v>
      </c>
      <c r="D182" s="91"/>
      <c r="E182" s="91"/>
      <c r="F182" s="91"/>
      <c r="G182" s="88" t="s">
        <v>1100</v>
      </c>
    </row>
    <row r="183" spans="1:7" s="88" customFormat="1">
      <c r="A183" s="90" t="s">
        <v>1152</v>
      </c>
      <c r="B183" s="91" t="s">
        <v>200</v>
      </c>
      <c r="C183" s="93">
        <v>15490</v>
      </c>
      <c r="D183" s="91"/>
      <c r="E183" s="91"/>
      <c r="F183" s="91"/>
      <c r="G183" s="88" t="s">
        <v>1100</v>
      </c>
    </row>
    <row r="184" spans="1:7" s="88" customFormat="1">
      <c r="A184" s="90" t="s">
        <v>1157</v>
      </c>
      <c r="B184" s="91" t="s">
        <v>1158</v>
      </c>
      <c r="C184" s="93">
        <v>15488</v>
      </c>
      <c r="D184" s="91"/>
      <c r="E184" s="91"/>
      <c r="F184" s="91"/>
      <c r="G184" s="88" t="s">
        <v>1100</v>
      </c>
    </row>
    <row r="185" spans="1:7" s="88" customFormat="1">
      <c r="A185" s="90" t="s">
        <v>1159</v>
      </c>
      <c r="B185" s="91" t="s">
        <v>200</v>
      </c>
      <c r="C185" s="93">
        <v>375</v>
      </c>
      <c r="D185" s="91"/>
      <c r="E185" s="91"/>
      <c r="F185" s="91"/>
      <c r="G185" s="88" t="s">
        <v>1100</v>
      </c>
    </row>
    <row r="186" spans="1:7" s="88" customFormat="1">
      <c r="A186" s="90" t="s">
        <v>1160</v>
      </c>
      <c r="B186" s="91" t="s">
        <v>19</v>
      </c>
      <c r="C186" s="93">
        <v>10</v>
      </c>
      <c r="D186" s="91"/>
      <c r="E186" s="91"/>
      <c r="F186" s="91"/>
      <c r="G186" s="88" t="s">
        <v>1100</v>
      </c>
    </row>
    <row r="187" spans="1:7" s="88" customFormat="1">
      <c r="A187" s="90" t="s">
        <v>1161</v>
      </c>
      <c r="B187" s="91" t="s">
        <v>19</v>
      </c>
      <c r="C187" s="93">
        <v>10</v>
      </c>
      <c r="D187" s="91"/>
      <c r="E187" s="91"/>
      <c r="F187" s="91"/>
      <c r="G187" s="88" t="s">
        <v>1100</v>
      </c>
    </row>
    <row r="188" spans="1:7" s="103" customFormat="1">
      <c r="A188" s="90" t="s">
        <v>3135</v>
      </c>
      <c r="B188" s="91" t="s">
        <v>3137</v>
      </c>
      <c r="C188" s="53">
        <v>0.57999999999999996</v>
      </c>
      <c r="D188" s="91"/>
      <c r="E188" s="91"/>
      <c r="F188" s="91">
        <v>3</v>
      </c>
    </row>
    <row r="189" spans="1:7" s="103" customFormat="1">
      <c r="A189" s="90" t="s">
        <v>3136</v>
      </c>
      <c r="B189" s="91"/>
      <c r="C189" s="53">
        <v>0.5</v>
      </c>
      <c r="D189" s="91"/>
      <c r="E189" s="91"/>
      <c r="F189" s="91">
        <v>3</v>
      </c>
    </row>
    <row r="190" spans="1:7" s="103" customFormat="1">
      <c r="A190" s="90" t="s">
        <v>3130</v>
      </c>
      <c r="B190" s="91" t="s">
        <v>19</v>
      </c>
      <c r="C190" s="93">
        <v>98</v>
      </c>
      <c r="D190" s="91"/>
      <c r="E190" s="91"/>
      <c r="F190" s="91">
        <v>1</v>
      </c>
    </row>
    <row r="191" spans="1:7">
      <c r="A191" s="4"/>
      <c r="B191" s="5"/>
      <c r="C191" s="6"/>
      <c r="D191" s="5"/>
      <c r="E191" s="5"/>
      <c r="F191" s="5"/>
      <c r="G191" t="s">
        <v>1100</v>
      </c>
    </row>
    <row r="192" spans="1:7" ht="17.25">
      <c r="A192" s="111" t="s">
        <v>385</v>
      </c>
      <c r="B192" s="111"/>
      <c r="C192" s="111"/>
      <c r="D192" s="111"/>
      <c r="E192" s="111"/>
      <c r="F192" s="111"/>
      <c r="G192" t="s">
        <v>1100</v>
      </c>
    </row>
    <row r="193" spans="1:7">
      <c r="A193" s="3" t="s">
        <v>0</v>
      </c>
      <c r="B193" s="3" t="s">
        <v>1</v>
      </c>
      <c r="C193" s="3" t="s">
        <v>2</v>
      </c>
      <c r="D193" s="3" t="s">
        <v>4</v>
      </c>
      <c r="E193" s="3" t="s">
        <v>3</v>
      </c>
      <c r="F193" s="3" t="s">
        <v>21</v>
      </c>
      <c r="G193" t="s">
        <v>1100</v>
      </c>
    </row>
    <row r="194" spans="1:7">
      <c r="A194" s="4" t="s">
        <v>356</v>
      </c>
      <c r="B194" s="5" t="s">
        <v>218</v>
      </c>
      <c r="C194" s="8"/>
      <c r="D194" s="5"/>
      <c r="E194" s="5"/>
      <c r="F194" s="5"/>
      <c r="G194" t="s">
        <v>1100</v>
      </c>
    </row>
    <row r="195" spans="1:7">
      <c r="A195" s="4" t="s">
        <v>357</v>
      </c>
      <c r="B195" s="5" t="s">
        <v>205</v>
      </c>
      <c r="C195" s="8">
        <v>1</v>
      </c>
      <c r="D195" s="5"/>
      <c r="E195" s="5"/>
      <c r="F195" s="5"/>
      <c r="G195" t="s">
        <v>1100</v>
      </c>
    </row>
    <row r="196" spans="1:7">
      <c r="A196" s="4" t="s">
        <v>358</v>
      </c>
      <c r="B196" s="5" t="s">
        <v>69</v>
      </c>
      <c r="C196" s="102">
        <v>1</v>
      </c>
      <c r="D196" s="5"/>
      <c r="E196" s="5"/>
      <c r="F196" s="5"/>
      <c r="G196" t="s">
        <v>1100</v>
      </c>
    </row>
    <row r="197" spans="1:7">
      <c r="A197" s="4" t="s">
        <v>363</v>
      </c>
      <c r="B197" s="5"/>
      <c r="C197" s="8">
        <v>10</v>
      </c>
      <c r="D197" s="5"/>
      <c r="E197" s="5"/>
      <c r="F197" s="5"/>
      <c r="G197" t="s">
        <v>1100</v>
      </c>
    </row>
    <row r="198" spans="1:7">
      <c r="A198" s="4" t="s">
        <v>364</v>
      </c>
      <c r="B198" s="5"/>
      <c r="C198" s="8">
        <v>2000</v>
      </c>
      <c r="D198" s="5"/>
      <c r="E198" s="5"/>
      <c r="F198" s="5"/>
      <c r="G198" t="s">
        <v>1100</v>
      </c>
    </row>
    <row r="199" spans="1:7">
      <c r="A199" s="4" t="s">
        <v>365</v>
      </c>
      <c r="B199" s="5"/>
      <c r="C199" s="8">
        <v>150</v>
      </c>
      <c r="D199" s="5"/>
      <c r="E199" s="5"/>
      <c r="F199" s="5"/>
      <c r="G199" t="s">
        <v>1100</v>
      </c>
    </row>
    <row r="200" spans="1:7">
      <c r="A200" s="4" t="s">
        <v>366</v>
      </c>
      <c r="B200" s="5"/>
      <c r="C200" s="8">
        <v>15000</v>
      </c>
      <c r="D200" s="5"/>
      <c r="E200" s="5"/>
      <c r="F200" s="5"/>
      <c r="G200" t="s">
        <v>1100</v>
      </c>
    </row>
    <row r="201" spans="1:7">
      <c r="A201" s="4" t="s">
        <v>367</v>
      </c>
      <c r="B201" s="5"/>
      <c r="C201" s="8">
        <v>1905</v>
      </c>
      <c r="D201" s="5"/>
      <c r="E201" s="5"/>
      <c r="F201" s="5"/>
      <c r="G201" t="s">
        <v>1100</v>
      </c>
    </row>
    <row r="202" spans="1:7">
      <c r="A202" s="4" t="s">
        <v>368</v>
      </c>
      <c r="B202" s="5"/>
      <c r="C202" s="8">
        <v>2</v>
      </c>
      <c r="D202" s="5"/>
      <c r="E202" s="5"/>
      <c r="F202" s="5"/>
      <c r="G202" t="s">
        <v>1100</v>
      </c>
    </row>
    <row r="203" spans="1:7">
      <c r="A203" s="4" t="s">
        <v>369</v>
      </c>
      <c r="B203" s="5"/>
      <c r="C203" s="8">
        <v>150</v>
      </c>
      <c r="D203" s="5"/>
      <c r="E203" s="5"/>
      <c r="F203" s="5"/>
      <c r="G203" t="s">
        <v>1100</v>
      </c>
    </row>
    <row r="204" spans="1:7">
      <c r="A204" s="4" t="s">
        <v>370</v>
      </c>
      <c r="B204" s="5"/>
      <c r="C204" s="8">
        <v>12000</v>
      </c>
      <c r="D204" s="5"/>
      <c r="E204" s="5"/>
      <c r="F204" s="5"/>
      <c r="G204" t="s">
        <v>1100</v>
      </c>
    </row>
    <row r="205" spans="1:7">
      <c r="A205" s="4" t="s">
        <v>371</v>
      </c>
      <c r="B205" s="5"/>
      <c r="C205" s="8">
        <v>8000</v>
      </c>
      <c r="D205" s="5"/>
      <c r="E205" s="5"/>
      <c r="F205" s="5"/>
      <c r="G205" t="s">
        <v>1100</v>
      </c>
    </row>
    <row r="206" spans="1:7">
      <c r="A206" s="4" t="s">
        <v>372</v>
      </c>
      <c r="B206" s="5"/>
      <c r="C206" s="8">
        <v>900000</v>
      </c>
      <c r="D206" s="5"/>
      <c r="E206" s="5"/>
      <c r="F206" s="5"/>
      <c r="G206" t="s">
        <v>1100</v>
      </c>
    </row>
    <row r="207" spans="1:7">
      <c r="A207" s="4" t="s">
        <v>373</v>
      </c>
      <c r="B207" s="5"/>
      <c r="C207" s="8">
        <v>14000</v>
      </c>
      <c r="D207" s="5"/>
      <c r="E207" s="5"/>
      <c r="F207" s="5"/>
      <c r="G207" t="s">
        <v>1100</v>
      </c>
    </row>
    <row r="208" spans="1:7">
      <c r="A208" s="4" t="s">
        <v>374</v>
      </c>
      <c r="B208" s="5"/>
      <c r="C208" s="8">
        <v>3</v>
      </c>
      <c r="D208" s="5"/>
      <c r="E208" s="5"/>
      <c r="F208" s="5"/>
      <c r="G208" t="s">
        <v>1100</v>
      </c>
    </row>
    <row r="209" spans="1:7">
      <c r="A209" s="4" t="s">
        <v>375</v>
      </c>
      <c r="B209" s="5"/>
      <c r="C209" s="53">
        <v>150</v>
      </c>
      <c r="D209" s="5"/>
      <c r="E209" s="5"/>
      <c r="F209" s="5"/>
      <c r="G209" t="s">
        <v>1100</v>
      </c>
    </row>
    <row r="210" spans="1:7">
      <c r="A210" s="4" t="s">
        <v>376</v>
      </c>
      <c r="B210" s="5"/>
      <c r="C210" s="53">
        <v>12000</v>
      </c>
      <c r="D210" s="5"/>
      <c r="E210" s="5"/>
      <c r="F210" s="5"/>
      <c r="G210" t="s">
        <v>1100</v>
      </c>
    </row>
    <row r="211" spans="1:7">
      <c r="A211" s="4" t="s">
        <v>377</v>
      </c>
      <c r="B211" s="5"/>
      <c r="C211" s="53">
        <v>8000</v>
      </c>
      <c r="D211" s="5"/>
      <c r="E211" s="5"/>
      <c r="F211" s="5"/>
      <c r="G211" t="s">
        <v>1100</v>
      </c>
    </row>
    <row r="212" spans="1:7">
      <c r="A212" s="4" t="s">
        <v>378</v>
      </c>
      <c r="B212" s="5"/>
      <c r="C212" s="53">
        <v>900000</v>
      </c>
      <c r="D212" s="5"/>
      <c r="E212" s="5"/>
      <c r="F212" s="5"/>
      <c r="G212" t="s">
        <v>1100</v>
      </c>
    </row>
    <row r="213" spans="1:7">
      <c r="A213" s="4" t="s">
        <v>379</v>
      </c>
      <c r="B213" s="5"/>
      <c r="C213" s="53">
        <v>20000</v>
      </c>
      <c r="D213" s="5"/>
      <c r="E213" s="5"/>
      <c r="F213" s="5"/>
      <c r="G213" t="s">
        <v>1100</v>
      </c>
    </row>
    <row r="214" spans="1:7">
      <c r="A214" s="4" t="s">
        <v>380</v>
      </c>
      <c r="B214" s="5"/>
      <c r="C214" s="8">
        <v>3</v>
      </c>
      <c r="D214" s="5"/>
      <c r="E214" s="5"/>
      <c r="F214" s="5"/>
      <c r="G214" t="s">
        <v>1100</v>
      </c>
    </row>
    <row r="215" spans="1:7" s="103" customFormat="1">
      <c r="A215" s="90" t="s">
        <v>3134</v>
      </c>
      <c r="B215" s="91" t="s">
        <v>19</v>
      </c>
      <c r="C215" s="93">
        <v>115</v>
      </c>
      <c r="D215" s="91"/>
      <c r="E215" s="91"/>
      <c r="F215" s="91">
        <v>1</v>
      </c>
      <c r="G215" s="103" t="s">
        <v>1100</v>
      </c>
    </row>
    <row r="216" spans="1:7">
      <c r="A216" s="4"/>
      <c r="B216" s="5"/>
      <c r="C216" s="6"/>
      <c r="D216" s="5"/>
      <c r="E216" s="5"/>
      <c r="F216" s="5"/>
    </row>
    <row r="217" spans="1:7" ht="17.25">
      <c r="A217" s="111" t="s">
        <v>386</v>
      </c>
      <c r="B217" s="111"/>
      <c r="C217" s="111"/>
      <c r="D217" s="111"/>
      <c r="E217" s="111"/>
      <c r="F217" s="111"/>
      <c r="G217" t="s">
        <v>1101</v>
      </c>
    </row>
    <row r="218" spans="1:7">
      <c r="A218" s="3" t="s">
        <v>0</v>
      </c>
      <c r="B218" s="3" t="s">
        <v>1</v>
      </c>
      <c r="C218" s="3" t="s">
        <v>2</v>
      </c>
      <c r="D218" s="3" t="s">
        <v>4</v>
      </c>
      <c r="E218" s="3" t="s">
        <v>3</v>
      </c>
      <c r="F218" s="3" t="s">
        <v>21</v>
      </c>
      <c r="G218" t="s">
        <v>1101</v>
      </c>
    </row>
    <row r="219" spans="1:7">
      <c r="A219" s="4" t="s">
        <v>426</v>
      </c>
      <c r="B219" s="5" t="s">
        <v>205</v>
      </c>
      <c r="C219" s="36">
        <f>OBSERVER_TS</f>
        <v>1.25E-4</v>
      </c>
      <c r="D219" s="5"/>
      <c r="E219" s="5"/>
      <c r="F219" s="5"/>
      <c r="G219" t="s">
        <v>1101</v>
      </c>
    </row>
    <row r="220" spans="1:7">
      <c r="A220" s="4" t="s">
        <v>382</v>
      </c>
      <c r="B220" s="5" t="s">
        <v>200</v>
      </c>
      <c r="C220" s="8">
        <v>6000</v>
      </c>
      <c r="D220" s="5"/>
      <c r="E220" s="5"/>
      <c r="F220" s="5"/>
      <c r="G220" t="s">
        <v>1101</v>
      </c>
    </row>
    <row r="221" spans="1:7">
      <c r="A221" s="4" t="s">
        <v>383</v>
      </c>
      <c r="B221" s="5" t="s">
        <v>205</v>
      </c>
      <c r="C221" s="8">
        <v>1</v>
      </c>
      <c r="D221" s="5"/>
      <c r="E221" s="5"/>
      <c r="F221" s="5"/>
      <c r="G221" t="s">
        <v>1101</v>
      </c>
    </row>
    <row r="222" spans="1:7">
      <c r="A222" s="4"/>
      <c r="B222" s="5"/>
      <c r="C222" s="8"/>
      <c r="D222" s="5"/>
      <c r="E222" s="5"/>
      <c r="F222" s="5"/>
      <c r="G222" t="s">
        <v>1101</v>
      </c>
    </row>
    <row r="223" spans="1:7">
      <c r="A223" s="4" t="s">
        <v>455</v>
      </c>
      <c r="B223" s="5" t="s">
        <v>199</v>
      </c>
      <c r="C223" s="8">
        <v>-4</v>
      </c>
      <c r="D223" s="5"/>
      <c r="E223" s="5"/>
      <c r="F223" s="5"/>
      <c r="G223" t="s">
        <v>1101</v>
      </c>
    </row>
    <row r="224" spans="1:7">
      <c r="A224" s="4" t="s">
        <v>456</v>
      </c>
      <c r="B224" s="5" t="s">
        <v>199</v>
      </c>
      <c r="C224" s="8">
        <v>-3.875</v>
      </c>
      <c r="D224" s="5"/>
      <c r="E224" s="5"/>
      <c r="F224" s="5"/>
      <c r="G224" t="s">
        <v>1101</v>
      </c>
    </row>
    <row r="225" spans="1:7">
      <c r="A225" s="4" t="s">
        <v>457</v>
      </c>
      <c r="B225" s="5" t="s">
        <v>199</v>
      </c>
      <c r="C225" s="8">
        <v>-3.75</v>
      </c>
      <c r="D225" s="5"/>
      <c r="E225" s="5"/>
      <c r="F225" s="5"/>
      <c r="G225" t="s">
        <v>1101</v>
      </c>
    </row>
    <row r="226" spans="1:7">
      <c r="A226" s="4" t="s">
        <v>458</v>
      </c>
      <c r="B226" s="5" t="s">
        <v>199</v>
      </c>
      <c r="C226" s="8">
        <v>-3.625</v>
      </c>
      <c r="D226" s="5"/>
      <c r="E226" s="5"/>
      <c r="F226" s="5"/>
      <c r="G226" t="s">
        <v>1101</v>
      </c>
    </row>
    <row r="227" spans="1:7">
      <c r="A227" s="4" t="s">
        <v>459</v>
      </c>
      <c r="B227" s="5" t="s">
        <v>199</v>
      </c>
      <c r="C227" s="8">
        <v>-3.5</v>
      </c>
      <c r="D227" s="5"/>
      <c r="E227" s="5"/>
      <c r="F227" s="5"/>
      <c r="G227" t="s">
        <v>1101</v>
      </c>
    </row>
    <row r="228" spans="1:7">
      <c r="A228" s="4" t="s">
        <v>460</v>
      </c>
      <c r="B228" s="5" t="s">
        <v>199</v>
      </c>
      <c r="C228" s="8">
        <v>-3.375</v>
      </c>
      <c r="D228" s="5"/>
      <c r="E228" s="5"/>
      <c r="F228" s="5"/>
      <c r="G228" t="s">
        <v>1101</v>
      </c>
    </row>
    <row r="229" spans="1:7">
      <c r="A229" s="4" t="s">
        <v>461</v>
      </c>
      <c r="B229" s="5" t="s">
        <v>199</v>
      </c>
      <c r="C229" s="8">
        <v>-3.25</v>
      </c>
      <c r="D229" s="5"/>
      <c r="E229" s="5"/>
      <c r="F229" s="5"/>
      <c r="G229" t="s">
        <v>1101</v>
      </c>
    </row>
    <row r="230" spans="1:7">
      <c r="A230" s="4" t="s">
        <v>462</v>
      </c>
      <c r="B230" s="5" t="s">
        <v>199</v>
      </c>
      <c r="C230" s="8">
        <v>-3.125</v>
      </c>
      <c r="D230" s="5"/>
      <c r="E230" s="5"/>
      <c r="F230" s="5"/>
      <c r="G230" t="s">
        <v>1101</v>
      </c>
    </row>
    <row r="231" spans="1:7">
      <c r="A231" s="4" t="s">
        <v>463</v>
      </c>
      <c r="B231" s="5" t="s">
        <v>199</v>
      </c>
      <c r="C231" s="8">
        <v>-3</v>
      </c>
      <c r="D231" s="5"/>
      <c r="E231" s="5"/>
      <c r="F231" s="5"/>
      <c r="G231" t="s">
        <v>1101</v>
      </c>
    </row>
    <row r="232" spans="1:7">
      <c r="A232" s="4" t="s">
        <v>464</v>
      </c>
      <c r="B232" s="5" t="s">
        <v>199</v>
      </c>
      <c r="C232" s="8">
        <v>-2.875</v>
      </c>
      <c r="D232" s="5"/>
      <c r="E232" s="5"/>
      <c r="F232" s="5"/>
      <c r="G232" t="s">
        <v>1101</v>
      </c>
    </row>
    <row r="233" spans="1:7">
      <c r="A233" s="4" t="s">
        <v>465</v>
      </c>
      <c r="B233" s="5" t="s">
        <v>199</v>
      </c>
      <c r="C233" s="8">
        <v>-2.75</v>
      </c>
      <c r="D233" s="5"/>
      <c r="E233" s="5"/>
      <c r="F233" s="5"/>
      <c r="G233" t="s">
        <v>1101</v>
      </c>
    </row>
    <row r="234" spans="1:7">
      <c r="A234" s="4" t="s">
        <v>466</v>
      </c>
      <c r="B234" s="5" t="s">
        <v>199</v>
      </c>
      <c r="C234" s="8">
        <v>-2.625</v>
      </c>
      <c r="D234" s="5"/>
      <c r="E234" s="5"/>
      <c r="F234" s="5"/>
      <c r="G234" t="s">
        <v>1101</v>
      </c>
    </row>
    <row r="235" spans="1:7">
      <c r="A235" s="4" t="s">
        <v>467</v>
      </c>
      <c r="B235" s="5" t="s">
        <v>199</v>
      </c>
      <c r="C235" s="8">
        <v>-2.5</v>
      </c>
      <c r="D235" s="5"/>
      <c r="E235" s="5"/>
      <c r="F235" s="5"/>
      <c r="G235" t="s">
        <v>1101</v>
      </c>
    </row>
    <row r="236" spans="1:7">
      <c r="A236" s="4" t="s">
        <v>468</v>
      </c>
      <c r="B236" s="5" t="s">
        <v>199</v>
      </c>
      <c r="C236" s="8">
        <v>-2.375</v>
      </c>
      <c r="D236" s="5"/>
      <c r="E236" s="5"/>
      <c r="F236" s="5"/>
      <c r="G236" t="s">
        <v>1101</v>
      </c>
    </row>
    <row r="237" spans="1:7">
      <c r="A237" s="4" t="s">
        <v>469</v>
      </c>
      <c r="B237" s="5" t="s">
        <v>199</v>
      </c>
      <c r="C237" s="8">
        <v>-2.25</v>
      </c>
      <c r="D237" s="5"/>
      <c r="E237" s="5"/>
      <c r="F237" s="5"/>
      <c r="G237" t="s">
        <v>1101</v>
      </c>
    </row>
    <row r="238" spans="1:7">
      <c r="A238" s="4" t="s">
        <v>470</v>
      </c>
      <c r="B238" s="5" t="s">
        <v>199</v>
      </c>
      <c r="C238" s="8">
        <v>-2.125</v>
      </c>
      <c r="D238" s="5"/>
      <c r="E238" s="5"/>
      <c r="F238" s="5"/>
      <c r="G238" t="s">
        <v>1101</v>
      </c>
    </row>
    <row r="239" spans="1:7">
      <c r="A239" s="4" t="s">
        <v>471</v>
      </c>
      <c r="B239" s="5" t="s">
        <v>199</v>
      </c>
      <c r="C239" s="8">
        <v>-2</v>
      </c>
      <c r="D239" s="5"/>
      <c r="E239" s="5"/>
      <c r="F239" s="5"/>
      <c r="G239" t="s">
        <v>1101</v>
      </c>
    </row>
    <row r="240" spans="1:7">
      <c r="A240" s="4" t="s">
        <v>472</v>
      </c>
      <c r="B240" s="5" t="s">
        <v>199</v>
      </c>
      <c r="C240" s="8">
        <v>-1.875</v>
      </c>
      <c r="D240" s="5"/>
      <c r="E240" s="5"/>
      <c r="F240" s="5"/>
      <c r="G240" t="s">
        <v>1101</v>
      </c>
    </row>
    <row r="241" spans="1:7">
      <c r="A241" s="4" t="s">
        <v>473</v>
      </c>
      <c r="B241" s="5" t="s">
        <v>199</v>
      </c>
      <c r="C241" s="8">
        <v>-1.75</v>
      </c>
      <c r="D241" s="5"/>
      <c r="E241" s="5"/>
      <c r="F241" s="5"/>
      <c r="G241" t="s">
        <v>1101</v>
      </c>
    </row>
    <row r="242" spans="1:7">
      <c r="A242" s="4" t="s">
        <v>474</v>
      </c>
      <c r="B242" s="5" t="s">
        <v>199</v>
      </c>
      <c r="C242" s="8">
        <v>-1.625</v>
      </c>
      <c r="D242" s="5"/>
      <c r="E242" s="5"/>
      <c r="F242" s="5"/>
      <c r="G242" t="s">
        <v>1101</v>
      </c>
    </row>
    <row r="243" spans="1:7">
      <c r="A243" s="4" t="s">
        <v>475</v>
      </c>
      <c r="B243" s="5" t="s">
        <v>199</v>
      </c>
      <c r="C243" s="8">
        <v>-1.5</v>
      </c>
      <c r="D243" s="5"/>
      <c r="E243" s="5"/>
      <c r="F243" s="5"/>
      <c r="G243" t="s">
        <v>1101</v>
      </c>
    </row>
    <row r="244" spans="1:7">
      <c r="A244" s="4" t="s">
        <v>476</v>
      </c>
      <c r="B244" s="5" t="s">
        <v>199</v>
      </c>
      <c r="C244" s="8">
        <v>-1.375</v>
      </c>
      <c r="D244" s="5"/>
      <c r="E244" s="5"/>
      <c r="F244" s="5"/>
      <c r="G244" t="s">
        <v>1101</v>
      </c>
    </row>
    <row r="245" spans="1:7">
      <c r="A245" s="4" t="s">
        <v>477</v>
      </c>
      <c r="B245" s="5" t="s">
        <v>199</v>
      </c>
      <c r="C245" s="8">
        <v>-1.25</v>
      </c>
      <c r="D245" s="5"/>
      <c r="E245" s="5"/>
      <c r="F245" s="5"/>
      <c r="G245" t="s">
        <v>1101</v>
      </c>
    </row>
    <row r="246" spans="1:7">
      <c r="A246" s="4" t="s">
        <v>478</v>
      </c>
      <c r="B246" s="5" t="s">
        <v>199</v>
      </c>
      <c r="C246" s="8">
        <v>-1.125</v>
      </c>
      <c r="D246" s="5"/>
      <c r="E246" s="5"/>
      <c r="F246" s="5"/>
      <c r="G246" t="s">
        <v>1101</v>
      </c>
    </row>
    <row r="247" spans="1:7">
      <c r="A247" s="4" t="s">
        <v>479</v>
      </c>
      <c r="B247" s="5" t="s">
        <v>199</v>
      </c>
      <c r="C247" s="8">
        <v>-1</v>
      </c>
      <c r="D247" s="5"/>
      <c r="E247" s="5"/>
      <c r="F247" s="5"/>
      <c r="G247" t="s">
        <v>1101</v>
      </c>
    </row>
    <row r="248" spans="1:7">
      <c r="A248" s="4" t="s">
        <v>480</v>
      </c>
      <c r="B248" s="5" t="s">
        <v>199</v>
      </c>
      <c r="C248" s="8">
        <v>-0.875</v>
      </c>
      <c r="D248" s="5"/>
      <c r="E248" s="5"/>
      <c r="F248" s="5"/>
      <c r="G248" t="s">
        <v>1101</v>
      </c>
    </row>
    <row r="249" spans="1:7">
      <c r="A249" s="4" t="s">
        <v>481</v>
      </c>
      <c r="B249" s="5" t="s">
        <v>199</v>
      </c>
      <c r="C249" s="8">
        <v>-0.75</v>
      </c>
      <c r="D249" s="5"/>
      <c r="E249" s="5"/>
      <c r="F249" s="5"/>
      <c r="G249" t="s">
        <v>1101</v>
      </c>
    </row>
    <row r="250" spans="1:7">
      <c r="A250" s="4" t="s">
        <v>482</v>
      </c>
      <c r="B250" s="5" t="s">
        <v>199</v>
      </c>
      <c r="C250" s="8">
        <v>-0.625</v>
      </c>
      <c r="D250" s="5"/>
      <c r="E250" s="5"/>
      <c r="F250" s="5"/>
      <c r="G250" t="s">
        <v>1101</v>
      </c>
    </row>
    <row r="251" spans="1:7">
      <c r="A251" s="4" t="s">
        <v>483</v>
      </c>
      <c r="B251" s="5" t="s">
        <v>199</v>
      </c>
      <c r="C251" s="8">
        <v>-0.5</v>
      </c>
      <c r="D251" s="5"/>
      <c r="E251" s="5"/>
      <c r="F251" s="5"/>
      <c r="G251" t="s">
        <v>1101</v>
      </c>
    </row>
    <row r="252" spans="1:7">
      <c r="A252" s="4" t="s">
        <v>484</v>
      </c>
      <c r="B252" s="5" t="s">
        <v>199</v>
      </c>
      <c r="C252" s="8">
        <v>-0.375</v>
      </c>
      <c r="D252" s="5"/>
      <c r="E252" s="5"/>
      <c r="F252" s="5"/>
      <c r="G252" t="s">
        <v>1101</v>
      </c>
    </row>
    <row r="253" spans="1:7">
      <c r="A253" s="4" t="s">
        <v>485</v>
      </c>
      <c r="B253" s="5" t="s">
        <v>199</v>
      </c>
      <c r="C253" s="8">
        <v>-0.25</v>
      </c>
      <c r="D253" s="5"/>
      <c r="E253" s="5"/>
      <c r="F253" s="5"/>
      <c r="G253" t="s">
        <v>1101</v>
      </c>
    </row>
    <row r="254" spans="1:7">
      <c r="A254" s="4" t="s">
        <v>486</v>
      </c>
      <c r="B254" s="5" t="s">
        <v>199</v>
      </c>
      <c r="C254" s="8">
        <v>-0.125</v>
      </c>
      <c r="D254" s="5"/>
      <c r="E254" s="5"/>
      <c r="F254" s="5"/>
      <c r="G254" t="s">
        <v>1101</v>
      </c>
    </row>
    <row r="255" spans="1:7">
      <c r="A255" s="4" t="s">
        <v>487</v>
      </c>
      <c r="B255" s="5" t="s">
        <v>199</v>
      </c>
      <c r="C255" s="8">
        <v>0</v>
      </c>
      <c r="D255" s="5"/>
      <c r="E255" s="5"/>
      <c r="F255" s="5"/>
      <c r="G255" t="s">
        <v>1101</v>
      </c>
    </row>
    <row r="256" spans="1:7">
      <c r="A256" s="4" t="s">
        <v>488</v>
      </c>
      <c r="B256" s="5" t="s">
        <v>199</v>
      </c>
      <c r="C256" s="8">
        <v>0.125</v>
      </c>
      <c r="D256" s="5"/>
      <c r="E256" s="5"/>
      <c r="F256" s="5"/>
      <c r="G256" t="s">
        <v>1101</v>
      </c>
    </row>
    <row r="257" spans="1:7">
      <c r="A257" s="4" t="s">
        <v>489</v>
      </c>
      <c r="B257" s="5" t="s">
        <v>199</v>
      </c>
      <c r="C257" s="8">
        <v>0.25</v>
      </c>
      <c r="D257" s="5"/>
      <c r="E257" s="5"/>
      <c r="F257" s="5"/>
      <c r="G257" t="s">
        <v>1101</v>
      </c>
    </row>
    <row r="258" spans="1:7">
      <c r="A258" s="4" t="s">
        <v>490</v>
      </c>
      <c r="B258" s="5" t="s">
        <v>199</v>
      </c>
      <c r="C258" s="8">
        <v>0.375</v>
      </c>
      <c r="D258" s="5"/>
      <c r="E258" s="5"/>
      <c r="F258" s="5"/>
      <c r="G258" t="s">
        <v>1101</v>
      </c>
    </row>
    <row r="259" spans="1:7">
      <c r="A259" s="4" t="s">
        <v>491</v>
      </c>
      <c r="B259" s="5" t="s">
        <v>199</v>
      </c>
      <c r="C259" s="8">
        <v>0.5</v>
      </c>
      <c r="D259" s="5"/>
      <c r="E259" s="5"/>
      <c r="F259" s="5"/>
      <c r="G259" t="s">
        <v>1101</v>
      </c>
    </row>
    <row r="260" spans="1:7">
      <c r="A260" s="4" t="s">
        <v>492</v>
      </c>
      <c r="B260" s="5" t="s">
        <v>199</v>
      </c>
      <c r="C260" s="8">
        <v>0.625</v>
      </c>
      <c r="D260" s="5"/>
      <c r="E260" s="5"/>
      <c r="F260" s="5"/>
      <c r="G260" t="s">
        <v>1101</v>
      </c>
    </row>
    <row r="261" spans="1:7">
      <c r="A261" s="4" t="s">
        <v>493</v>
      </c>
      <c r="B261" s="5" t="s">
        <v>199</v>
      </c>
      <c r="C261" s="8">
        <v>0.75</v>
      </c>
      <c r="D261" s="5"/>
      <c r="E261" s="5"/>
      <c r="F261" s="5"/>
      <c r="G261" t="s">
        <v>1101</v>
      </c>
    </row>
    <row r="262" spans="1:7">
      <c r="A262" s="4" t="s">
        <v>494</v>
      </c>
      <c r="B262" s="5" t="s">
        <v>199</v>
      </c>
      <c r="C262" s="8">
        <v>0.875</v>
      </c>
      <c r="D262" s="5"/>
      <c r="E262" s="5"/>
      <c r="F262" s="5"/>
      <c r="G262" t="s">
        <v>1101</v>
      </c>
    </row>
    <row r="263" spans="1:7">
      <c r="A263" s="4" t="s">
        <v>495</v>
      </c>
      <c r="B263" s="5" t="s">
        <v>199</v>
      </c>
      <c r="C263" s="8">
        <v>1</v>
      </c>
      <c r="D263" s="5"/>
      <c r="E263" s="5"/>
      <c r="F263" s="5"/>
      <c r="G263" t="s">
        <v>1101</v>
      </c>
    </row>
    <row r="264" spans="1:7">
      <c r="A264" s="4" t="s">
        <v>496</v>
      </c>
      <c r="B264" s="5" t="s">
        <v>199</v>
      </c>
      <c r="C264" s="8">
        <v>1.125</v>
      </c>
      <c r="D264" s="5"/>
      <c r="E264" s="5"/>
      <c r="F264" s="5"/>
      <c r="G264" t="s">
        <v>1101</v>
      </c>
    </row>
    <row r="265" spans="1:7">
      <c r="A265" s="4" t="s">
        <v>497</v>
      </c>
      <c r="B265" s="5" t="s">
        <v>199</v>
      </c>
      <c r="C265" s="8">
        <v>1.25</v>
      </c>
      <c r="D265" s="5"/>
      <c r="E265" s="5"/>
      <c r="F265" s="5"/>
      <c r="G265" t="s">
        <v>1101</v>
      </c>
    </row>
    <row r="266" spans="1:7">
      <c r="A266" s="4" t="s">
        <v>498</v>
      </c>
      <c r="B266" s="5" t="s">
        <v>199</v>
      </c>
      <c r="C266" s="8">
        <v>1.375</v>
      </c>
      <c r="D266" s="5"/>
      <c r="E266" s="5"/>
      <c r="F266" s="5"/>
      <c r="G266" t="s">
        <v>1101</v>
      </c>
    </row>
    <row r="267" spans="1:7">
      <c r="A267" s="4" t="s">
        <v>499</v>
      </c>
      <c r="B267" s="5" t="s">
        <v>199</v>
      </c>
      <c r="C267" s="8">
        <v>1.5</v>
      </c>
      <c r="D267" s="5"/>
      <c r="E267" s="5"/>
      <c r="F267" s="5"/>
      <c r="G267" t="s">
        <v>1101</v>
      </c>
    </row>
    <row r="268" spans="1:7">
      <c r="A268" s="4" t="s">
        <v>500</v>
      </c>
      <c r="B268" s="5" t="s">
        <v>199</v>
      </c>
      <c r="C268" s="8">
        <v>1.625</v>
      </c>
      <c r="D268" s="5"/>
      <c r="E268" s="5"/>
      <c r="F268" s="5"/>
      <c r="G268" t="s">
        <v>1101</v>
      </c>
    </row>
    <row r="269" spans="1:7">
      <c r="A269" s="4" t="s">
        <v>501</v>
      </c>
      <c r="B269" s="5" t="s">
        <v>199</v>
      </c>
      <c r="C269" s="8">
        <v>1.75</v>
      </c>
      <c r="D269" s="5"/>
      <c r="E269" s="5"/>
      <c r="F269" s="5"/>
      <c r="G269" t="s">
        <v>1101</v>
      </c>
    </row>
    <row r="270" spans="1:7">
      <c r="A270" s="4" t="s">
        <v>502</v>
      </c>
      <c r="B270" s="5" t="s">
        <v>199</v>
      </c>
      <c r="C270" s="8">
        <v>1.875</v>
      </c>
      <c r="D270" s="5"/>
      <c r="E270" s="5"/>
      <c r="F270" s="5"/>
      <c r="G270" t="s">
        <v>1101</v>
      </c>
    </row>
    <row r="271" spans="1:7">
      <c r="A271" s="4" t="s">
        <v>503</v>
      </c>
      <c r="B271" s="5" t="s">
        <v>199</v>
      </c>
      <c r="C271" s="8">
        <v>2</v>
      </c>
      <c r="D271" s="5"/>
      <c r="E271" s="5"/>
      <c r="F271" s="5"/>
      <c r="G271" t="s">
        <v>1101</v>
      </c>
    </row>
    <row r="272" spans="1:7">
      <c r="A272" s="4" t="s">
        <v>504</v>
      </c>
      <c r="B272" s="5" t="s">
        <v>199</v>
      </c>
      <c r="C272" s="8">
        <v>2.125</v>
      </c>
      <c r="D272" s="5"/>
      <c r="E272" s="5"/>
      <c r="F272" s="5"/>
      <c r="G272" t="s">
        <v>1101</v>
      </c>
    </row>
    <row r="273" spans="1:7">
      <c r="A273" s="4" t="s">
        <v>505</v>
      </c>
      <c r="B273" s="5" t="s">
        <v>199</v>
      </c>
      <c r="C273" s="8">
        <v>2.25</v>
      </c>
      <c r="D273" s="5"/>
      <c r="E273" s="5"/>
      <c r="F273" s="5"/>
      <c r="G273" t="s">
        <v>1101</v>
      </c>
    </row>
    <row r="274" spans="1:7">
      <c r="A274" s="4" t="s">
        <v>506</v>
      </c>
      <c r="B274" s="5" t="s">
        <v>199</v>
      </c>
      <c r="C274" s="8">
        <v>2.375</v>
      </c>
      <c r="D274" s="5"/>
      <c r="E274" s="5"/>
      <c r="F274" s="5"/>
      <c r="G274" t="s">
        <v>1101</v>
      </c>
    </row>
    <row r="275" spans="1:7">
      <c r="A275" s="4" t="s">
        <v>507</v>
      </c>
      <c r="B275" s="5" t="s">
        <v>199</v>
      </c>
      <c r="C275" s="8">
        <v>2.5</v>
      </c>
      <c r="D275" s="5"/>
      <c r="E275" s="5"/>
      <c r="F275" s="5"/>
      <c r="G275" t="s">
        <v>1101</v>
      </c>
    </row>
    <row r="276" spans="1:7">
      <c r="A276" s="4" t="s">
        <v>508</v>
      </c>
      <c r="B276" s="5" t="s">
        <v>199</v>
      </c>
      <c r="C276" s="8">
        <v>2.625</v>
      </c>
      <c r="D276" s="5"/>
      <c r="E276" s="5"/>
      <c r="F276" s="5"/>
      <c r="G276" t="s">
        <v>1101</v>
      </c>
    </row>
    <row r="277" spans="1:7">
      <c r="A277" s="4" t="s">
        <v>509</v>
      </c>
      <c r="B277" s="5" t="s">
        <v>199</v>
      </c>
      <c r="C277" s="8">
        <v>2.75</v>
      </c>
      <c r="D277" s="5"/>
      <c r="E277" s="5"/>
      <c r="F277" s="5"/>
      <c r="G277" t="s">
        <v>1101</v>
      </c>
    </row>
    <row r="278" spans="1:7">
      <c r="A278" s="4" t="s">
        <v>510</v>
      </c>
      <c r="B278" s="5" t="s">
        <v>199</v>
      </c>
      <c r="C278" s="8">
        <v>2.875</v>
      </c>
      <c r="D278" s="5"/>
      <c r="E278" s="5"/>
      <c r="F278" s="5"/>
      <c r="G278" t="s">
        <v>1101</v>
      </c>
    </row>
    <row r="279" spans="1:7">
      <c r="A279" s="4" t="s">
        <v>511</v>
      </c>
      <c r="B279" s="5" t="s">
        <v>199</v>
      </c>
      <c r="C279" s="8">
        <v>3</v>
      </c>
      <c r="D279" s="5"/>
      <c r="E279" s="5"/>
      <c r="F279" s="5"/>
      <c r="G279" t="s">
        <v>1101</v>
      </c>
    </row>
    <row r="280" spans="1:7">
      <c r="A280" s="4" t="s">
        <v>512</v>
      </c>
      <c r="B280" s="5" t="s">
        <v>199</v>
      </c>
      <c r="C280" s="8">
        <v>3.125</v>
      </c>
      <c r="D280" s="5"/>
      <c r="E280" s="5"/>
      <c r="F280" s="5"/>
      <c r="G280" t="s">
        <v>1101</v>
      </c>
    </row>
    <row r="281" spans="1:7">
      <c r="A281" s="4" t="s">
        <v>513</v>
      </c>
      <c r="B281" s="5" t="s">
        <v>199</v>
      </c>
      <c r="C281" s="8">
        <v>3.25</v>
      </c>
      <c r="D281" s="5"/>
      <c r="E281" s="5"/>
      <c r="F281" s="5"/>
      <c r="G281" t="s">
        <v>1101</v>
      </c>
    </row>
    <row r="282" spans="1:7">
      <c r="A282" s="4" t="s">
        <v>514</v>
      </c>
      <c r="B282" s="5" t="s">
        <v>199</v>
      </c>
      <c r="C282" s="8">
        <v>3.375</v>
      </c>
      <c r="D282" s="5"/>
      <c r="E282" s="5"/>
      <c r="F282" s="5"/>
      <c r="G282" t="s">
        <v>1101</v>
      </c>
    </row>
    <row r="283" spans="1:7">
      <c r="A283" s="4" t="s">
        <v>515</v>
      </c>
      <c r="B283" s="5" t="s">
        <v>199</v>
      </c>
      <c r="C283" s="8">
        <v>3.5</v>
      </c>
      <c r="D283" s="5"/>
      <c r="E283" s="5"/>
      <c r="F283" s="5"/>
      <c r="G283" t="s">
        <v>1101</v>
      </c>
    </row>
    <row r="284" spans="1:7">
      <c r="A284" s="4" t="s">
        <v>516</v>
      </c>
      <c r="B284" s="5" t="s">
        <v>199</v>
      </c>
      <c r="C284" s="8">
        <v>3.625</v>
      </c>
      <c r="D284" s="5"/>
      <c r="E284" s="5"/>
      <c r="F284" s="5"/>
      <c r="G284" t="s">
        <v>1101</v>
      </c>
    </row>
    <row r="285" spans="1:7">
      <c r="A285" s="4" t="s">
        <v>517</v>
      </c>
      <c r="B285" s="5" t="s">
        <v>199</v>
      </c>
      <c r="C285" s="8">
        <v>3.75</v>
      </c>
      <c r="D285" s="5"/>
      <c r="E285" s="5"/>
      <c r="F285" s="5"/>
      <c r="G285" t="s">
        <v>1101</v>
      </c>
    </row>
    <row r="286" spans="1:7">
      <c r="A286" s="4" t="s">
        <v>518</v>
      </c>
      <c r="B286" s="5" t="s">
        <v>199</v>
      </c>
      <c r="C286" s="8">
        <v>3.875</v>
      </c>
      <c r="D286" s="5"/>
      <c r="E286" s="5"/>
      <c r="F286" s="5"/>
      <c r="G286" t="s">
        <v>1101</v>
      </c>
    </row>
    <row r="287" spans="1:7">
      <c r="A287" s="4" t="s">
        <v>519</v>
      </c>
      <c r="B287" s="5" t="s">
        <v>199</v>
      </c>
      <c r="C287" s="8">
        <v>4</v>
      </c>
      <c r="D287" s="5"/>
      <c r="E287" s="5"/>
      <c r="F287" s="5"/>
      <c r="G287" t="s">
        <v>1101</v>
      </c>
    </row>
    <row r="288" spans="1:7">
      <c r="A288" s="4" t="s">
        <v>520</v>
      </c>
      <c r="B288" s="5" t="s">
        <v>199</v>
      </c>
      <c r="C288" s="53">
        <v>4</v>
      </c>
      <c r="D288" s="5"/>
      <c r="E288" s="5"/>
      <c r="F288" s="5"/>
      <c r="G288" t="s">
        <v>1101</v>
      </c>
    </row>
    <row r="289" spans="1:13">
      <c r="A289" s="4"/>
      <c r="B289" s="5"/>
      <c r="C289" s="8"/>
      <c r="D289" s="5"/>
      <c r="E289" s="5"/>
      <c r="F289" s="5"/>
      <c r="G289" t="s">
        <v>1101</v>
      </c>
      <c r="H289" s="108"/>
      <c r="I289" s="108"/>
      <c r="J289" s="108"/>
      <c r="K289" s="108"/>
      <c r="L289" s="108"/>
      <c r="M289" s="108"/>
    </row>
    <row r="290" spans="1:13">
      <c r="A290" s="4" t="s">
        <v>521</v>
      </c>
      <c r="B290" s="5" t="s">
        <v>19</v>
      </c>
      <c r="C290" s="57">
        <v>-2.321949618E-2</v>
      </c>
      <c r="D290" s="5"/>
      <c r="E290" s="5"/>
      <c r="F290" s="5"/>
      <c r="G290" t="s">
        <v>1101</v>
      </c>
      <c r="H290" s="109"/>
      <c r="I290" s="109"/>
      <c r="J290" s="108"/>
      <c r="K290" s="108"/>
      <c r="L290" s="108"/>
      <c r="M290" s="110"/>
    </row>
    <row r="291" spans="1:13">
      <c r="A291" s="4" t="s">
        <v>522</v>
      </c>
      <c r="B291" s="5" t="s">
        <v>19</v>
      </c>
      <c r="C291" s="57">
        <v>-2.32327112901724E-2</v>
      </c>
      <c r="D291" s="5"/>
      <c r="E291" s="5"/>
      <c r="F291" s="5"/>
      <c r="G291" t="s">
        <v>1101</v>
      </c>
      <c r="H291" s="109"/>
      <c r="I291" s="109"/>
      <c r="J291" s="108"/>
      <c r="K291" s="108"/>
      <c r="L291" s="108"/>
      <c r="M291" s="110"/>
    </row>
    <row r="292" spans="1:13">
      <c r="A292" s="4" t="s">
        <v>523</v>
      </c>
      <c r="B292" s="5" t="s">
        <v>19</v>
      </c>
      <c r="C292" s="57">
        <v>-2.3183623855547002E-2</v>
      </c>
      <c r="D292" s="5"/>
      <c r="E292" s="5"/>
      <c r="F292" s="5"/>
      <c r="G292" t="s">
        <v>1101</v>
      </c>
      <c r="H292" s="109"/>
      <c r="I292" s="109"/>
      <c r="J292" s="108"/>
      <c r="K292" s="108"/>
      <c r="L292" s="108"/>
      <c r="M292" s="110"/>
    </row>
    <row r="293" spans="1:13">
      <c r="A293" s="4" t="s">
        <v>524</v>
      </c>
      <c r="B293" s="5" t="s">
        <v>19</v>
      </c>
      <c r="C293" s="57">
        <v>-2.31014283579975E-2</v>
      </c>
      <c r="D293" s="5"/>
      <c r="E293" s="5"/>
      <c r="F293" s="5"/>
      <c r="G293" t="s">
        <v>1101</v>
      </c>
      <c r="H293" s="109"/>
      <c r="I293" s="109"/>
      <c r="J293" s="108"/>
      <c r="K293" s="108"/>
      <c r="L293" s="108"/>
      <c r="M293" s="110"/>
    </row>
    <row r="294" spans="1:13">
      <c r="A294" s="4" t="s">
        <v>525</v>
      </c>
      <c r="B294" s="5" t="s">
        <v>19</v>
      </c>
      <c r="C294" s="57">
        <v>-2.3006900826000001E-2</v>
      </c>
      <c r="D294" s="5"/>
      <c r="E294" s="5"/>
      <c r="F294" s="5"/>
      <c r="G294" t="s">
        <v>1101</v>
      </c>
      <c r="H294" s="109"/>
      <c r="I294" s="109"/>
      <c r="J294" s="108"/>
      <c r="K294" s="108"/>
      <c r="L294" s="108"/>
      <c r="M294" s="110"/>
    </row>
    <row r="295" spans="1:13">
      <c r="A295" s="4" t="s">
        <v>526</v>
      </c>
      <c r="B295" s="5" t="s">
        <v>19</v>
      </c>
      <c r="C295" s="57">
        <v>-2.2913200505236798E-2</v>
      </c>
      <c r="D295" s="5"/>
      <c r="E295" s="5"/>
      <c r="F295" s="5"/>
      <c r="G295" t="s">
        <v>1101</v>
      </c>
      <c r="H295" s="109"/>
      <c r="I295" s="109"/>
      <c r="J295" s="108"/>
      <c r="K295" s="108"/>
      <c r="L295" s="108"/>
      <c r="M295" s="110"/>
    </row>
    <row r="296" spans="1:13">
      <c r="A296" s="4" t="s">
        <v>527</v>
      </c>
      <c r="B296" s="5" t="s">
        <v>19</v>
      </c>
      <c r="C296" s="57">
        <v>-2.2826671529203198E-2</v>
      </c>
      <c r="D296" s="5"/>
      <c r="E296" s="5"/>
      <c r="F296" s="5"/>
      <c r="G296" t="s">
        <v>1101</v>
      </c>
      <c r="H296" s="109"/>
      <c r="I296" s="109"/>
      <c r="J296" s="108"/>
      <c r="K296" s="108"/>
      <c r="L296" s="108"/>
      <c r="M296" s="110"/>
    </row>
    <row r="297" spans="1:13">
      <c r="A297" s="4" t="s">
        <v>528</v>
      </c>
      <c r="B297" s="5" t="s">
        <v>19</v>
      </c>
      <c r="C297" s="57">
        <v>-2.2747644589811999E-2</v>
      </c>
      <c r="D297" s="5"/>
      <c r="E297" s="5"/>
      <c r="F297" s="5"/>
      <c r="G297" t="s">
        <v>1101</v>
      </c>
      <c r="H297" s="109"/>
      <c r="I297" s="109"/>
      <c r="J297" s="108"/>
      <c r="K297" s="108"/>
      <c r="L297" s="108"/>
      <c r="M297" s="110"/>
    </row>
    <row r="298" spans="1:13">
      <c r="A298" s="4" t="s">
        <v>529</v>
      </c>
      <c r="B298" s="5" t="s">
        <v>19</v>
      </c>
      <c r="C298" s="57">
        <v>-2.2671238608000001E-2</v>
      </c>
      <c r="D298" s="5"/>
      <c r="E298" s="5"/>
      <c r="F298" s="5"/>
      <c r="G298" t="s">
        <v>1101</v>
      </c>
      <c r="H298" s="109"/>
      <c r="I298" s="109"/>
      <c r="J298" s="108"/>
      <c r="K298" s="108"/>
      <c r="L298" s="108"/>
      <c r="M298" s="110"/>
    </row>
    <row r="299" spans="1:13">
      <c r="A299" s="4" t="s">
        <v>530</v>
      </c>
      <c r="B299" s="5" t="s">
        <v>19</v>
      </c>
      <c r="C299" s="57">
        <v>-2.25881624043325E-2</v>
      </c>
      <c r="D299" s="5"/>
      <c r="E299" s="5"/>
      <c r="F299" s="5"/>
      <c r="G299" t="s">
        <v>1101</v>
      </c>
      <c r="H299" s="109"/>
      <c r="I299" s="109"/>
      <c r="J299" s="108"/>
      <c r="K299" s="108"/>
      <c r="L299" s="108"/>
      <c r="M299" s="110"/>
    </row>
    <row r="300" spans="1:13">
      <c r="A300" s="4" t="s">
        <v>531</v>
      </c>
      <c r="B300" s="5" t="s">
        <v>19</v>
      </c>
      <c r="C300" s="57">
        <v>-2.2485516369609399E-2</v>
      </c>
      <c r="D300" s="5"/>
      <c r="E300" s="5"/>
      <c r="F300" s="5"/>
      <c r="G300" t="s">
        <v>1101</v>
      </c>
      <c r="H300" s="109"/>
      <c r="I300" s="109"/>
      <c r="J300" s="108"/>
      <c r="K300" s="108"/>
      <c r="L300" s="108"/>
      <c r="M300" s="110"/>
    </row>
    <row r="301" spans="1:13">
      <c r="A301" s="4" t="s">
        <v>532</v>
      </c>
      <c r="B301" s="5" t="s">
        <v>19</v>
      </c>
      <c r="C301" s="57">
        <v>-2.23475941354703E-2</v>
      </c>
      <c r="D301" s="5"/>
      <c r="E301" s="5"/>
      <c r="F301" s="5"/>
      <c r="G301" t="s">
        <v>1101</v>
      </c>
      <c r="H301" s="109"/>
      <c r="I301" s="109"/>
      <c r="J301" s="108"/>
      <c r="K301" s="108"/>
      <c r="L301" s="108"/>
      <c r="M301" s="110"/>
    </row>
    <row r="302" spans="1:13">
      <c r="A302" s="4" t="s">
        <v>533</v>
      </c>
      <c r="B302" s="5" t="s">
        <v>19</v>
      </c>
      <c r="C302" s="57">
        <v>-2.2156684244999999E-2</v>
      </c>
      <c r="D302" s="5"/>
      <c r="E302" s="5"/>
      <c r="F302" s="5"/>
      <c r="G302" t="s">
        <v>1101</v>
      </c>
      <c r="H302" s="109"/>
      <c r="I302" s="109"/>
      <c r="J302" s="108"/>
      <c r="K302" s="108"/>
      <c r="L302" s="108"/>
      <c r="M302" s="110"/>
    </row>
    <row r="303" spans="1:13">
      <c r="A303" s="4" t="s">
        <v>534</v>
      </c>
      <c r="B303" s="5" t="s">
        <v>19</v>
      </c>
      <c r="C303" s="57">
        <v>-2.18938718233345E-2</v>
      </c>
      <c r="D303" s="5"/>
      <c r="E303" s="5"/>
      <c r="F303" s="5"/>
      <c r="G303" t="s">
        <v>1101</v>
      </c>
      <c r="H303" s="109"/>
      <c r="I303" s="109"/>
      <c r="J303" s="108"/>
      <c r="K303" s="108"/>
      <c r="L303" s="108"/>
      <c r="M303" s="110"/>
    </row>
    <row r="304" spans="1:13">
      <c r="A304" s="4" t="s">
        <v>535</v>
      </c>
      <c r="B304" s="5" t="s">
        <v>19</v>
      </c>
      <c r="C304" s="57">
        <v>-2.1539840248265701E-2</v>
      </c>
      <c r="D304" s="5"/>
      <c r="E304" s="5"/>
      <c r="F304" s="5"/>
      <c r="G304" t="s">
        <v>1101</v>
      </c>
      <c r="H304" s="109"/>
      <c r="I304" s="109"/>
      <c r="J304" s="108"/>
      <c r="K304" s="108"/>
      <c r="L304" s="108"/>
      <c r="M304" s="110"/>
    </row>
    <row r="305" spans="1:13">
      <c r="A305" s="4" t="s">
        <v>536</v>
      </c>
      <c r="B305" s="5" t="s">
        <v>19</v>
      </c>
      <c r="C305" s="57">
        <v>-2.1075672820847199E-2</v>
      </c>
      <c r="D305" s="5"/>
      <c r="E305" s="5"/>
      <c r="F305" s="5"/>
      <c r="G305" t="s">
        <v>1101</v>
      </c>
      <c r="H305" s="109"/>
      <c r="I305" s="109"/>
      <c r="J305" s="108"/>
      <c r="K305" s="108"/>
      <c r="L305" s="108"/>
      <c r="M305" s="110"/>
    </row>
    <row r="306" spans="1:13">
      <c r="A306" s="4" t="s">
        <v>537</v>
      </c>
      <c r="B306" s="5" t="s">
        <v>19</v>
      </c>
      <c r="C306" s="57">
        <v>-2.0483654436E-2</v>
      </c>
      <c r="D306" s="5"/>
      <c r="E306" s="5"/>
      <c r="F306" s="5"/>
      <c r="G306" t="s">
        <v>1101</v>
      </c>
      <c r="H306" s="109"/>
      <c r="I306" s="109"/>
      <c r="J306" s="108"/>
      <c r="K306" s="108"/>
      <c r="L306" s="108"/>
      <c r="M306" s="110"/>
    </row>
    <row r="307" spans="1:13">
      <c r="A307" s="4" t="s">
        <v>538</v>
      </c>
      <c r="B307" s="5" t="s">
        <v>19</v>
      </c>
      <c r="C307" s="57">
        <v>-1.9748073253117698E-2</v>
      </c>
      <c r="D307" s="5"/>
      <c r="E307" s="5"/>
      <c r="F307" s="5"/>
      <c r="G307" t="s">
        <v>1101</v>
      </c>
      <c r="H307" s="109"/>
      <c r="I307" s="109"/>
      <c r="J307" s="108"/>
      <c r="K307" s="108"/>
      <c r="L307" s="108"/>
      <c r="M307" s="110"/>
    </row>
    <row r="308" spans="1:13">
      <c r="A308" s="4" t="s">
        <v>539</v>
      </c>
      <c r="B308" s="5" t="s">
        <v>19</v>
      </c>
      <c r="C308" s="57">
        <v>-1.8856022366671801E-2</v>
      </c>
      <c r="D308" s="5"/>
      <c r="E308" s="5"/>
      <c r="F308" s="5"/>
      <c r="G308" t="s">
        <v>1101</v>
      </c>
      <c r="H308" s="109"/>
      <c r="I308" s="109"/>
      <c r="J308" s="108"/>
      <c r="K308" s="108"/>
      <c r="L308" s="108"/>
      <c r="M308" s="110"/>
    </row>
    <row r="309" spans="1:13">
      <c r="A309" s="4" t="s">
        <v>540</v>
      </c>
      <c r="B309" s="5" t="s">
        <v>19</v>
      </c>
      <c r="C309" s="57">
        <v>-1.8217640631515701E-2</v>
      </c>
      <c r="D309" s="5"/>
      <c r="E309" s="5"/>
      <c r="F309" s="5"/>
      <c r="G309" t="s">
        <v>1101</v>
      </c>
      <c r="H309" s="109"/>
      <c r="I309" s="109"/>
      <c r="J309" s="108"/>
      <c r="K309" s="108"/>
      <c r="L309" s="108"/>
      <c r="M309" s="110"/>
    </row>
    <row r="310" spans="1:13">
      <c r="A310" s="4" t="s">
        <v>541</v>
      </c>
      <c r="B310" s="5" t="s">
        <v>19</v>
      </c>
      <c r="C310" s="57">
        <v>-1.7506099026000001E-2</v>
      </c>
      <c r="D310" s="5"/>
      <c r="E310" s="5"/>
      <c r="F310" s="5"/>
      <c r="G310" t="s">
        <v>1101</v>
      </c>
      <c r="H310" s="109"/>
      <c r="I310" s="109"/>
      <c r="J310" s="108"/>
      <c r="K310" s="108"/>
      <c r="L310" s="108"/>
      <c r="M310" s="110"/>
    </row>
    <row r="311" spans="1:13">
      <c r="A311" s="4" t="s">
        <v>542</v>
      </c>
      <c r="B311" s="5" t="s">
        <v>19</v>
      </c>
      <c r="C311" s="57">
        <v>-1.6928519553984299E-2</v>
      </c>
      <c r="D311" s="5"/>
      <c r="E311" s="5"/>
      <c r="F311" s="5"/>
      <c r="G311" t="s">
        <v>1101</v>
      </c>
      <c r="H311" s="109"/>
      <c r="I311" s="109"/>
      <c r="J311" s="108"/>
      <c r="K311" s="108"/>
      <c r="L311" s="108"/>
      <c r="M311" s="110"/>
    </row>
    <row r="312" spans="1:13">
      <c r="A312" s="4" t="s">
        <v>543</v>
      </c>
      <c r="B312" s="5" t="s">
        <v>19</v>
      </c>
      <c r="C312" s="57">
        <v>-1.6387430412375E-2</v>
      </c>
      <c r="D312" s="5"/>
      <c r="E312" s="5"/>
      <c r="F312" s="5"/>
      <c r="G312" t="s">
        <v>1101</v>
      </c>
      <c r="H312" s="109"/>
      <c r="I312" s="109"/>
      <c r="J312" s="108"/>
      <c r="K312" s="108"/>
      <c r="L312" s="108"/>
      <c r="M312" s="110"/>
    </row>
    <row r="313" spans="1:13">
      <c r="A313" s="4" t="s">
        <v>544</v>
      </c>
      <c r="B313" s="5" t="s">
        <v>19</v>
      </c>
      <c r="C313" s="57">
        <v>-1.57853597980782E-2</v>
      </c>
      <c r="D313" s="5"/>
      <c r="E313" s="5"/>
      <c r="F313" s="5"/>
      <c r="G313" t="s">
        <v>1101</v>
      </c>
      <c r="H313" s="109"/>
      <c r="I313" s="109"/>
      <c r="J313" s="108"/>
      <c r="K313" s="108"/>
      <c r="L313" s="108"/>
      <c r="M313" s="110"/>
    </row>
    <row r="314" spans="1:13">
      <c r="A314" s="4" t="s">
        <v>545</v>
      </c>
      <c r="B314" s="5" t="s">
        <v>19</v>
      </c>
      <c r="C314" s="57">
        <v>-1.5024835908E-2</v>
      </c>
      <c r="D314" s="5"/>
      <c r="E314" s="5"/>
      <c r="F314" s="5"/>
      <c r="G314" t="s">
        <v>1101</v>
      </c>
      <c r="H314" s="109"/>
      <c r="I314" s="109"/>
      <c r="J314" s="108"/>
      <c r="K314" s="108"/>
      <c r="L314" s="108"/>
      <c r="M314" s="110"/>
    </row>
    <row r="315" spans="1:13">
      <c r="A315" s="4" t="s">
        <v>546</v>
      </c>
      <c r="B315" s="5" t="s">
        <v>19</v>
      </c>
      <c r="C315" s="57">
        <v>-1.40360554949062E-2</v>
      </c>
      <c r="D315" s="5"/>
      <c r="E315" s="5"/>
      <c r="F315" s="5"/>
      <c r="G315" t="s">
        <v>1101</v>
      </c>
      <c r="H315" s="109"/>
      <c r="I315" s="109"/>
      <c r="J315" s="108"/>
      <c r="K315" s="108"/>
      <c r="L315" s="108"/>
      <c r="M315" s="110"/>
    </row>
    <row r="316" spans="1:13">
      <c r="A316" s="4" t="s">
        <v>547</v>
      </c>
      <c r="B316" s="5" t="s">
        <v>19</v>
      </c>
      <c r="C316" s="57">
        <v>-1.3716000000000001E-2</v>
      </c>
      <c r="D316" s="5"/>
      <c r="E316" s="5"/>
      <c r="F316" s="5"/>
      <c r="G316" t="s">
        <v>1101</v>
      </c>
      <c r="H316" s="109"/>
      <c r="I316" s="109"/>
      <c r="J316" s="108"/>
      <c r="K316" s="108"/>
      <c r="L316" s="108"/>
      <c r="M316" s="110"/>
    </row>
    <row r="317" spans="1:13">
      <c r="A317" s="4" t="s">
        <v>548</v>
      </c>
      <c r="B317" s="5" t="s">
        <v>19</v>
      </c>
      <c r="C317" s="57">
        <v>-1.35E-2</v>
      </c>
      <c r="D317" s="5"/>
      <c r="E317" s="5"/>
      <c r="F317" s="5"/>
      <c r="G317" t="s">
        <v>1101</v>
      </c>
      <c r="H317" s="109"/>
      <c r="I317" s="109"/>
      <c r="J317" s="108"/>
      <c r="K317" s="108"/>
      <c r="L317" s="108"/>
      <c r="M317" s="110"/>
    </row>
    <row r="318" spans="1:13">
      <c r="A318" s="4" t="s">
        <v>549</v>
      </c>
      <c r="B318" s="5" t="s">
        <v>19</v>
      </c>
      <c r="C318" s="57">
        <v>-1.3284000000000001E-2</v>
      </c>
      <c r="D318" s="5"/>
      <c r="E318" s="5"/>
      <c r="F318" s="5"/>
      <c r="G318" t="s">
        <v>1101</v>
      </c>
      <c r="H318" s="109"/>
      <c r="I318" s="109"/>
      <c r="J318" s="108"/>
      <c r="K318" s="108"/>
      <c r="L318" s="108"/>
      <c r="M318" s="110"/>
    </row>
    <row r="319" spans="1:13">
      <c r="A319" s="4" t="s">
        <v>550</v>
      </c>
      <c r="B319" s="5" t="s">
        <v>19</v>
      </c>
      <c r="C319" s="57">
        <v>-1.2959999999999999E-2</v>
      </c>
      <c r="D319" s="5"/>
      <c r="E319" s="5"/>
      <c r="F319" s="5"/>
      <c r="G319" t="s">
        <v>1101</v>
      </c>
      <c r="H319" s="109"/>
      <c r="I319" s="109"/>
      <c r="J319" s="108"/>
      <c r="K319" s="108"/>
      <c r="L319" s="108"/>
      <c r="M319" s="110"/>
    </row>
    <row r="320" spans="1:13">
      <c r="A320" s="4" t="s">
        <v>551</v>
      </c>
      <c r="B320" s="5" t="s">
        <v>19</v>
      </c>
      <c r="C320" s="57">
        <v>-1.188E-2</v>
      </c>
      <c r="D320" s="5"/>
      <c r="E320" s="5"/>
      <c r="F320" s="5"/>
      <c r="G320" t="s">
        <v>1101</v>
      </c>
      <c r="H320" s="109"/>
      <c r="I320" s="109"/>
      <c r="J320" s="108"/>
      <c r="K320" s="108"/>
      <c r="L320" s="108"/>
      <c r="M320" s="110"/>
    </row>
    <row r="321" spans="1:13">
      <c r="A321" s="4" t="s">
        <v>552</v>
      </c>
      <c r="B321" s="5" t="s">
        <v>19</v>
      </c>
      <c r="C321" s="57">
        <v>-1.0800000000000001E-2</v>
      </c>
      <c r="D321" s="5"/>
      <c r="E321" s="5"/>
      <c r="F321" s="5"/>
      <c r="G321" t="s">
        <v>1101</v>
      </c>
      <c r="H321" s="109"/>
      <c r="I321" s="109"/>
      <c r="J321" s="108"/>
      <c r="K321" s="108"/>
      <c r="L321" s="108"/>
      <c r="M321" s="110"/>
    </row>
    <row r="322" spans="1:13">
      <c r="A322" s="4" t="s">
        <v>553</v>
      </c>
      <c r="B322" s="5" t="s">
        <v>19</v>
      </c>
      <c r="C322" s="57">
        <v>0</v>
      </c>
      <c r="D322" s="5"/>
      <c r="E322" s="5"/>
      <c r="F322" s="5"/>
      <c r="G322" t="s">
        <v>1101</v>
      </c>
      <c r="H322" s="109"/>
      <c r="I322" s="109"/>
      <c r="J322" s="108"/>
      <c r="K322" s="108"/>
      <c r="L322" s="108"/>
      <c r="M322" s="110"/>
    </row>
    <row r="323" spans="1:13">
      <c r="A323" s="4" t="s">
        <v>554</v>
      </c>
      <c r="B323" s="5" t="s">
        <v>19</v>
      </c>
      <c r="C323" s="57">
        <v>1.0800000000000001E-2</v>
      </c>
      <c r="D323" s="5"/>
      <c r="E323" s="5"/>
      <c r="F323" s="5"/>
      <c r="G323" t="s">
        <v>1101</v>
      </c>
      <c r="H323" s="109"/>
      <c r="I323" s="109"/>
      <c r="J323" s="108"/>
      <c r="K323" s="108"/>
      <c r="L323" s="108"/>
      <c r="M323" s="110"/>
    </row>
    <row r="324" spans="1:13">
      <c r="A324" s="4" t="s">
        <v>555</v>
      </c>
      <c r="B324" s="5" t="s">
        <v>19</v>
      </c>
      <c r="C324" s="57">
        <v>1.188E-2</v>
      </c>
      <c r="D324" s="5"/>
      <c r="E324" s="5"/>
      <c r="F324" s="5"/>
      <c r="G324" t="s">
        <v>1101</v>
      </c>
      <c r="H324" s="109"/>
      <c r="I324" s="109"/>
      <c r="J324" s="108"/>
      <c r="K324" s="108"/>
      <c r="L324" s="108"/>
      <c r="M324" s="110"/>
    </row>
    <row r="325" spans="1:13">
      <c r="A325" s="4" t="s">
        <v>556</v>
      </c>
      <c r="B325" s="5" t="s">
        <v>19</v>
      </c>
      <c r="C325" s="57">
        <v>1.2959999999999999E-2</v>
      </c>
      <c r="D325" s="5"/>
      <c r="E325" s="5"/>
      <c r="F325" s="5"/>
      <c r="G325" t="s">
        <v>1101</v>
      </c>
      <c r="H325" s="109"/>
      <c r="I325" s="109"/>
      <c r="J325" s="108"/>
      <c r="K325" s="108"/>
      <c r="L325" s="108"/>
      <c r="M325" s="110"/>
    </row>
    <row r="326" spans="1:13">
      <c r="A326" s="4" t="s">
        <v>557</v>
      </c>
      <c r="B326" s="5" t="s">
        <v>19</v>
      </c>
      <c r="C326" s="57">
        <v>1.3391999999999999E-2</v>
      </c>
      <c r="D326" s="5"/>
      <c r="E326" s="5"/>
      <c r="F326" s="5"/>
      <c r="G326" t="s">
        <v>1101</v>
      </c>
      <c r="H326" s="109"/>
      <c r="I326" s="109"/>
      <c r="J326" s="108"/>
      <c r="K326" s="108"/>
      <c r="L326" s="108"/>
      <c r="M326" s="110"/>
    </row>
    <row r="327" spans="1:13">
      <c r="A327" s="4" t="s">
        <v>558</v>
      </c>
      <c r="B327" s="5" t="s">
        <v>19</v>
      </c>
      <c r="C327" s="57">
        <v>1.3608E-2</v>
      </c>
      <c r="D327" s="5"/>
      <c r="E327" s="5"/>
      <c r="F327" s="5"/>
      <c r="G327" t="s">
        <v>1101</v>
      </c>
      <c r="H327" s="109"/>
      <c r="I327" s="109"/>
      <c r="J327" s="108"/>
      <c r="K327" s="108"/>
      <c r="L327" s="108"/>
      <c r="M327" s="110"/>
    </row>
    <row r="328" spans="1:13">
      <c r="A328" s="4" t="s">
        <v>559</v>
      </c>
      <c r="B328" s="5" t="s">
        <v>19</v>
      </c>
      <c r="C328" s="57">
        <v>1.5098323318945299E-2</v>
      </c>
      <c r="D328" s="5"/>
      <c r="E328" s="5"/>
      <c r="F328" s="5"/>
      <c r="G328" t="s">
        <v>1101</v>
      </c>
      <c r="H328" s="109"/>
      <c r="I328" s="109"/>
      <c r="J328" s="108"/>
      <c r="K328" s="108"/>
      <c r="L328" s="108"/>
      <c r="M328" s="110"/>
    </row>
    <row r="329" spans="1:13">
      <c r="A329" s="4" t="s">
        <v>560</v>
      </c>
      <c r="B329" s="5" t="s">
        <v>19</v>
      </c>
      <c r="C329" s="57">
        <v>1.62392548183867E-2</v>
      </c>
      <c r="D329" s="5"/>
      <c r="E329" s="5"/>
      <c r="F329" s="5"/>
      <c r="G329" t="s">
        <v>1101</v>
      </c>
      <c r="H329" s="109"/>
      <c r="I329" s="109"/>
      <c r="J329" s="108"/>
      <c r="K329" s="108"/>
      <c r="L329" s="108"/>
      <c r="M329" s="110"/>
    </row>
    <row r="330" spans="1:13">
      <c r="A330" s="4" t="s">
        <v>561</v>
      </c>
      <c r="B330" s="5" t="s">
        <v>19</v>
      </c>
      <c r="C330" s="57">
        <v>1.68092172E-2</v>
      </c>
      <c r="D330" s="5"/>
      <c r="E330" s="5"/>
      <c r="F330" s="5"/>
      <c r="G330" t="s">
        <v>1101</v>
      </c>
      <c r="H330" s="109"/>
      <c r="I330" s="109"/>
      <c r="J330" s="108"/>
      <c r="K330" s="108"/>
      <c r="L330" s="108"/>
      <c r="M330" s="110"/>
    </row>
    <row r="331" spans="1:13">
      <c r="A331" s="4" t="s">
        <v>562</v>
      </c>
      <c r="B331" s="5" t="s">
        <v>19</v>
      </c>
      <c r="C331" s="57">
        <v>1.7460871818750001E-2</v>
      </c>
      <c r="D331" s="5"/>
      <c r="E331" s="5"/>
      <c r="F331" s="5"/>
      <c r="G331" t="s">
        <v>1101</v>
      </c>
      <c r="H331" s="109"/>
      <c r="I331" s="109"/>
      <c r="J331" s="108"/>
      <c r="K331" s="108"/>
      <c r="L331" s="108"/>
      <c r="M331" s="110"/>
    </row>
    <row r="332" spans="1:13">
      <c r="A332" s="4" t="s">
        <v>563</v>
      </c>
      <c r="B332" s="5" t="s">
        <v>19</v>
      </c>
      <c r="C332" s="57">
        <v>1.8251266275000001E-2</v>
      </c>
      <c r="D332" s="5"/>
      <c r="E332" s="5"/>
      <c r="F332" s="5"/>
      <c r="G332" t="s">
        <v>1101</v>
      </c>
      <c r="H332" s="109"/>
      <c r="I332" s="109"/>
      <c r="J332" s="108"/>
      <c r="K332" s="108"/>
      <c r="L332" s="108"/>
      <c r="M332" s="110"/>
    </row>
    <row r="333" spans="1:13">
      <c r="A333" s="4" t="s">
        <v>564</v>
      </c>
      <c r="B333" s="5" t="s">
        <v>19</v>
      </c>
      <c r="C333" s="57">
        <v>1.9128864318750001E-2</v>
      </c>
      <c r="D333" s="5"/>
      <c r="E333" s="5"/>
      <c r="F333" s="5"/>
      <c r="G333" t="s">
        <v>1101</v>
      </c>
      <c r="H333" s="109"/>
      <c r="I333" s="109"/>
      <c r="J333" s="108"/>
      <c r="K333" s="108"/>
      <c r="L333" s="108"/>
      <c r="M333" s="110"/>
    </row>
    <row r="334" spans="1:13">
      <c r="A334" s="4" t="s">
        <v>565</v>
      </c>
      <c r="B334" s="5" t="s">
        <v>19</v>
      </c>
      <c r="C334" s="57">
        <v>2.0042129700000001E-2</v>
      </c>
      <c r="D334" s="5"/>
      <c r="E334" s="5"/>
      <c r="F334" s="5"/>
      <c r="G334" t="s">
        <v>1101</v>
      </c>
      <c r="H334" s="109"/>
      <c r="I334" s="109"/>
      <c r="J334" s="108"/>
      <c r="K334" s="108"/>
      <c r="L334" s="108"/>
      <c r="M334" s="110"/>
    </row>
    <row r="335" spans="1:13">
      <c r="A335" s="4" t="s">
        <v>566</v>
      </c>
      <c r="B335" s="5" t="s">
        <v>19</v>
      </c>
      <c r="C335" s="57">
        <v>2.093952616875E-2</v>
      </c>
      <c r="D335" s="5"/>
      <c r="E335" s="5"/>
      <c r="F335" s="5"/>
      <c r="G335" t="s">
        <v>1101</v>
      </c>
      <c r="H335" s="109"/>
      <c r="I335" s="109"/>
      <c r="J335" s="108"/>
      <c r="K335" s="108"/>
      <c r="L335" s="108"/>
      <c r="M335" s="110"/>
    </row>
    <row r="336" spans="1:13">
      <c r="A336" s="4" t="s">
        <v>567</v>
      </c>
      <c r="B336" s="5" t="s">
        <v>19</v>
      </c>
      <c r="C336" s="57">
        <v>2.09784249210936E-2</v>
      </c>
      <c r="D336" s="5"/>
      <c r="E336" s="5"/>
      <c r="F336" s="5"/>
      <c r="G336" t="s">
        <v>1101</v>
      </c>
      <c r="H336" s="109"/>
      <c r="I336" s="109"/>
      <c r="J336" s="108"/>
      <c r="K336" s="108"/>
      <c r="L336" s="108"/>
      <c r="M336" s="110"/>
    </row>
    <row r="337" spans="1:13">
      <c r="A337" s="4" t="s">
        <v>568</v>
      </c>
      <c r="B337" s="5" t="s">
        <v>19</v>
      </c>
      <c r="C337" s="57">
        <v>2.1966316954321299E-2</v>
      </c>
      <c r="D337" s="5"/>
      <c r="E337" s="5"/>
      <c r="F337" s="5"/>
      <c r="G337" t="s">
        <v>1101</v>
      </c>
      <c r="H337" s="109"/>
      <c r="I337" s="109"/>
      <c r="J337" s="108"/>
      <c r="K337" s="108"/>
      <c r="L337" s="108"/>
      <c r="M337" s="110"/>
    </row>
    <row r="338" spans="1:13">
      <c r="A338" s="4" t="s">
        <v>569</v>
      </c>
      <c r="B338" s="5" t="s">
        <v>19</v>
      </c>
      <c r="C338" s="57">
        <v>2.2560098399999999E-2</v>
      </c>
      <c r="D338" s="5"/>
      <c r="E338" s="5"/>
      <c r="F338" s="5"/>
      <c r="G338" t="s">
        <v>1101</v>
      </c>
      <c r="H338" s="109"/>
      <c r="I338" s="109"/>
      <c r="J338" s="108"/>
      <c r="K338" s="108"/>
      <c r="L338" s="108"/>
      <c r="M338" s="110"/>
    </row>
    <row r="339" spans="1:13">
      <c r="A339" s="4" t="s">
        <v>570</v>
      </c>
      <c r="B339" s="5" t="s">
        <v>19</v>
      </c>
      <c r="C339" s="57">
        <v>2.2895518285327002E-2</v>
      </c>
      <c r="D339" s="5"/>
      <c r="E339" s="5"/>
      <c r="F339" s="5"/>
      <c r="G339" t="s">
        <v>1101</v>
      </c>
      <c r="H339" s="109"/>
      <c r="I339" s="109"/>
      <c r="J339" s="108"/>
      <c r="K339" s="108"/>
      <c r="L339" s="108"/>
      <c r="M339" s="110"/>
    </row>
    <row r="340" spans="1:13">
      <c r="A340" s="4" t="s">
        <v>571</v>
      </c>
      <c r="B340" s="5" t="s">
        <v>19</v>
      </c>
      <c r="C340" s="57">
        <v>2.3076842013281199E-2</v>
      </c>
      <c r="D340" s="5"/>
      <c r="E340" s="5"/>
      <c r="F340" s="5"/>
      <c r="G340" t="s">
        <v>1101</v>
      </c>
      <c r="H340" s="109"/>
      <c r="I340" s="109"/>
      <c r="J340" s="108"/>
      <c r="K340" s="108"/>
      <c r="L340" s="108"/>
      <c r="M340" s="110"/>
    </row>
    <row r="341" spans="1:13">
      <c r="A341" s="4" t="s">
        <v>572</v>
      </c>
      <c r="B341" s="5" t="s">
        <v>19</v>
      </c>
      <c r="C341" s="57">
        <v>2.31805799729735E-2</v>
      </c>
      <c r="D341" s="5"/>
      <c r="E341" s="5"/>
      <c r="F341" s="5"/>
      <c r="G341" t="s">
        <v>1101</v>
      </c>
      <c r="H341" s="109"/>
      <c r="I341" s="109"/>
      <c r="J341" s="108"/>
      <c r="K341" s="108"/>
      <c r="L341" s="108"/>
      <c r="M341" s="110"/>
    </row>
    <row r="342" spans="1:13">
      <c r="A342" s="4" t="s">
        <v>573</v>
      </c>
      <c r="B342" s="5" t="s">
        <v>19</v>
      </c>
      <c r="C342" s="57">
        <v>2.3259216149999901E-2</v>
      </c>
      <c r="D342" s="5"/>
      <c r="E342" s="5"/>
      <c r="F342" s="5"/>
      <c r="G342" t="s">
        <v>1101</v>
      </c>
      <c r="H342" s="109"/>
      <c r="I342" s="109"/>
      <c r="J342" s="108"/>
      <c r="K342" s="108"/>
      <c r="L342" s="108"/>
      <c r="M342" s="110"/>
    </row>
    <row r="343" spans="1:13">
      <c r="A343" s="4" t="s">
        <v>574</v>
      </c>
      <c r="B343" s="5" t="s">
        <v>19</v>
      </c>
      <c r="C343" s="57">
        <v>2.3344936736791999E-2</v>
      </c>
      <c r="D343" s="5"/>
      <c r="E343" s="5"/>
      <c r="F343" s="5"/>
      <c r="G343" t="s">
        <v>1101</v>
      </c>
      <c r="H343" s="109"/>
      <c r="I343" s="109"/>
      <c r="J343" s="108"/>
      <c r="K343" s="108"/>
      <c r="L343" s="108"/>
      <c r="M343" s="110"/>
    </row>
    <row r="344" spans="1:13">
      <c r="A344" s="4" t="s">
        <v>575</v>
      </c>
      <c r="B344" s="5" t="s">
        <v>19</v>
      </c>
      <c r="C344" s="57">
        <v>2.34533587429686E-2</v>
      </c>
      <c r="D344" s="5"/>
      <c r="E344" s="5"/>
      <c r="F344" s="5"/>
      <c r="G344" t="s">
        <v>1101</v>
      </c>
      <c r="H344" s="109"/>
      <c r="I344" s="109"/>
      <c r="J344" s="108"/>
      <c r="K344" s="108"/>
      <c r="L344" s="108"/>
      <c r="M344" s="110"/>
    </row>
    <row r="345" spans="1:13">
      <c r="A345" s="4" t="s">
        <v>576</v>
      </c>
      <c r="B345" s="5" t="s">
        <v>19</v>
      </c>
      <c r="C345" s="57">
        <v>2.3587258605688499E-2</v>
      </c>
      <c r="D345" s="5"/>
      <c r="E345" s="5"/>
      <c r="F345" s="5"/>
      <c r="G345" t="s">
        <v>1101</v>
      </c>
      <c r="H345" s="109"/>
      <c r="I345" s="109"/>
      <c r="J345" s="108"/>
      <c r="K345" s="108"/>
      <c r="L345" s="108"/>
      <c r="M345" s="110"/>
    </row>
    <row r="346" spans="1:13">
      <c r="A346" s="4" t="s">
        <v>577</v>
      </c>
      <c r="B346" s="5" t="s">
        <v>19</v>
      </c>
      <c r="C346" s="57">
        <v>2.3740300799999801E-2</v>
      </c>
      <c r="D346" s="5"/>
      <c r="E346" s="5"/>
      <c r="F346" s="5"/>
      <c r="G346" t="s">
        <v>1101</v>
      </c>
      <c r="H346" s="109"/>
      <c r="I346" s="109"/>
      <c r="J346" s="108"/>
      <c r="K346" s="108"/>
      <c r="L346" s="108"/>
      <c r="M346" s="110"/>
    </row>
    <row r="347" spans="1:13">
      <c r="A347" s="4" t="s">
        <v>578</v>
      </c>
      <c r="B347" s="5" t="s">
        <v>19</v>
      </c>
      <c r="C347" s="57">
        <v>2.3900766449194501E-2</v>
      </c>
      <c r="D347" s="5"/>
      <c r="E347" s="5"/>
      <c r="F347" s="5"/>
      <c r="G347" t="s">
        <v>1101</v>
      </c>
      <c r="H347" s="109"/>
      <c r="I347" s="109"/>
      <c r="J347" s="108"/>
      <c r="K347" s="108"/>
      <c r="L347" s="108"/>
      <c r="M347" s="110"/>
    </row>
    <row r="348" spans="1:13">
      <c r="A348" s="4" t="s">
        <v>579</v>
      </c>
      <c r="B348" s="5" t="s">
        <v>19</v>
      </c>
      <c r="C348" s="57">
        <v>2.40552819351561E-2</v>
      </c>
      <c r="D348" s="5"/>
      <c r="E348" s="5"/>
      <c r="F348" s="5"/>
      <c r="G348" t="s">
        <v>1101</v>
      </c>
      <c r="H348" s="109"/>
      <c r="I348" s="109"/>
      <c r="J348" s="108"/>
      <c r="K348" s="108"/>
      <c r="L348" s="108"/>
      <c r="M348" s="110"/>
    </row>
    <row r="349" spans="1:13">
      <c r="A349" s="4" t="s">
        <v>580</v>
      </c>
      <c r="B349" s="5" t="s">
        <v>19</v>
      </c>
      <c r="C349" s="57">
        <v>2.4192547508715901E-2</v>
      </c>
      <c r="D349" s="5"/>
      <c r="E349" s="5"/>
      <c r="F349" s="5"/>
      <c r="G349" t="s">
        <v>1101</v>
      </c>
      <c r="H349" s="109"/>
      <c r="I349" s="109"/>
      <c r="J349" s="108"/>
      <c r="K349" s="108"/>
      <c r="L349" s="108"/>
      <c r="M349" s="110"/>
    </row>
    <row r="350" spans="1:13">
      <c r="A350" s="4" t="s">
        <v>581</v>
      </c>
      <c r="B350" s="5" t="s">
        <v>19</v>
      </c>
      <c r="C350" s="57">
        <v>2.4307065899999401E-2</v>
      </c>
      <c r="D350" s="5"/>
      <c r="E350" s="5"/>
      <c r="F350" s="5"/>
      <c r="G350" t="s">
        <v>1101</v>
      </c>
      <c r="H350" s="109"/>
      <c r="I350" s="109"/>
      <c r="J350" s="108"/>
      <c r="K350" s="108"/>
      <c r="L350" s="108"/>
      <c r="M350" s="110"/>
    </row>
    <row r="351" spans="1:13">
      <c r="A351" s="4" t="s">
        <v>582</v>
      </c>
      <c r="B351" s="5" t="s">
        <v>19</v>
      </c>
      <c r="C351" s="57">
        <v>2.4402870928783401E-2</v>
      </c>
      <c r="D351" s="5"/>
      <c r="E351" s="5"/>
      <c r="F351" s="5"/>
      <c r="G351" t="s">
        <v>1101</v>
      </c>
      <c r="H351" s="109"/>
      <c r="I351" s="109"/>
      <c r="J351" s="108"/>
      <c r="K351" s="108"/>
      <c r="L351" s="108"/>
      <c r="M351" s="110"/>
    </row>
    <row r="352" spans="1:13">
      <c r="A352" s="4" t="s">
        <v>583</v>
      </c>
      <c r="B352" s="5" t="s">
        <v>19</v>
      </c>
      <c r="C352" s="57">
        <v>2.4497256114843501E-2</v>
      </c>
      <c r="D352" s="5"/>
      <c r="E352" s="5"/>
      <c r="F352" s="5"/>
      <c r="G352" t="s">
        <v>1101</v>
      </c>
      <c r="H352" s="109"/>
      <c r="I352" s="109"/>
      <c r="J352" s="108"/>
      <c r="K352" s="108"/>
      <c r="L352" s="108"/>
      <c r="M352" s="110"/>
    </row>
    <row r="353" spans="1:13">
      <c r="A353" s="4" t="s">
        <v>584</v>
      </c>
      <c r="B353" s="5" t="s">
        <v>19</v>
      </c>
      <c r="C353" s="57">
        <v>2.4624503288305299E-2</v>
      </c>
      <c r="D353" s="5"/>
      <c r="E353" s="5"/>
      <c r="F353" s="5"/>
      <c r="G353" t="s">
        <v>1101</v>
      </c>
      <c r="H353" s="109"/>
      <c r="I353" s="109"/>
      <c r="J353" s="108"/>
      <c r="K353" s="108"/>
      <c r="L353" s="108"/>
      <c r="M353" s="110"/>
    </row>
    <row r="354" spans="1:13">
      <c r="A354" s="4" t="s">
        <v>585</v>
      </c>
      <c r="B354" s="5" t="s">
        <v>19</v>
      </c>
      <c r="C354" s="57">
        <v>2.4839611199999799E-2</v>
      </c>
      <c r="D354" s="5"/>
      <c r="E354" s="5"/>
      <c r="F354" s="5"/>
      <c r="G354" t="s">
        <v>1101</v>
      </c>
      <c r="H354" s="109"/>
      <c r="I354" s="109"/>
      <c r="J354" s="108"/>
      <c r="K354" s="108"/>
      <c r="L354" s="108"/>
      <c r="M354" s="110"/>
    </row>
    <row r="355" spans="1:13">
      <c r="A355" s="4" t="s">
        <v>586</v>
      </c>
      <c r="B355" s="5" t="s">
        <v>19</v>
      </c>
      <c r="C355" s="57">
        <v>2.4839611199999799E-2</v>
      </c>
      <c r="D355" s="5"/>
      <c r="E355" s="5"/>
      <c r="F355" s="5"/>
      <c r="G355" t="s">
        <v>1101</v>
      </c>
      <c r="H355" s="109"/>
      <c r="I355" s="109"/>
      <c r="J355" s="108"/>
      <c r="K355" s="108"/>
      <c r="L355" s="108"/>
      <c r="M355" s="110"/>
    </row>
    <row r="356" spans="1:13">
      <c r="A356" s="4"/>
      <c r="B356" s="5"/>
      <c r="C356" s="6"/>
      <c r="D356" s="5"/>
      <c r="E356" s="5"/>
      <c r="F356" s="5"/>
      <c r="G356" t="s">
        <v>1101</v>
      </c>
      <c r="H356" s="108"/>
      <c r="I356" s="108"/>
      <c r="J356" s="108"/>
      <c r="K356" s="108"/>
      <c r="L356" s="108"/>
      <c r="M356" s="108"/>
    </row>
    <row r="357" spans="1:13" ht="17.25">
      <c r="A357" s="111" t="s">
        <v>387</v>
      </c>
      <c r="B357" s="111"/>
      <c r="C357" s="111"/>
      <c r="D357" s="111"/>
      <c r="E357" s="111"/>
      <c r="F357" s="111"/>
      <c r="G357" t="s">
        <v>1102</v>
      </c>
      <c r="H357" s="108"/>
      <c r="I357" s="108"/>
      <c r="J357" s="108"/>
      <c r="K357" s="108"/>
      <c r="L357" s="108"/>
      <c r="M357" s="108"/>
    </row>
    <row r="358" spans="1:13">
      <c r="A358" s="3" t="s">
        <v>0</v>
      </c>
      <c r="B358" s="3" t="s">
        <v>1</v>
      </c>
      <c r="C358" s="3" t="s">
        <v>2</v>
      </c>
      <c r="D358" s="3" t="s">
        <v>4</v>
      </c>
      <c r="E358" s="3" t="s">
        <v>3</v>
      </c>
      <c r="F358" s="3" t="s">
        <v>21</v>
      </c>
      <c r="G358" t="s">
        <v>1102</v>
      </c>
      <c r="H358" s="108"/>
      <c r="I358" s="108"/>
      <c r="J358" s="108"/>
      <c r="K358" s="108"/>
      <c r="L358" s="108"/>
      <c r="M358" s="108"/>
    </row>
    <row r="359" spans="1:13">
      <c r="A359" s="4" t="s">
        <v>436</v>
      </c>
      <c r="B359" s="5" t="s">
        <v>205</v>
      </c>
      <c r="C359" s="36">
        <f>OBSERVER_TS</f>
        <v>1.25E-4</v>
      </c>
      <c r="D359" s="5"/>
      <c r="E359" s="5"/>
      <c r="F359" s="5"/>
      <c r="G359" t="s">
        <v>1102</v>
      </c>
      <c r="H359" s="108"/>
      <c r="I359" s="108"/>
      <c r="J359" s="108"/>
      <c r="K359" s="108"/>
      <c r="L359" s="108"/>
      <c r="M359" s="108"/>
    </row>
    <row r="360" spans="1:13">
      <c r="A360" s="4" t="s">
        <v>388</v>
      </c>
      <c r="B360" s="5" t="s">
        <v>205</v>
      </c>
      <c r="C360" s="8">
        <v>1</v>
      </c>
      <c r="D360" s="5"/>
      <c r="E360" s="5"/>
      <c r="F360" s="5"/>
      <c r="G360" t="s">
        <v>1102</v>
      </c>
      <c r="H360" s="108"/>
      <c r="I360" s="108"/>
      <c r="J360" s="108"/>
      <c r="K360" s="108"/>
      <c r="L360" s="108"/>
      <c r="M360" s="108"/>
    </row>
    <row r="361" spans="1:13">
      <c r="A361" s="4" t="s">
        <v>389</v>
      </c>
      <c r="B361" s="5" t="s">
        <v>199</v>
      </c>
      <c r="C361" s="8">
        <v>0.75</v>
      </c>
      <c r="D361" s="5"/>
      <c r="E361" s="5"/>
      <c r="F361" s="5"/>
      <c r="G361" t="s">
        <v>1102</v>
      </c>
      <c r="H361" s="108"/>
      <c r="I361" s="108"/>
      <c r="J361" s="108"/>
      <c r="K361" s="108"/>
      <c r="L361" s="108"/>
      <c r="M361" s="108"/>
    </row>
    <row r="362" spans="1:13">
      <c r="A362" s="4" t="s">
        <v>390</v>
      </c>
      <c r="B362" s="5" t="s">
        <v>19</v>
      </c>
      <c r="C362" s="8">
        <v>112</v>
      </c>
      <c r="D362" s="5"/>
      <c r="E362" s="5"/>
      <c r="F362" s="5"/>
      <c r="G362" t="s">
        <v>1102</v>
      </c>
      <c r="H362" s="108"/>
      <c r="I362" s="108"/>
      <c r="J362" s="108"/>
      <c r="K362" s="108"/>
      <c r="L362" s="108"/>
      <c r="M362" s="108"/>
    </row>
    <row r="363" spans="1:13">
      <c r="A363" s="4" t="s">
        <v>391</v>
      </c>
      <c r="B363" s="5" t="s">
        <v>201</v>
      </c>
      <c r="C363" s="37">
        <f>2*BASE_FLUX/32768</f>
        <v>1.6528320312500002E-5</v>
      </c>
      <c r="D363" s="5"/>
      <c r="E363" s="5"/>
      <c r="F363" s="5"/>
      <c r="G363" t="s">
        <v>1102</v>
      </c>
      <c r="H363" s="108"/>
      <c r="I363" s="108"/>
      <c r="J363" s="108"/>
      <c r="K363" s="108"/>
      <c r="L363" s="108"/>
      <c r="M363" s="108"/>
    </row>
    <row r="364" spans="1:13">
      <c r="A364" s="4"/>
      <c r="B364" s="5"/>
      <c r="C364" s="6"/>
      <c r="D364" s="5"/>
      <c r="E364" s="5"/>
      <c r="F364" s="5"/>
      <c r="G364" t="s">
        <v>1102</v>
      </c>
    </row>
    <row r="365" spans="1:13" ht="17.25">
      <c r="A365" s="111" t="s">
        <v>392</v>
      </c>
      <c r="B365" s="111"/>
      <c r="C365" s="111"/>
      <c r="D365" s="111"/>
      <c r="E365" s="111"/>
      <c r="F365" s="111"/>
      <c r="G365" t="s">
        <v>1102</v>
      </c>
    </row>
    <row r="366" spans="1:13">
      <c r="A366" s="3" t="s">
        <v>0</v>
      </c>
      <c r="B366" s="3" t="s">
        <v>1</v>
      </c>
      <c r="C366" s="3" t="s">
        <v>2</v>
      </c>
      <c r="D366" s="3" t="s">
        <v>4</v>
      </c>
      <c r="E366" s="3" t="s">
        <v>3</v>
      </c>
      <c r="F366" s="3" t="s">
        <v>21</v>
      </c>
      <c r="G366" t="s">
        <v>1102</v>
      </c>
    </row>
    <row r="367" spans="1:13">
      <c r="A367" s="4" t="s">
        <v>393</v>
      </c>
      <c r="B367" s="5" t="s">
        <v>200</v>
      </c>
      <c r="C367" s="53">
        <f>20*11.4</f>
        <v>228</v>
      </c>
      <c r="D367" s="5"/>
      <c r="E367" s="5"/>
      <c r="F367" s="5"/>
      <c r="G367" t="s">
        <v>1102</v>
      </c>
    </row>
    <row r="368" spans="1:13">
      <c r="A368" s="4" t="s">
        <v>394</v>
      </c>
      <c r="B368" s="5" t="s">
        <v>200</v>
      </c>
      <c r="C368" s="8">
        <f>60*11.4</f>
        <v>684</v>
      </c>
      <c r="D368" s="5"/>
      <c r="E368" s="5"/>
      <c r="F368" s="5"/>
      <c r="G368" t="s">
        <v>1102</v>
      </c>
    </row>
    <row r="369" spans="1:7">
      <c r="A369" s="4" t="s">
        <v>395</v>
      </c>
      <c r="B369" s="5" t="s">
        <v>69</v>
      </c>
      <c r="C369" s="6">
        <v>5</v>
      </c>
      <c r="D369" s="5">
        <v>0</v>
      </c>
      <c r="E369" s="91">
        <v>65535</v>
      </c>
      <c r="F369" s="5"/>
      <c r="G369" t="s">
        <v>1102</v>
      </c>
    </row>
    <row r="370" spans="1:7">
      <c r="A370" s="4" t="s">
        <v>396</v>
      </c>
      <c r="B370" s="5" t="s">
        <v>205</v>
      </c>
      <c r="C370" s="8">
        <v>1.8</v>
      </c>
      <c r="D370" s="5">
        <v>0</v>
      </c>
      <c r="E370" s="5">
        <v>1638</v>
      </c>
      <c r="F370" s="5"/>
      <c r="G370" t="s">
        <v>1102</v>
      </c>
    </row>
    <row r="371" spans="1:7" s="60" customFormat="1">
      <c r="A371" s="62" t="s">
        <v>3116</v>
      </c>
      <c r="B371" s="63" t="s">
        <v>205</v>
      </c>
      <c r="C371" s="64">
        <v>4</v>
      </c>
      <c r="D371" s="63"/>
      <c r="E371" s="63"/>
      <c r="F371" s="63"/>
    </row>
    <row r="372" spans="1:7" s="60" customFormat="1">
      <c r="A372" s="62" t="s">
        <v>1120</v>
      </c>
      <c r="B372" s="63" t="s">
        <v>205</v>
      </c>
      <c r="C372" s="64">
        <v>3</v>
      </c>
      <c r="D372" s="63"/>
      <c r="E372" s="63"/>
      <c r="F372" s="63"/>
    </row>
    <row r="373" spans="1:7" s="60" customFormat="1">
      <c r="A373" s="62" t="s">
        <v>1121</v>
      </c>
      <c r="B373" s="63" t="s">
        <v>205</v>
      </c>
      <c r="C373" s="64">
        <v>10</v>
      </c>
      <c r="D373" s="63"/>
      <c r="E373" s="63"/>
      <c r="F373" s="63"/>
    </row>
    <row r="374" spans="1:7" s="103" customFormat="1">
      <c r="A374" s="90" t="s">
        <v>3115</v>
      </c>
      <c r="B374" s="91" t="s">
        <v>199</v>
      </c>
      <c r="C374" s="107">
        <v>5.83</v>
      </c>
      <c r="D374" s="91"/>
      <c r="E374" s="91"/>
      <c r="F374" s="91"/>
    </row>
    <row r="375" spans="1:7">
      <c r="A375" s="4"/>
      <c r="B375" s="5"/>
      <c r="C375" s="6"/>
      <c r="D375" s="5"/>
      <c r="E375" s="5"/>
      <c r="F375" s="5"/>
      <c r="G375" t="s">
        <v>1102</v>
      </c>
    </row>
    <row r="376" spans="1:7" ht="17.25">
      <c r="A376" s="111" t="s">
        <v>397</v>
      </c>
      <c r="B376" s="111"/>
      <c r="C376" s="111"/>
      <c r="D376" s="111"/>
      <c r="E376" s="111"/>
      <c r="F376" s="111"/>
      <c r="G376" t="s">
        <v>1102</v>
      </c>
    </row>
    <row r="377" spans="1:7">
      <c r="A377" s="3" t="s">
        <v>0</v>
      </c>
      <c r="B377" s="3" t="s">
        <v>1</v>
      </c>
      <c r="C377" s="3" t="s">
        <v>2</v>
      </c>
      <c r="D377" s="3" t="s">
        <v>4</v>
      </c>
      <c r="E377" s="3" t="s">
        <v>3</v>
      </c>
      <c r="F377" s="3" t="s">
        <v>21</v>
      </c>
      <c r="G377" t="s">
        <v>1102</v>
      </c>
    </row>
    <row r="378" spans="1:7">
      <c r="A378" s="4" t="s">
        <v>593</v>
      </c>
      <c r="B378" s="5" t="s">
        <v>381</v>
      </c>
      <c r="C378" s="92">
        <f>200*BASE_VOLTAGE/BASE_CURRENT</f>
        <v>6228.7104622871038</v>
      </c>
      <c r="D378" s="5"/>
      <c r="E378" s="5"/>
      <c r="F378" s="5"/>
      <c r="G378" t="s">
        <v>1102</v>
      </c>
    </row>
    <row r="379" spans="1:7">
      <c r="A379" s="4" t="s">
        <v>594</v>
      </c>
      <c r="B379" s="5" t="s">
        <v>398</v>
      </c>
      <c r="C379" s="35">
        <f>10*BASE_VOLTAGE/BASE_CURRENT*DQ_CURRENT_CONTROL_TS</f>
        <v>3.8929440389294398E-2</v>
      </c>
      <c r="D379" s="5"/>
      <c r="E379" s="5"/>
      <c r="F379" s="5"/>
      <c r="G379" t="s">
        <v>1102</v>
      </c>
    </row>
    <row r="380" spans="1:7">
      <c r="A380" s="4" t="s">
        <v>595</v>
      </c>
      <c r="B380" s="5" t="s">
        <v>381</v>
      </c>
      <c r="C380" s="6">
        <f>D_CURR_CONTROL_KP</f>
        <v>6228.7104622871038</v>
      </c>
      <c r="D380" s="5"/>
      <c r="E380" s="5"/>
      <c r="F380" s="5"/>
      <c r="G380" t="s">
        <v>1102</v>
      </c>
    </row>
    <row r="381" spans="1:7">
      <c r="A381" s="4" t="s">
        <v>596</v>
      </c>
      <c r="B381" s="5" t="s">
        <v>398</v>
      </c>
      <c r="C381" s="35">
        <f>D_CURR_CONTROL_KI</f>
        <v>3.8929440389294398E-2</v>
      </c>
      <c r="D381" s="5"/>
      <c r="E381" s="5"/>
      <c r="F381" s="5"/>
      <c r="G381" t="s">
        <v>1102</v>
      </c>
    </row>
    <row r="382" spans="1:7">
      <c r="A382" s="4" t="s">
        <v>603</v>
      </c>
      <c r="B382" s="5" t="s">
        <v>205</v>
      </c>
      <c r="C382" s="39">
        <f>OBSERVER_TS</f>
        <v>1.25E-4</v>
      </c>
      <c r="D382" s="5"/>
      <c r="E382" s="5"/>
      <c r="F382" s="5"/>
      <c r="G382" t="s">
        <v>1102</v>
      </c>
    </row>
    <row r="383" spans="1:7">
      <c r="A383" s="4"/>
      <c r="B383" s="5"/>
      <c r="C383" s="6"/>
      <c r="D383" s="5"/>
      <c r="E383" s="5"/>
      <c r="F383" s="5"/>
      <c r="G383" t="s">
        <v>1102</v>
      </c>
    </row>
    <row r="384" spans="1:7" ht="17.25">
      <c r="A384" s="111" t="s">
        <v>399</v>
      </c>
      <c r="B384" s="111"/>
      <c r="C384" s="111"/>
      <c r="D384" s="111"/>
      <c r="E384" s="111"/>
      <c r="F384" s="111"/>
      <c r="G384" t="s">
        <v>1102</v>
      </c>
    </row>
    <row r="385" spans="1:7">
      <c r="A385" s="3" t="s">
        <v>0</v>
      </c>
      <c r="B385" s="3" t="s">
        <v>1</v>
      </c>
      <c r="C385" s="3" t="s">
        <v>2</v>
      </c>
      <c r="D385" s="3" t="s">
        <v>4</v>
      </c>
      <c r="E385" s="3" t="s">
        <v>3</v>
      </c>
      <c r="F385" s="3" t="s">
        <v>21</v>
      </c>
      <c r="G385" t="s">
        <v>1103</v>
      </c>
    </row>
    <row r="386" spans="1:7">
      <c r="A386" s="4" t="s">
        <v>400</v>
      </c>
      <c r="B386" s="5" t="s">
        <v>205</v>
      </c>
      <c r="C386" s="34">
        <v>2.5</v>
      </c>
      <c r="D386" s="5"/>
      <c r="E386" s="5"/>
      <c r="F386" s="5"/>
      <c r="G386" t="s">
        <v>1103</v>
      </c>
    </row>
    <row r="387" spans="1:7">
      <c r="A387" s="4" t="s">
        <v>401</v>
      </c>
      <c r="B387" s="5" t="s">
        <v>199</v>
      </c>
      <c r="C387" s="34">
        <v>4</v>
      </c>
      <c r="D387" s="5"/>
      <c r="E387" s="5"/>
      <c r="F387" s="5"/>
      <c r="G387" t="s">
        <v>1103</v>
      </c>
    </row>
    <row r="388" spans="1:7">
      <c r="A388" s="4" t="s">
        <v>402</v>
      </c>
      <c r="B388" s="5" t="s">
        <v>199</v>
      </c>
      <c r="C388" s="34">
        <v>5</v>
      </c>
      <c r="D388" s="5"/>
      <c r="E388" s="5"/>
      <c r="F388" s="5"/>
      <c r="G388" t="s">
        <v>1103</v>
      </c>
    </row>
    <row r="389" spans="1:7">
      <c r="A389" s="4" t="s">
        <v>403</v>
      </c>
      <c r="B389" s="5" t="s">
        <v>199</v>
      </c>
      <c r="C389" s="34">
        <v>1</v>
      </c>
      <c r="D389" s="5"/>
      <c r="E389" s="5"/>
      <c r="F389" s="5"/>
      <c r="G389" t="s">
        <v>1103</v>
      </c>
    </row>
    <row r="390" spans="1:7">
      <c r="A390" s="4" t="s">
        <v>404</v>
      </c>
      <c r="B390" s="5" t="s">
        <v>205</v>
      </c>
      <c r="C390" s="34">
        <v>0.6</v>
      </c>
      <c r="D390" s="5"/>
      <c r="E390" s="5"/>
      <c r="F390" s="5"/>
      <c r="G390" t="s">
        <v>1103</v>
      </c>
    </row>
    <row r="391" spans="1:7">
      <c r="A391" s="4" t="s">
        <v>405</v>
      </c>
      <c r="B391" s="5" t="s">
        <v>205</v>
      </c>
      <c r="C391" s="38">
        <v>0.6</v>
      </c>
      <c r="D391" s="5"/>
      <c r="E391" s="5"/>
      <c r="F391" s="5"/>
      <c r="G391" t="s">
        <v>1103</v>
      </c>
    </row>
    <row r="392" spans="1:7">
      <c r="A392" s="4" t="s">
        <v>406</v>
      </c>
      <c r="B392" s="5" t="s">
        <v>205</v>
      </c>
      <c r="C392" s="34">
        <v>0.4</v>
      </c>
      <c r="D392" s="5"/>
      <c r="E392" s="5"/>
      <c r="F392" s="5"/>
      <c r="G392" t="s">
        <v>1103</v>
      </c>
    </row>
    <row r="393" spans="1:7">
      <c r="A393" s="4" t="s">
        <v>407</v>
      </c>
      <c r="B393" s="5" t="s">
        <v>218</v>
      </c>
      <c r="C393" s="34">
        <v>7.8125E-2</v>
      </c>
      <c r="D393" s="5"/>
      <c r="E393" s="5"/>
      <c r="F393" s="5"/>
      <c r="G393" t="s">
        <v>1103</v>
      </c>
    </row>
    <row r="394" spans="1:7">
      <c r="A394" s="4" t="s">
        <v>408</v>
      </c>
      <c r="B394" s="5" t="s">
        <v>218</v>
      </c>
      <c r="C394" s="34">
        <v>7.8125E-2</v>
      </c>
      <c r="D394" s="5"/>
      <c r="E394" s="5"/>
      <c r="F394" s="5"/>
      <c r="G394" t="s">
        <v>1103</v>
      </c>
    </row>
    <row r="395" spans="1:7">
      <c r="A395" s="4" t="s">
        <v>409</v>
      </c>
      <c r="B395" s="5" t="s">
        <v>218</v>
      </c>
      <c r="C395" s="34">
        <v>7.8125E-2</v>
      </c>
      <c r="D395" s="5"/>
      <c r="E395" s="5"/>
      <c r="F395" s="5"/>
      <c r="G395" t="s">
        <v>1103</v>
      </c>
    </row>
    <row r="396" spans="1:7">
      <c r="A396" s="4" t="s">
        <v>410</v>
      </c>
      <c r="B396" s="5" t="s">
        <v>205</v>
      </c>
      <c r="C396" s="34">
        <v>0.1</v>
      </c>
      <c r="D396" s="5"/>
      <c r="E396" s="5"/>
      <c r="F396" s="5"/>
      <c r="G396" t="s">
        <v>1103</v>
      </c>
    </row>
    <row r="397" spans="1:7">
      <c r="A397" s="4" t="s">
        <v>411</v>
      </c>
      <c r="B397" s="5" t="s">
        <v>69</v>
      </c>
      <c r="C397" s="6">
        <v>300</v>
      </c>
      <c r="D397" s="5"/>
      <c r="E397" s="5"/>
      <c r="F397" s="5"/>
      <c r="G397" t="s">
        <v>1103</v>
      </c>
    </row>
    <row r="398" spans="1:7">
      <c r="A398" s="4" t="s">
        <v>412</v>
      </c>
      <c r="B398" s="5" t="s">
        <v>198</v>
      </c>
      <c r="C398" s="34">
        <f>STATOR_RESISTANCE</f>
        <v>3</v>
      </c>
      <c r="D398" s="5"/>
      <c r="E398" s="5"/>
      <c r="F398" s="5"/>
      <c r="G398" t="s">
        <v>1103</v>
      </c>
    </row>
    <row r="399" spans="1:7">
      <c r="A399" s="4" t="s">
        <v>413</v>
      </c>
      <c r="B399" s="5" t="s">
        <v>205</v>
      </c>
      <c r="C399" s="34">
        <v>3</v>
      </c>
      <c r="D399" s="5"/>
      <c r="E399" s="5"/>
      <c r="F399" s="5"/>
      <c r="G399" t="s">
        <v>1103</v>
      </c>
    </row>
    <row r="400" spans="1:7">
      <c r="A400" s="4" t="s">
        <v>414</v>
      </c>
      <c r="B400" s="5" t="s">
        <v>205</v>
      </c>
      <c r="C400" s="34">
        <v>3.5</v>
      </c>
      <c r="D400" s="5"/>
      <c r="E400" s="5"/>
      <c r="F400" s="5"/>
      <c r="G400" t="s">
        <v>1103</v>
      </c>
    </row>
    <row r="401" spans="1:7">
      <c r="A401" s="4" t="s">
        <v>415</v>
      </c>
      <c r="B401" s="5" t="s">
        <v>200</v>
      </c>
      <c r="C401" s="34">
        <v>0.3</v>
      </c>
      <c r="D401" s="5"/>
      <c r="E401" s="5"/>
      <c r="F401" s="5"/>
      <c r="G401" t="s">
        <v>1103</v>
      </c>
    </row>
    <row r="402" spans="1:7">
      <c r="A402" s="4" t="s">
        <v>441</v>
      </c>
      <c r="B402" s="5" t="s">
        <v>205</v>
      </c>
      <c r="C402" s="34">
        <v>4</v>
      </c>
      <c r="D402" s="5"/>
      <c r="E402" s="5"/>
      <c r="F402" s="5"/>
      <c r="G402" t="s">
        <v>1103</v>
      </c>
    </row>
    <row r="403" spans="1:7">
      <c r="A403" s="4" t="s">
        <v>442</v>
      </c>
      <c r="B403" s="5" t="s">
        <v>205</v>
      </c>
      <c r="C403" s="34">
        <f>1/1000</f>
        <v>1E-3</v>
      </c>
      <c r="D403" s="5"/>
      <c r="E403" s="5"/>
      <c r="F403" s="5"/>
      <c r="G403" t="s">
        <v>1103</v>
      </c>
    </row>
    <row r="404" spans="1:7">
      <c r="A404" s="4" t="s">
        <v>443</v>
      </c>
      <c r="B404" s="5" t="s">
        <v>205</v>
      </c>
      <c r="C404" s="35">
        <f>OBSERVER_TS</f>
        <v>1.25E-4</v>
      </c>
      <c r="D404" s="5"/>
      <c r="E404" s="5"/>
      <c r="F404" s="5"/>
      <c r="G404" t="s">
        <v>1103</v>
      </c>
    </row>
    <row r="405" spans="1:7">
      <c r="A405" s="4"/>
      <c r="B405" s="5"/>
      <c r="C405" s="8"/>
      <c r="D405" s="5"/>
      <c r="E405" s="5"/>
      <c r="F405" s="5"/>
      <c r="G405" t="s">
        <v>1103</v>
      </c>
    </row>
    <row r="406" spans="1:7">
      <c r="A406" s="4" t="s">
        <v>587</v>
      </c>
      <c r="B406" s="5" t="s">
        <v>200</v>
      </c>
      <c r="C406" s="8">
        <f>150*11.4</f>
        <v>1710</v>
      </c>
      <c r="D406" s="5"/>
      <c r="E406" s="5"/>
      <c r="F406" s="5"/>
      <c r="G406" t="s">
        <v>1103</v>
      </c>
    </row>
    <row r="407" spans="1:7">
      <c r="A407" s="4" t="s">
        <v>588</v>
      </c>
      <c r="B407" s="5" t="s">
        <v>590</v>
      </c>
      <c r="C407" s="8">
        <v>1</v>
      </c>
      <c r="D407" s="5"/>
      <c r="E407" s="5"/>
      <c r="F407" s="5"/>
      <c r="G407" t="s">
        <v>1103</v>
      </c>
    </row>
    <row r="408" spans="1:7">
      <c r="A408" s="4" t="s">
        <v>589</v>
      </c>
      <c r="B408" s="5" t="s">
        <v>69</v>
      </c>
      <c r="C408" s="8">
        <v>3</v>
      </c>
      <c r="D408" s="5"/>
      <c r="E408" s="5"/>
      <c r="F408" s="5"/>
      <c r="G408" t="s">
        <v>1103</v>
      </c>
    </row>
    <row r="409" spans="1:7">
      <c r="A409" s="4" t="s">
        <v>591</v>
      </c>
      <c r="B409" s="5" t="s">
        <v>590</v>
      </c>
      <c r="C409" s="8">
        <v>5</v>
      </c>
      <c r="D409" s="5"/>
      <c r="E409" s="5"/>
      <c r="F409" s="5"/>
      <c r="G409" t="s">
        <v>1103</v>
      </c>
    </row>
    <row r="410" spans="1:7">
      <c r="A410" s="4" t="s">
        <v>592</v>
      </c>
      <c r="B410" s="5" t="s">
        <v>69</v>
      </c>
      <c r="C410" s="102">
        <v>3</v>
      </c>
      <c r="D410" s="5"/>
      <c r="E410" s="5"/>
      <c r="F410" s="5"/>
      <c r="G410" t="s">
        <v>1103</v>
      </c>
    </row>
    <row r="411" spans="1:7">
      <c r="A411" s="4"/>
      <c r="B411" s="5"/>
      <c r="C411" s="8"/>
      <c r="D411" s="5"/>
      <c r="E411" s="5"/>
      <c r="F411" s="5"/>
      <c r="G411" t="s">
        <v>1103</v>
      </c>
    </row>
    <row r="412" spans="1:7">
      <c r="A412" s="4" t="s">
        <v>444</v>
      </c>
      <c r="B412" s="5" t="s">
        <v>198</v>
      </c>
      <c r="C412" s="8">
        <f>2.8</f>
        <v>2.8</v>
      </c>
      <c r="D412" s="5"/>
      <c r="E412" s="5"/>
      <c r="F412" s="5"/>
      <c r="G412" t="s">
        <v>1103</v>
      </c>
    </row>
    <row r="413" spans="1:7">
      <c r="A413" s="4" t="s">
        <v>416</v>
      </c>
      <c r="B413" s="5" t="s">
        <v>417</v>
      </c>
      <c r="C413" s="8">
        <v>232.1</v>
      </c>
      <c r="D413" s="5"/>
      <c r="E413" s="5"/>
      <c r="F413" s="5"/>
      <c r="G413" t="s">
        <v>1103</v>
      </c>
    </row>
    <row r="414" spans="1:7">
      <c r="A414" s="4" t="s">
        <v>419</v>
      </c>
      <c r="B414" s="5" t="s">
        <v>417</v>
      </c>
      <c r="C414" s="8">
        <v>25</v>
      </c>
      <c r="D414" s="5"/>
      <c r="E414" s="5"/>
      <c r="F414" s="5"/>
      <c r="G414" t="s">
        <v>1103</v>
      </c>
    </row>
    <row r="415" spans="1:7">
      <c r="A415" s="4" t="s">
        <v>418</v>
      </c>
      <c r="B415" s="5" t="s">
        <v>420</v>
      </c>
      <c r="C415" s="8">
        <v>250</v>
      </c>
      <c r="D415" s="5"/>
      <c r="E415" s="5"/>
      <c r="F415" s="5"/>
      <c r="G415" t="s">
        <v>1103</v>
      </c>
    </row>
    <row r="416" spans="1:7" s="72" customFormat="1">
      <c r="A416" s="62" t="s">
        <v>1132</v>
      </c>
      <c r="B416" s="63" t="s">
        <v>69</v>
      </c>
      <c r="C416" s="6">
        <v>10</v>
      </c>
      <c r="D416" s="63"/>
      <c r="E416" s="63"/>
      <c r="F416" s="63"/>
      <c r="G416" s="72" t="s">
        <v>1103</v>
      </c>
    </row>
    <row r="417" spans="1:6">
      <c r="A417" s="4"/>
      <c r="B417" s="5"/>
      <c r="C417" s="8"/>
      <c r="D417" s="5"/>
      <c r="E417" s="5"/>
      <c r="F417" s="5"/>
    </row>
    <row r="418" spans="1:6" ht="17.25">
      <c r="A418" s="111" t="s">
        <v>1123</v>
      </c>
      <c r="B418" s="111"/>
      <c r="C418" s="111"/>
      <c r="D418" s="111"/>
      <c r="E418" s="111"/>
      <c r="F418" s="111"/>
    </row>
    <row r="419" spans="1:6">
      <c r="A419" s="3" t="s">
        <v>0</v>
      </c>
      <c r="B419" s="3" t="s">
        <v>1</v>
      </c>
      <c r="C419" s="3" t="s">
        <v>2</v>
      </c>
      <c r="D419" s="3" t="s">
        <v>4</v>
      </c>
      <c r="E419" s="3" t="s">
        <v>3</v>
      </c>
      <c r="F419" s="3" t="s">
        <v>21</v>
      </c>
    </row>
    <row r="420" spans="1:6">
      <c r="A420" s="62" t="s">
        <v>1124</v>
      </c>
      <c r="B420" s="63" t="s">
        <v>1126</v>
      </c>
      <c r="C420" s="64">
        <v>75</v>
      </c>
      <c r="D420" s="5"/>
      <c r="E420" s="5"/>
      <c r="F420" s="5"/>
    </row>
    <row r="421" spans="1:6">
      <c r="A421" s="62" t="s">
        <v>1125</v>
      </c>
      <c r="B421" s="63" t="s">
        <v>200</v>
      </c>
      <c r="C421" s="6">
        <v>15</v>
      </c>
      <c r="D421" s="5"/>
      <c r="E421" s="5"/>
      <c r="F421" s="5"/>
    </row>
    <row r="422" spans="1:6">
      <c r="A422" s="4"/>
      <c r="B422" s="5"/>
      <c r="C422" s="6"/>
      <c r="D422" s="5"/>
      <c r="E422" s="5"/>
      <c r="F422" s="5"/>
    </row>
    <row r="423" spans="1:6">
      <c r="A423" s="78"/>
      <c r="B423" s="78"/>
      <c r="C423" s="78"/>
      <c r="D423" s="78"/>
      <c r="E423" s="78"/>
      <c r="F423" s="78"/>
    </row>
    <row r="424" spans="1:6" ht="17.25">
      <c r="A424" s="111" t="s">
        <v>1167</v>
      </c>
      <c r="B424" s="111"/>
      <c r="C424" s="111"/>
      <c r="D424" s="111"/>
      <c r="E424" s="111"/>
      <c r="F424" s="111"/>
    </row>
    <row r="425" spans="1:6">
      <c r="A425" s="76" t="s">
        <v>0</v>
      </c>
      <c r="B425" s="76" t="s">
        <v>1</v>
      </c>
      <c r="C425" s="76" t="s">
        <v>2</v>
      </c>
      <c r="D425" s="76" t="s">
        <v>4</v>
      </c>
      <c r="E425" s="76" t="s">
        <v>3</v>
      </c>
      <c r="F425" s="76" t="s">
        <v>21</v>
      </c>
    </row>
    <row r="426" spans="1:6">
      <c r="A426" s="90" t="s">
        <v>1168</v>
      </c>
      <c r="B426" s="91" t="s">
        <v>215</v>
      </c>
      <c r="C426" s="107">
        <v>0</v>
      </c>
      <c r="D426" s="78"/>
      <c r="E426" s="78"/>
      <c r="F426" s="78"/>
    </row>
    <row r="427" spans="1:6">
      <c r="A427" s="90" t="s">
        <v>1169</v>
      </c>
      <c r="B427" s="91" t="s">
        <v>215</v>
      </c>
      <c r="C427" s="107">
        <v>4.3700000000000003E-2</v>
      </c>
      <c r="D427" s="78"/>
      <c r="E427" s="78"/>
      <c r="F427" s="78"/>
    </row>
    <row r="428" spans="1:6">
      <c r="A428" s="90" t="s">
        <v>1170</v>
      </c>
      <c r="B428" s="91" t="s">
        <v>215</v>
      </c>
      <c r="C428" s="107">
        <v>8.7499999999999994E-2</v>
      </c>
      <c r="D428" s="78"/>
      <c r="E428" s="78"/>
      <c r="F428" s="78"/>
    </row>
    <row r="429" spans="1:6">
      <c r="A429" s="90" t="s">
        <v>1171</v>
      </c>
      <c r="B429" s="91" t="s">
        <v>215</v>
      </c>
      <c r="C429" s="107">
        <v>0.13120000000000001</v>
      </c>
      <c r="D429" s="78"/>
      <c r="E429" s="78"/>
      <c r="F429" s="78"/>
    </row>
    <row r="430" spans="1:6">
      <c r="A430" s="90" t="s">
        <v>1172</v>
      </c>
      <c r="B430" s="91" t="s">
        <v>215</v>
      </c>
      <c r="C430" s="107">
        <v>0.17499999999999999</v>
      </c>
      <c r="D430" s="78"/>
      <c r="E430" s="78"/>
      <c r="F430" s="78"/>
    </row>
    <row r="431" spans="1:6">
      <c r="A431" s="90" t="s">
        <v>1173</v>
      </c>
      <c r="B431" s="91" t="s">
        <v>215</v>
      </c>
      <c r="C431" s="107">
        <v>0.21879999999999999</v>
      </c>
      <c r="D431" s="78"/>
      <c r="E431" s="78"/>
      <c r="F431" s="78"/>
    </row>
    <row r="432" spans="1:6">
      <c r="A432" s="90" t="s">
        <v>1174</v>
      </c>
      <c r="B432" s="91" t="s">
        <v>215</v>
      </c>
      <c r="C432" s="107">
        <v>0.26250000000000001</v>
      </c>
      <c r="D432" s="78"/>
      <c r="E432" s="78"/>
      <c r="F432" s="78"/>
    </row>
    <row r="433" spans="1:6">
      <c r="A433" s="90" t="s">
        <v>1175</v>
      </c>
      <c r="B433" s="91" t="s">
        <v>215</v>
      </c>
      <c r="C433" s="107">
        <v>0.30620000000000003</v>
      </c>
      <c r="D433" s="78"/>
      <c r="E433" s="78"/>
      <c r="F433" s="78"/>
    </row>
    <row r="434" spans="1:6">
      <c r="A434" s="90" t="s">
        <v>1176</v>
      </c>
      <c r="B434" s="91" t="s">
        <v>215</v>
      </c>
      <c r="C434" s="107">
        <v>0.35</v>
      </c>
      <c r="D434" s="78"/>
      <c r="E434" s="78"/>
      <c r="F434" s="78"/>
    </row>
    <row r="435" spans="1:6">
      <c r="A435" s="90" t="s">
        <v>1177</v>
      </c>
      <c r="B435" s="91" t="s">
        <v>215</v>
      </c>
      <c r="C435" s="107">
        <v>0.39369999999999999</v>
      </c>
      <c r="D435" s="78"/>
      <c r="E435" s="78"/>
      <c r="F435" s="78"/>
    </row>
    <row r="436" spans="1:6">
      <c r="A436" s="90" t="s">
        <v>1178</v>
      </c>
      <c r="B436" s="91" t="s">
        <v>215</v>
      </c>
      <c r="C436" s="107">
        <v>0.4375</v>
      </c>
      <c r="D436" s="78"/>
      <c r="E436" s="78"/>
      <c r="F436" s="78"/>
    </row>
    <row r="437" spans="1:6">
      <c r="A437" s="90" t="s">
        <v>1179</v>
      </c>
      <c r="B437" s="91" t="s">
        <v>215</v>
      </c>
      <c r="C437" s="107">
        <v>0.48120000000000002</v>
      </c>
      <c r="D437" s="78"/>
      <c r="E437" s="78"/>
      <c r="F437" s="78"/>
    </row>
    <row r="438" spans="1:6">
      <c r="A438" s="90" t="s">
        <v>1180</v>
      </c>
      <c r="B438" s="91" t="s">
        <v>215</v>
      </c>
      <c r="C438" s="107">
        <v>0.52500000000000002</v>
      </c>
      <c r="D438" s="78"/>
      <c r="E438" s="78"/>
      <c r="F438" s="78"/>
    </row>
    <row r="439" spans="1:6">
      <c r="A439" s="90" t="s">
        <v>1181</v>
      </c>
      <c r="B439" s="91" t="s">
        <v>215</v>
      </c>
      <c r="C439" s="107">
        <v>0.56869999999999998</v>
      </c>
      <c r="D439" s="78"/>
      <c r="E439" s="78"/>
      <c r="F439" s="78"/>
    </row>
    <row r="440" spans="1:6">
      <c r="A440" s="90" t="s">
        <v>1182</v>
      </c>
      <c r="B440" s="91" t="s">
        <v>215</v>
      </c>
      <c r="C440" s="107">
        <v>0.61250000000000004</v>
      </c>
      <c r="D440" s="78"/>
      <c r="E440" s="78"/>
      <c r="F440" s="78"/>
    </row>
    <row r="441" spans="1:6">
      <c r="A441" s="90" t="s">
        <v>1183</v>
      </c>
      <c r="B441" s="91" t="s">
        <v>215</v>
      </c>
      <c r="C441" s="107">
        <v>0.65629999999999999</v>
      </c>
      <c r="D441" s="78"/>
      <c r="E441" s="78"/>
      <c r="F441" s="78"/>
    </row>
    <row r="442" spans="1:6">
      <c r="A442" s="90" t="s">
        <v>1184</v>
      </c>
      <c r="B442" s="91" t="s">
        <v>215</v>
      </c>
      <c r="C442" s="107">
        <v>0.7</v>
      </c>
      <c r="D442" s="78"/>
      <c r="E442" s="78"/>
      <c r="F442" s="78"/>
    </row>
    <row r="443" spans="1:6">
      <c r="A443" s="90" t="s">
        <v>1185</v>
      </c>
      <c r="B443" s="91" t="s">
        <v>215</v>
      </c>
      <c r="C443" s="107">
        <v>0.74370000000000003</v>
      </c>
      <c r="D443" s="78"/>
      <c r="E443" s="78"/>
      <c r="F443" s="78"/>
    </row>
    <row r="444" spans="1:6">
      <c r="A444" s="90" t="s">
        <v>1186</v>
      </c>
      <c r="B444" s="91" t="s">
        <v>215</v>
      </c>
      <c r="C444" s="107">
        <v>0.78749999999999998</v>
      </c>
      <c r="D444" s="78"/>
      <c r="E444" s="78"/>
      <c r="F444" s="78"/>
    </row>
    <row r="445" spans="1:6">
      <c r="A445" s="90" t="s">
        <v>1187</v>
      </c>
      <c r="B445" s="91" t="s">
        <v>215</v>
      </c>
      <c r="C445" s="107">
        <v>0.83120000000000005</v>
      </c>
      <c r="D445" s="78"/>
      <c r="E445" s="78"/>
      <c r="F445" s="78"/>
    </row>
    <row r="446" spans="1:6">
      <c r="A446" s="90" t="s">
        <v>1188</v>
      </c>
      <c r="B446" s="91" t="s">
        <v>215</v>
      </c>
      <c r="C446" s="107">
        <v>0.875</v>
      </c>
      <c r="D446" s="78"/>
      <c r="E446" s="78"/>
      <c r="F446" s="78"/>
    </row>
    <row r="447" spans="1:6">
      <c r="A447" s="90" t="s">
        <v>1189</v>
      </c>
      <c r="B447" s="91" t="s">
        <v>215</v>
      </c>
      <c r="C447" s="107">
        <v>0.91869999999999996</v>
      </c>
      <c r="D447" s="78"/>
      <c r="E447" s="78"/>
      <c r="F447" s="78"/>
    </row>
    <row r="448" spans="1:6">
      <c r="A448" s="90" t="s">
        <v>1190</v>
      </c>
      <c r="B448" s="91" t="s">
        <v>215</v>
      </c>
      <c r="C448" s="107">
        <v>0.96250000000000002</v>
      </c>
      <c r="D448" s="78"/>
      <c r="E448" s="78"/>
      <c r="F448" s="78"/>
    </row>
    <row r="449" spans="1:6">
      <c r="A449" s="90" t="s">
        <v>1191</v>
      </c>
      <c r="B449" s="91" t="s">
        <v>215</v>
      </c>
      <c r="C449" s="107">
        <v>1.0062</v>
      </c>
      <c r="D449" s="78"/>
      <c r="E449" s="78"/>
      <c r="F449" s="78"/>
    </row>
    <row r="450" spans="1:6">
      <c r="A450" s="90" t="s">
        <v>1192</v>
      </c>
      <c r="B450" s="91" t="s">
        <v>215</v>
      </c>
      <c r="C450" s="107">
        <v>1.05</v>
      </c>
      <c r="D450" s="78"/>
      <c r="E450" s="78"/>
      <c r="F450" s="78"/>
    </row>
    <row r="451" spans="1:6">
      <c r="A451" s="90" t="s">
        <v>1193</v>
      </c>
      <c r="B451" s="91" t="s">
        <v>215</v>
      </c>
      <c r="C451" s="107">
        <v>1.0938000000000001</v>
      </c>
      <c r="D451" s="78"/>
      <c r="E451" s="78"/>
      <c r="F451" s="78"/>
    </row>
    <row r="452" spans="1:6">
      <c r="A452" s="90" t="s">
        <v>1194</v>
      </c>
      <c r="B452" s="91" t="s">
        <v>215</v>
      </c>
      <c r="C452" s="107">
        <v>1.1375</v>
      </c>
      <c r="D452" s="78"/>
      <c r="E452" s="78"/>
      <c r="F452" s="78"/>
    </row>
    <row r="453" spans="1:6">
      <c r="A453" s="90" t="s">
        <v>1195</v>
      </c>
      <c r="B453" s="91" t="s">
        <v>215</v>
      </c>
      <c r="C453" s="107">
        <v>1.1812</v>
      </c>
      <c r="D453" s="78"/>
      <c r="E453" s="78"/>
      <c r="F453" s="78"/>
    </row>
    <row r="454" spans="1:6">
      <c r="A454" s="90" t="s">
        <v>1196</v>
      </c>
      <c r="B454" s="91" t="s">
        <v>215</v>
      </c>
      <c r="C454" s="107">
        <v>1.2250000000000001</v>
      </c>
      <c r="D454" s="78"/>
      <c r="E454" s="78"/>
      <c r="F454" s="78"/>
    </row>
    <row r="455" spans="1:6">
      <c r="A455" s="90" t="s">
        <v>1197</v>
      </c>
      <c r="B455" s="91" t="s">
        <v>215</v>
      </c>
      <c r="C455" s="107">
        <v>1.2686999999999999</v>
      </c>
      <c r="D455" s="78"/>
      <c r="E455" s="78"/>
      <c r="F455" s="78"/>
    </row>
    <row r="456" spans="1:6">
      <c r="A456" s="90" t="s">
        <v>1198</v>
      </c>
      <c r="B456" s="91" t="s">
        <v>215</v>
      </c>
      <c r="C456" s="107">
        <v>1.3125</v>
      </c>
      <c r="D456" s="78"/>
      <c r="E456" s="78"/>
      <c r="F456" s="78"/>
    </row>
    <row r="457" spans="1:6">
      <c r="A457" s="90" t="s">
        <v>1199</v>
      </c>
      <c r="B457" s="91" t="s">
        <v>215</v>
      </c>
      <c r="C457" s="107">
        <v>1.3563000000000001</v>
      </c>
      <c r="D457" s="78"/>
      <c r="E457" s="78"/>
      <c r="F457" s="78"/>
    </row>
    <row r="458" spans="1:6">
      <c r="A458" s="90" t="s">
        <v>1200</v>
      </c>
      <c r="B458" s="91" t="s">
        <v>215</v>
      </c>
      <c r="C458" s="107">
        <v>1.4</v>
      </c>
      <c r="D458" s="78"/>
      <c r="E458" s="78"/>
      <c r="F458" s="78"/>
    </row>
    <row r="459" spans="1:6">
      <c r="A459" s="90" t="s">
        <v>1201</v>
      </c>
      <c r="B459" s="91" t="s">
        <v>215</v>
      </c>
      <c r="C459" s="107">
        <v>1.4437</v>
      </c>
      <c r="D459" s="78"/>
      <c r="E459" s="78"/>
      <c r="F459" s="78"/>
    </row>
    <row r="460" spans="1:6">
      <c r="A460" s="90" t="s">
        <v>1202</v>
      </c>
      <c r="B460" s="91" t="s">
        <v>215</v>
      </c>
      <c r="C460" s="107">
        <v>1.4875</v>
      </c>
      <c r="D460" s="78"/>
      <c r="E460" s="78"/>
      <c r="F460" s="78"/>
    </row>
    <row r="461" spans="1:6">
      <c r="A461" s="90" t="s">
        <v>1203</v>
      </c>
      <c r="B461" s="91" t="s">
        <v>215</v>
      </c>
      <c r="C461" s="107">
        <v>1.5313000000000001</v>
      </c>
      <c r="D461" s="78"/>
      <c r="E461" s="78"/>
      <c r="F461" s="78"/>
    </row>
    <row r="462" spans="1:6">
      <c r="A462" s="90" t="s">
        <v>1204</v>
      </c>
      <c r="B462" s="91" t="s">
        <v>215</v>
      </c>
      <c r="C462" s="107">
        <v>1.575</v>
      </c>
      <c r="D462" s="78"/>
      <c r="E462" s="78"/>
      <c r="F462" s="78"/>
    </row>
    <row r="463" spans="1:6">
      <c r="A463" s="90" t="s">
        <v>1205</v>
      </c>
      <c r="B463" s="91" t="s">
        <v>215</v>
      </c>
      <c r="C463" s="107">
        <v>1.6187</v>
      </c>
      <c r="D463" s="78"/>
      <c r="E463" s="78"/>
      <c r="F463" s="78"/>
    </row>
    <row r="464" spans="1:6">
      <c r="A464" s="90" t="s">
        <v>1206</v>
      </c>
      <c r="B464" s="91" t="s">
        <v>215</v>
      </c>
      <c r="C464" s="107">
        <v>1.6625000000000001</v>
      </c>
      <c r="D464" s="78"/>
      <c r="E464" s="78"/>
      <c r="F464" s="78"/>
    </row>
    <row r="465" spans="1:6">
      <c r="A465" s="90" t="s">
        <v>1207</v>
      </c>
      <c r="B465" s="91" t="s">
        <v>215</v>
      </c>
      <c r="C465" s="107">
        <v>1.7061999999999999</v>
      </c>
      <c r="D465" s="78"/>
      <c r="E465" s="78"/>
      <c r="F465" s="78"/>
    </row>
    <row r="466" spans="1:6">
      <c r="A466" s="90" t="s">
        <v>1208</v>
      </c>
      <c r="B466" s="91" t="s">
        <v>215</v>
      </c>
      <c r="C466" s="107">
        <v>1.75</v>
      </c>
      <c r="D466" s="78"/>
      <c r="E466" s="78"/>
      <c r="F466" s="78"/>
    </row>
    <row r="467" spans="1:6">
      <c r="A467" s="90" t="s">
        <v>1209</v>
      </c>
      <c r="B467" s="91" t="s">
        <v>215</v>
      </c>
      <c r="C467" s="107">
        <v>1.7938000000000001</v>
      </c>
      <c r="D467" s="78"/>
      <c r="E467" s="78"/>
      <c r="F467" s="78"/>
    </row>
    <row r="468" spans="1:6">
      <c r="A468" s="90" t="s">
        <v>1210</v>
      </c>
      <c r="B468" s="91" t="s">
        <v>215</v>
      </c>
      <c r="C468" s="107">
        <v>1.8374999999999999</v>
      </c>
      <c r="D468" s="78"/>
      <c r="E468" s="78"/>
      <c r="F468" s="78"/>
    </row>
    <row r="469" spans="1:6">
      <c r="A469" s="90" t="s">
        <v>1211</v>
      </c>
      <c r="B469" s="91" t="s">
        <v>215</v>
      </c>
      <c r="C469" s="107">
        <v>1.8813</v>
      </c>
      <c r="D469" s="78"/>
      <c r="E469" s="78"/>
      <c r="F469" s="78"/>
    </row>
    <row r="470" spans="1:6">
      <c r="A470" s="90" t="s">
        <v>1212</v>
      </c>
      <c r="B470" s="91" t="s">
        <v>215</v>
      </c>
      <c r="C470" s="107">
        <v>1.925</v>
      </c>
      <c r="D470" s="78"/>
      <c r="E470" s="78"/>
      <c r="F470" s="78"/>
    </row>
    <row r="471" spans="1:6">
      <c r="A471" s="90" t="s">
        <v>1213</v>
      </c>
      <c r="B471" s="91" t="s">
        <v>215</v>
      </c>
      <c r="C471" s="107">
        <v>1.9688000000000001</v>
      </c>
      <c r="D471" s="78"/>
      <c r="E471" s="78"/>
      <c r="F471" s="78"/>
    </row>
    <row r="472" spans="1:6">
      <c r="A472" s="90" t="s">
        <v>1214</v>
      </c>
      <c r="B472" s="91" t="s">
        <v>215</v>
      </c>
      <c r="C472" s="107">
        <v>2.0125000000000002</v>
      </c>
      <c r="D472" s="78"/>
      <c r="E472" s="78"/>
      <c r="F472" s="78"/>
    </row>
    <row r="473" spans="1:6">
      <c r="A473" s="90" t="s">
        <v>1215</v>
      </c>
      <c r="B473" s="91" t="s">
        <v>215</v>
      </c>
      <c r="C473" s="107">
        <v>2.0562999999999998</v>
      </c>
      <c r="D473" s="78"/>
      <c r="E473" s="78"/>
      <c r="F473" s="78"/>
    </row>
    <row r="474" spans="1:6">
      <c r="A474" s="90" t="s">
        <v>1216</v>
      </c>
      <c r="B474" s="91" t="s">
        <v>215</v>
      </c>
      <c r="C474" s="107">
        <v>2.1</v>
      </c>
      <c r="D474" s="78"/>
      <c r="E474" s="78"/>
      <c r="F474" s="78"/>
    </row>
    <row r="475" spans="1:6">
      <c r="A475" s="90" t="s">
        <v>1217</v>
      </c>
      <c r="B475" s="91" t="s">
        <v>215</v>
      </c>
      <c r="C475" s="107">
        <v>2.1436999999999999</v>
      </c>
      <c r="D475" s="78"/>
      <c r="E475" s="78"/>
      <c r="F475" s="78"/>
    </row>
    <row r="476" spans="1:6">
      <c r="A476" s="90" t="s">
        <v>1218</v>
      </c>
      <c r="B476" s="91" t="s">
        <v>215</v>
      </c>
      <c r="C476" s="107">
        <v>2.1875</v>
      </c>
      <c r="D476" s="78"/>
      <c r="E476" s="78"/>
      <c r="F476" s="78"/>
    </row>
    <row r="477" spans="1:6">
      <c r="A477" s="90" t="s">
        <v>1219</v>
      </c>
      <c r="B477" s="91" t="s">
        <v>215</v>
      </c>
      <c r="C477" s="107">
        <v>2.2313000000000001</v>
      </c>
      <c r="D477" s="78"/>
      <c r="E477" s="78"/>
      <c r="F477" s="78"/>
    </row>
    <row r="478" spans="1:6">
      <c r="A478" s="90" t="s">
        <v>1220</v>
      </c>
      <c r="B478" s="91" t="s">
        <v>215</v>
      </c>
      <c r="C478" s="107">
        <v>2.2749999999999999</v>
      </c>
      <c r="D478" s="78"/>
      <c r="E478" s="78"/>
      <c r="F478" s="78"/>
    </row>
    <row r="479" spans="1:6">
      <c r="A479" s="90" t="s">
        <v>1221</v>
      </c>
      <c r="B479" s="91" t="s">
        <v>215</v>
      </c>
      <c r="C479" s="107">
        <v>2.3188</v>
      </c>
      <c r="D479" s="78"/>
      <c r="E479" s="78"/>
      <c r="F479" s="78"/>
    </row>
    <row r="480" spans="1:6">
      <c r="A480" s="90" t="s">
        <v>1222</v>
      </c>
      <c r="B480" s="91" t="s">
        <v>215</v>
      </c>
      <c r="C480" s="107">
        <v>2.3624999999999998</v>
      </c>
      <c r="D480" s="78"/>
      <c r="E480" s="78"/>
      <c r="F480" s="78"/>
    </row>
    <row r="481" spans="1:6">
      <c r="A481" s="90" t="s">
        <v>1223</v>
      </c>
      <c r="B481" s="91" t="s">
        <v>215</v>
      </c>
      <c r="C481" s="107">
        <v>2.4062999999999999</v>
      </c>
      <c r="D481" s="78"/>
      <c r="E481" s="78"/>
      <c r="F481" s="78"/>
    </row>
    <row r="482" spans="1:6">
      <c r="A482" s="90" t="s">
        <v>1224</v>
      </c>
      <c r="B482" s="91" t="s">
        <v>215</v>
      </c>
      <c r="C482" s="107">
        <v>2.4500000000000002</v>
      </c>
      <c r="D482" s="78"/>
      <c r="E482" s="78"/>
      <c r="F482" s="78"/>
    </row>
    <row r="483" spans="1:6">
      <c r="A483" s="90" t="s">
        <v>1225</v>
      </c>
      <c r="B483" s="91" t="s">
        <v>215</v>
      </c>
      <c r="C483" s="107">
        <v>2.4937999999999998</v>
      </c>
      <c r="D483" s="78"/>
      <c r="E483" s="78"/>
      <c r="F483" s="78"/>
    </row>
    <row r="484" spans="1:6">
      <c r="A484" s="90" t="s">
        <v>1226</v>
      </c>
      <c r="B484" s="91" t="s">
        <v>215</v>
      </c>
      <c r="C484" s="107">
        <v>2.5375000000000001</v>
      </c>
      <c r="D484" s="78"/>
      <c r="E484" s="78"/>
      <c r="F484" s="78"/>
    </row>
    <row r="485" spans="1:6">
      <c r="A485" s="90" t="s">
        <v>1227</v>
      </c>
      <c r="B485" s="91" t="s">
        <v>215</v>
      </c>
      <c r="C485" s="107">
        <v>2.5811999999999999</v>
      </c>
      <c r="D485" s="78"/>
      <c r="E485" s="78"/>
      <c r="F485" s="78"/>
    </row>
    <row r="486" spans="1:6">
      <c r="A486" s="90" t="s">
        <v>1228</v>
      </c>
      <c r="B486" s="91" t="s">
        <v>215</v>
      </c>
      <c r="C486" s="107">
        <v>2.625</v>
      </c>
      <c r="D486" s="78"/>
      <c r="E486" s="78"/>
      <c r="F486" s="78"/>
    </row>
    <row r="487" spans="1:6">
      <c r="A487" s="90" t="s">
        <v>1290</v>
      </c>
      <c r="B487" s="91" t="s">
        <v>215</v>
      </c>
      <c r="C487" s="107">
        <v>2.6688000000000001</v>
      </c>
      <c r="D487" s="78"/>
      <c r="E487" s="78"/>
      <c r="F487" s="78"/>
    </row>
    <row r="488" spans="1:6">
      <c r="A488" s="90" t="s">
        <v>1291</v>
      </c>
      <c r="B488" s="91" t="s">
        <v>215</v>
      </c>
      <c r="C488" s="107">
        <v>2.7124999999999999</v>
      </c>
      <c r="D488" s="78"/>
      <c r="E488" s="78"/>
      <c r="F488" s="78"/>
    </row>
    <row r="489" spans="1:6">
      <c r="A489" s="90" t="s">
        <v>1292</v>
      </c>
      <c r="B489" s="91" t="s">
        <v>215</v>
      </c>
      <c r="C489" s="107">
        <v>2.7563</v>
      </c>
      <c r="D489" s="78"/>
      <c r="E489" s="78"/>
      <c r="F489" s="78"/>
    </row>
    <row r="490" spans="1:6">
      <c r="A490" s="90" t="s">
        <v>1293</v>
      </c>
      <c r="B490" s="91" t="s">
        <v>215</v>
      </c>
      <c r="C490" s="107">
        <v>2.8</v>
      </c>
      <c r="D490" s="78"/>
      <c r="E490" s="78"/>
      <c r="F490" s="78"/>
    </row>
    <row r="491" spans="1:6">
      <c r="A491" s="90" t="s">
        <v>1294</v>
      </c>
      <c r="B491" s="91" t="s">
        <v>215</v>
      </c>
      <c r="C491" s="107">
        <v>2.8437999999999999</v>
      </c>
      <c r="D491" s="78"/>
      <c r="E491" s="78"/>
      <c r="F491" s="78"/>
    </row>
    <row r="492" spans="1:6">
      <c r="A492" s="90" t="s">
        <v>1295</v>
      </c>
      <c r="B492" s="91" t="s">
        <v>215</v>
      </c>
      <c r="C492" s="107">
        <v>2.8875000000000002</v>
      </c>
      <c r="D492" s="78"/>
      <c r="E492" s="78"/>
      <c r="F492" s="78"/>
    </row>
    <row r="493" spans="1:6">
      <c r="A493" s="90" t="s">
        <v>1296</v>
      </c>
      <c r="B493" s="91" t="s">
        <v>215</v>
      </c>
      <c r="C493" s="107">
        <v>2.9312</v>
      </c>
      <c r="D493" s="78"/>
      <c r="E493" s="78"/>
      <c r="F493" s="78"/>
    </row>
    <row r="494" spans="1:6">
      <c r="A494" s="90" t="s">
        <v>1297</v>
      </c>
      <c r="B494" s="91" t="s">
        <v>215</v>
      </c>
      <c r="C494" s="107">
        <v>2.9750000000000001</v>
      </c>
      <c r="D494" s="78"/>
      <c r="E494" s="78"/>
      <c r="F494" s="78"/>
    </row>
    <row r="495" spans="1:6">
      <c r="A495" s="90" t="s">
        <v>1298</v>
      </c>
      <c r="B495" s="91" t="s">
        <v>215</v>
      </c>
      <c r="C495" s="107">
        <v>3.0186999999999999</v>
      </c>
      <c r="D495" s="78"/>
      <c r="E495" s="78"/>
      <c r="F495" s="78"/>
    </row>
    <row r="496" spans="1:6">
      <c r="A496" s="90" t="s">
        <v>1299</v>
      </c>
      <c r="B496" s="91" t="s">
        <v>215</v>
      </c>
      <c r="C496" s="107">
        <v>3.0625</v>
      </c>
      <c r="D496" s="78"/>
      <c r="E496" s="78"/>
      <c r="F496" s="78"/>
    </row>
    <row r="497" spans="1:6">
      <c r="A497" s="90" t="s">
        <v>1300</v>
      </c>
      <c r="B497" s="91" t="s">
        <v>215</v>
      </c>
      <c r="C497" s="107">
        <v>3.1063000000000001</v>
      </c>
      <c r="D497" s="78"/>
      <c r="E497" s="78"/>
      <c r="F497" s="78"/>
    </row>
    <row r="498" spans="1:6">
      <c r="A498" s="90" t="s">
        <v>1301</v>
      </c>
      <c r="B498" s="91" t="s">
        <v>215</v>
      </c>
      <c r="C498" s="107">
        <v>3.15</v>
      </c>
      <c r="D498" s="78"/>
      <c r="E498" s="78"/>
      <c r="F498" s="78"/>
    </row>
    <row r="499" spans="1:6">
      <c r="A499" s="90" t="s">
        <v>1302</v>
      </c>
      <c r="B499" s="91" t="s">
        <v>215</v>
      </c>
      <c r="C499" s="107">
        <v>3.1938</v>
      </c>
      <c r="D499" s="78"/>
      <c r="E499" s="78"/>
      <c r="F499" s="78"/>
    </row>
    <row r="500" spans="1:6">
      <c r="A500" s="90" t="s">
        <v>1303</v>
      </c>
      <c r="B500" s="91" t="s">
        <v>215</v>
      </c>
      <c r="C500" s="107">
        <v>3.2374999999999998</v>
      </c>
      <c r="D500" s="78"/>
      <c r="E500" s="78"/>
      <c r="F500" s="78"/>
    </row>
    <row r="501" spans="1:6">
      <c r="A501" s="90" t="s">
        <v>1304</v>
      </c>
      <c r="B501" s="91" t="s">
        <v>215</v>
      </c>
      <c r="C501" s="107">
        <v>3.2812999999999999</v>
      </c>
      <c r="D501" s="78"/>
      <c r="E501" s="78"/>
      <c r="F501" s="78"/>
    </row>
    <row r="502" spans="1:6">
      <c r="A502" s="90" t="s">
        <v>1305</v>
      </c>
      <c r="B502" s="91" t="s">
        <v>215</v>
      </c>
      <c r="C502" s="107">
        <v>3.3250000000000002</v>
      </c>
      <c r="D502" s="78"/>
      <c r="E502" s="78"/>
      <c r="F502" s="78"/>
    </row>
    <row r="503" spans="1:6">
      <c r="A503" s="90" t="s">
        <v>1306</v>
      </c>
      <c r="B503" s="91" t="s">
        <v>215</v>
      </c>
      <c r="C503" s="107">
        <v>3.3687</v>
      </c>
      <c r="D503" s="78"/>
      <c r="E503" s="78"/>
      <c r="F503" s="78"/>
    </row>
    <row r="504" spans="1:6">
      <c r="A504" s="90" t="s">
        <v>1307</v>
      </c>
      <c r="B504" s="91" t="s">
        <v>215</v>
      </c>
      <c r="C504" s="107">
        <v>3.4125000000000001</v>
      </c>
      <c r="D504" s="78"/>
      <c r="E504" s="78"/>
      <c r="F504" s="78"/>
    </row>
    <row r="505" spans="1:6">
      <c r="A505" s="90" t="s">
        <v>1308</v>
      </c>
      <c r="B505" s="91" t="s">
        <v>215</v>
      </c>
      <c r="C505" s="107">
        <v>3.4561999999999999</v>
      </c>
      <c r="D505" s="78"/>
      <c r="E505" s="78"/>
      <c r="F505" s="78"/>
    </row>
    <row r="506" spans="1:6">
      <c r="A506" s="90" t="s">
        <v>1309</v>
      </c>
      <c r="B506" s="91" t="s">
        <v>215</v>
      </c>
      <c r="C506" s="107">
        <v>3.5</v>
      </c>
      <c r="D506" s="78"/>
      <c r="E506" s="78"/>
      <c r="F506" s="78"/>
    </row>
    <row r="507" spans="1:6">
      <c r="A507" s="105" t="s">
        <v>1229</v>
      </c>
      <c r="B507" s="91" t="s">
        <v>238</v>
      </c>
      <c r="C507" s="106">
        <v>7.2300000000000003E-2</v>
      </c>
      <c r="D507" s="78"/>
      <c r="E507" s="78"/>
      <c r="F507" s="78"/>
    </row>
    <row r="508" spans="1:6">
      <c r="A508" s="105" t="s">
        <v>1230</v>
      </c>
      <c r="B508" s="91" t="s">
        <v>238</v>
      </c>
      <c r="C508" s="106">
        <v>7.2300000000000003E-2</v>
      </c>
      <c r="D508" s="78"/>
      <c r="E508" s="78"/>
      <c r="F508" s="78"/>
    </row>
    <row r="509" spans="1:6">
      <c r="A509" s="105" t="s">
        <v>1231</v>
      </c>
      <c r="B509" s="91" t="s">
        <v>238</v>
      </c>
      <c r="C509" s="106">
        <v>7.2499999999999995E-2</v>
      </c>
      <c r="D509" s="78"/>
      <c r="E509" s="78"/>
      <c r="F509" s="78"/>
    </row>
    <row r="510" spans="1:6">
      <c r="A510" s="105" t="s">
        <v>1232</v>
      </c>
      <c r="B510" s="91" t="s">
        <v>238</v>
      </c>
      <c r="C510" s="106">
        <v>7.2700000000000001E-2</v>
      </c>
      <c r="D510" s="78"/>
      <c r="E510" s="78"/>
      <c r="F510" s="78"/>
    </row>
    <row r="511" spans="1:6">
      <c r="A511" s="105" t="s">
        <v>1233</v>
      </c>
      <c r="B511" s="91" t="s">
        <v>238</v>
      </c>
      <c r="C511" s="106">
        <v>7.2999999999999995E-2</v>
      </c>
      <c r="D511" s="78"/>
      <c r="E511" s="78"/>
      <c r="F511" s="78"/>
    </row>
    <row r="512" spans="1:6">
      <c r="A512" s="105" t="s">
        <v>1234</v>
      </c>
      <c r="B512" s="91" t="s">
        <v>238</v>
      </c>
      <c r="C512" s="106">
        <v>7.3300000000000004E-2</v>
      </c>
      <c r="D512" s="78"/>
      <c r="E512" s="78"/>
      <c r="F512" s="78"/>
    </row>
    <row r="513" spans="1:6">
      <c r="A513" s="105" t="s">
        <v>1235</v>
      </c>
      <c r="B513" s="91" t="s">
        <v>238</v>
      </c>
      <c r="C513" s="106">
        <v>7.3800000000000004E-2</v>
      </c>
      <c r="D513" s="78"/>
      <c r="E513" s="78"/>
      <c r="F513" s="78"/>
    </row>
    <row r="514" spans="1:6">
      <c r="A514" s="105" t="s">
        <v>1236</v>
      </c>
      <c r="B514" s="91" t="s">
        <v>238</v>
      </c>
      <c r="C514" s="106">
        <v>7.4399999999999994E-2</v>
      </c>
      <c r="D514" s="78"/>
      <c r="E514" s="78"/>
      <c r="F514" s="78"/>
    </row>
    <row r="515" spans="1:6">
      <c r="A515" s="105" t="s">
        <v>1237</v>
      </c>
      <c r="B515" s="91" t="s">
        <v>238</v>
      </c>
      <c r="C515" s="106">
        <v>7.4999999999999997E-2</v>
      </c>
      <c r="D515" s="78"/>
      <c r="E515" s="78"/>
      <c r="F515" s="78"/>
    </row>
    <row r="516" spans="1:6">
      <c r="A516" s="105" t="s">
        <v>1238</v>
      </c>
      <c r="B516" s="91" t="s">
        <v>238</v>
      </c>
      <c r="C516" s="106">
        <v>7.5700000000000003E-2</v>
      </c>
      <c r="D516" s="78"/>
      <c r="E516" s="78"/>
      <c r="F516" s="78"/>
    </row>
    <row r="517" spans="1:6">
      <c r="A517" s="105" t="s">
        <v>1239</v>
      </c>
      <c r="B517" s="91" t="s">
        <v>238</v>
      </c>
      <c r="C517" s="106">
        <v>7.6499999999999999E-2</v>
      </c>
      <c r="D517" s="78"/>
      <c r="E517" s="78"/>
      <c r="F517" s="78"/>
    </row>
    <row r="518" spans="1:6">
      <c r="A518" s="105" t="s">
        <v>1240</v>
      </c>
      <c r="B518" s="91" t="s">
        <v>238</v>
      </c>
      <c r="C518" s="106">
        <v>7.7399999999999997E-2</v>
      </c>
      <c r="D518" s="78"/>
      <c r="E518" s="78"/>
      <c r="F518" s="78"/>
    </row>
    <row r="519" spans="1:6">
      <c r="A519" s="105" t="s">
        <v>1241</v>
      </c>
      <c r="B519" s="91" t="s">
        <v>238</v>
      </c>
      <c r="C519" s="106">
        <v>7.8399999999999997E-2</v>
      </c>
      <c r="D519" s="78"/>
      <c r="E519" s="78"/>
      <c r="F519" s="78"/>
    </row>
    <row r="520" spans="1:6">
      <c r="A520" s="105" t="s">
        <v>1242</v>
      </c>
      <c r="B520" s="91" t="s">
        <v>238</v>
      </c>
      <c r="C520" s="106">
        <v>7.9399999999999998E-2</v>
      </c>
      <c r="D520" s="78"/>
      <c r="E520" s="78"/>
      <c r="F520" s="78"/>
    </row>
    <row r="521" spans="1:6">
      <c r="A521" s="105" t="s">
        <v>1243</v>
      </c>
      <c r="B521" s="91" t="s">
        <v>238</v>
      </c>
      <c r="C521" s="106">
        <v>8.0600000000000005E-2</v>
      </c>
      <c r="D521" s="78"/>
      <c r="E521" s="78"/>
      <c r="F521" s="78"/>
    </row>
    <row r="522" spans="1:6">
      <c r="A522" s="105" t="s">
        <v>1244</v>
      </c>
      <c r="B522" s="91" t="s">
        <v>238</v>
      </c>
      <c r="C522" s="106">
        <v>8.1699999999999995E-2</v>
      </c>
      <c r="D522" s="78"/>
      <c r="E522" s="78"/>
      <c r="F522" s="78"/>
    </row>
    <row r="523" spans="1:6">
      <c r="A523" s="105" t="s">
        <v>1245</v>
      </c>
      <c r="B523" s="91" t="s">
        <v>238</v>
      </c>
      <c r="C523" s="106">
        <v>8.3000000000000004E-2</v>
      </c>
      <c r="D523" s="78"/>
      <c r="E523" s="78"/>
      <c r="F523" s="78"/>
    </row>
    <row r="524" spans="1:6">
      <c r="A524" s="105" t="s">
        <v>1246</v>
      </c>
      <c r="B524" s="91" t="s">
        <v>238</v>
      </c>
      <c r="C524" s="106">
        <v>8.3457000000000003E-2</v>
      </c>
      <c r="D524" s="78"/>
      <c r="E524" s="78"/>
      <c r="F524" s="78"/>
    </row>
    <row r="525" spans="1:6">
      <c r="A525" s="105" t="s">
        <v>1247</v>
      </c>
      <c r="B525" s="91" t="s">
        <v>238</v>
      </c>
      <c r="C525" s="106">
        <v>8.4084000000000006E-2</v>
      </c>
      <c r="D525" s="78"/>
      <c r="E525" s="78"/>
      <c r="F525" s="78"/>
    </row>
    <row r="526" spans="1:6">
      <c r="A526" s="105" t="s">
        <v>1248</v>
      </c>
      <c r="B526" s="91" t="s">
        <v>238</v>
      </c>
      <c r="C526" s="106">
        <v>8.4583999999999993E-2</v>
      </c>
      <c r="D526" s="78"/>
      <c r="E526" s="78"/>
      <c r="F526" s="78"/>
    </row>
    <row r="527" spans="1:6">
      <c r="A527" s="105" t="s">
        <v>1249</v>
      </c>
      <c r="B527" s="91" t="s">
        <v>238</v>
      </c>
      <c r="C527" s="106">
        <v>8.5151999999999992E-2</v>
      </c>
      <c r="D527" s="78"/>
      <c r="E527" s="78"/>
      <c r="F527" s="78"/>
    </row>
    <row r="528" spans="1:6">
      <c r="A528" s="105" t="s">
        <v>1250</v>
      </c>
      <c r="B528" s="91" t="s">
        <v>238</v>
      </c>
      <c r="C528" s="106">
        <v>8.5785E-2</v>
      </c>
      <c r="D528" s="78"/>
      <c r="E528" s="78"/>
      <c r="F528" s="78"/>
    </row>
    <row r="529" spans="1:6">
      <c r="A529" s="105" t="s">
        <v>1251</v>
      </c>
      <c r="B529" s="91" t="s">
        <v>238</v>
      </c>
      <c r="C529" s="106">
        <v>8.6385999999999991E-2</v>
      </c>
      <c r="D529" s="78"/>
      <c r="E529" s="78"/>
      <c r="F529" s="78"/>
    </row>
    <row r="530" spans="1:6">
      <c r="A530" s="105" t="s">
        <v>1252</v>
      </c>
      <c r="B530" s="91" t="s">
        <v>238</v>
      </c>
      <c r="C530" s="106">
        <v>8.714100000000001E-2</v>
      </c>
      <c r="D530" s="78"/>
      <c r="E530" s="78"/>
      <c r="F530" s="78"/>
    </row>
    <row r="531" spans="1:6">
      <c r="A531" s="105" t="s">
        <v>1253</v>
      </c>
      <c r="B531" s="91" t="s">
        <v>238</v>
      </c>
      <c r="C531" s="106">
        <v>8.7767999999999999E-2</v>
      </c>
      <c r="D531" s="78"/>
      <c r="E531" s="78"/>
      <c r="F531" s="78"/>
    </row>
    <row r="532" spans="1:6">
      <c r="A532" s="105" t="s">
        <v>1254</v>
      </c>
      <c r="B532" s="91" t="s">
        <v>238</v>
      </c>
      <c r="C532" s="106">
        <v>8.8361000000000009E-2</v>
      </c>
      <c r="D532" s="78"/>
      <c r="E532" s="78"/>
      <c r="F532" s="78"/>
    </row>
    <row r="533" spans="1:6">
      <c r="A533" s="105" t="s">
        <v>1255</v>
      </c>
      <c r="B533" s="91" t="s">
        <v>238</v>
      </c>
      <c r="C533" s="106">
        <v>8.9010000000000006E-2</v>
      </c>
      <c r="D533" s="78"/>
      <c r="E533" s="78"/>
      <c r="F533" s="78"/>
    </row>
    <row r="534" spans="1:6">
      <c r="A534" s="105" t="s">
        <v>1256</v>
      </c>
      <c r="B534" s="91" t="s">
        <v>238</v>
      </c>
      <c r="C534" s="106">
        <v>8.9712E-2</v>
      </c>
      <c r="D534" s="78"/>
      <c r="E534" s="78"/>
      <c r="F534" s="78"/>
    </row>
    <row r="535" spans="1:6">
      <c r="A535" s="105" t="s">
        <v>1257</v>
      </c>
      <c r="B535" s="91" t="s">
        <v>238</v>
      </c>
      <c r="C535" s="106">
        <v>9.0375999999999998E-2</v>
      </c>
      <c r="D535" s="78"/>
      <c r="E535" s="78"/>
      <c r="F535" s="78"/>
    </row>
    <row r="536" spans="1:6">
      <c r="A536" s="105" t="s">
        <v>1258</v>
      </c>
      <c r="B536" s="91" t="s">
        <v>238</v>
      </c>
      <c r="C536" s="106">
        <v>9.1002E-2</v>
      </c>
      <c r="D536" s="78"/>
      <c r="E536" s="78"/>
      <c r="F536" s="78"/>
    </row>
    <row r="537" spans="1:6">
      <c r="A537" s="105" t="s">
        <v>1259</v>
      </c>
      <c r="B537" s="91" t="s">
        <v>238</v>
      </c>
      <c r="C537" s="106">
        <v>9.1675999999999994E-2</v>
      </c>
      <c r="D537" s="78"/>
      <c r="E537" s="78"/>
      <c r="F537" s="78"/>
    </row>
    <row r="538" spans="1:6">
      <c r="A538" s="105" t="s">
        <v>1260</v>
      </c>
      <c r="B538" s="91" t="s">
        <v>238</v>
      </c>
      <c r="C538" s="106">
        <v>8.6880000000000013E-2</v>
      </c>
      <c r="D538" s="78"/>
      <c r="E538" s="78"/>
      <c r="F538" s="78"/>
    </row>
    <row r="539" spans="1:6">
      <c r="A539" s="105" t="s">
        <v>1261</v>
      </c>
      <c r="B539" s="91" t="s">
        <v>238</v>
      </c>
      <c r="C539" s="106">
        <v>8.7453000000000003E-2</v>
      </c>
      <c r="D539" s="78"/>
      <c r="E539" s="78"/>
      <c r="F539" s="78"/>
    </row>
    <row r="540" spans="1:6">
      <c r="A540" s="105" t="s">
        <v>1262</v>
      </c>
      <c r="B540" s="91" t="s">
        <v>238</v>
      </c>
      <c r="C540" s="106">
        <v>8.7905999999999998E-2</v>
      </c>
      <c r="D540" s="78"/>
      <c r="E540" s="78"/>
      <c r="F540" s="78"/>
    </row>
    <row r="541" spans="1:6">
      <c r="A541" s="105" t="s">
        <v>1263</v>
      </c>
      <c r="B541" s="91" t="s">
        <v>238</v>
      </c>
      <c r="C541" s="106">
        <v>8.8318999999999995E-2</v>
      </c>
      <c r="D541" s="78"/>
      <c r="E541" s="78"/>
      <c r="F541" s="78"/>
    </row>
    <row r="542" spans="1:6">
      <c r="A542" s="105" t="s">
        <v>1264</v>
      </c>
      <c r="B542" s="91" t="s">
        <v>238</v>
      </c>
      <c r="C542" s="106">
        <v>8.8844000000000006E-2</v>
      </c>
      <c r="D542" s="78"/>
      <c r="E542" s="78"/>
      <c r="F542" s="78"/>
    </row>
    <row r="543" spans="1:6">
      <c r="A543" s="105" t="s">
        <v>1265</v>
      </c>
      <c r="B543" s="91" t="s">
        <v>238</v>
      </c>
      <c r="C543" s="106">
        <v>8.9175000000000004E-2</v>
      </c>
      <c r="D543" s="78"/>
      <c r="E543" s="78"/>
      <c r="F543" s="78"/>
    </row>
    <row r="544" spans="1:6">
      <c r="A544" s="105" t="s">
        <v>1266</v>
      </c>
      <c r="B544" s="91" t="s">
        <v>238</v>
      </c>
      <c r="C544" s="106">
        <v>8.9688000000000004E-2</v>
      </c>
      <c r="D544" s="78"/>
      <c r="E544" s="78"/>
      <c r="F544" s="78"/>
    </row>
    <row r="545" spans="1:6">
      <c r="A545" s="105" t="s">
        <v>1267</v>
      </c>
      <c r="B545" s="91" t="s">
        <v>238</v>
      </c>
      <c r="C545" s="106">
        <v>9.0009000000000006E-2</v>
      </c>
      <c r="D545" s="78"/>
      <c r="E545" s="78"/>
      <c r="F545" s="78"/>
    </row>
    <row r="546" spans="1:6">
      <c r="A546" s="105" t="s">
        <v>1268</v>
      </c>
      <c r="B546" s="91" t="s">
        <v>238</v>
      </c>
      <c r="C546" s="106">
        <v>9.1687999999999992E-2</v>
      </c>
      <c r="D546" s="78"/>
      <c r="E546" s="78"/>
      <c r="F546" s="78"/>
    </row>
    <row r="547" spans="1:6">
      <c r="A547" s="105" t="s">
        <v>1269</v>
      </c>
      <c r="B547" s="91" t="s">
        <v>238</v>
      </c>
      <c r="C547" s="106">
        <v>9.3439999999999995E-2</v>
      </c>
      <c r="D547" s="78"/>
      <c r="E547" s="78"/>
      <c r="F547" s="78"/>
    </row>
    <row r="548" spans="1:6">
      <c r="A548" s="105" t="s">
        <v>1270</v>
      </c>
      <c r="B548" s="91" t="s">
        <v>238</v>
      </c>
      <c r="C548" s="106">
        <v>9.4899999999999998E-2</v>
      </c>
      <c r="D548" s="78"/>
      <c r="E548" s="78"/>
      <c r="F548" s="78"/>
    </row>
    <row r="549" spans="1:6">
      <c r="A549" s="105" t="s">
        <v>1271</v>
      </c>
      <c r="B549" s="91" t="s">
        <v>238</v>
      </c>
      <c r="C549" s="106">
        <v>9.6651999999999988E-2</v>
      </c>
      <c r="D549" s="78"/>
      <c r="E549" s="78"/>
      <c r="F549" s="78"/>
    </row>
    <row r="550" spans="1:6">
      <c r="A550" s="105" t="s">
        <v>1272</v>
      </c>
      <c r="B550" s="91" t="s">
        <v>238</v>
      </c>
      <c r="C550" s="106">
        <v>9.8185000000000008E-2</v>
      </c>
      <c r="D550" s="78"/>
      <c r="E550" s="78"/>
      <c r="F550" s="78"/>
    </row>
    <row r="551" spans="1:6">
      <c r="A551" s="105" t="s">
        <v>1273</v>
      </c>
      <c r="B551" s="91" t="s">
        <v>238</v>
      </c>
      <c r="C551" s="106">
        <v>9.9936999999999998E-2</v>
      </c>
      <c r="D551" s="78"/>
      <c r="E551" s="78"/>
      <c r="F551" s="78"/>
    </row>
    <row r="552" spans="1:6">
      <c r="A552" s="105" t="s">
        <v>1274</v>
      </c>
      <c r="B552" s="91" t="s">
        <v>238</v>
      </c>
      <c r="C552" s="106">
        <v>0.101689</v>
      </c>
      <c r="D552" s="78"/>
      <c r="E552" s="78"/>
      <c r="F552" s="78"/>
    </row>
    <row r="553" spans="1:6">
      <c r="A553" s="105" t="s">
        <v>1275</v>
      </c>
      <c r="B553" s="91" t="s">
        <v>238</v>
      </c>
      <c r="C553" s="106">
        <v>0.10322199999999999</v>
      </c>
      <c r="D553" s="78"/>
      <c r="E553" s="78"/>
      <c r="F553" s="78"/>
    </row>
    <row r="554" spans="1:6">
      <c r="A554" s="105" t="s">
        <v>1276</v>
      </c>
      <c r="B554" s="91" t="s">
        <v>238</v>
      </c>
      <c r="C554" s="106">
        <v>0.10497400000000001</v>
      </c>
      <c r="D554" s="78"/>
      <c r="E554" s="78"/>
      <c r="F554" s="78"/>
    </row>
    <row r="555" spans="1:6">
      <c r="A555" s="105" t="s">
        <v>1277</v>
      </c>
      <c r="B555" s="91" t="s">
        <v>238</v>
      </c>
      <c r="C555" s="106">
        <v>0.106726</v>
      </c>
      <c r="D555" s="78"/>
      <c r="E555" s="78"/>
      <c r="F555" s="78"/>
    </row>
    <row r="556" spans="1:6">
      <c r="A556" s="105" t="s">
        <v>1278</v>
      </c>
      <c r="B556" s="91" t="s">
        <v>238</v>
      </c>
      <c r="C556" s="106">
        <v>0.10825899999999999</v>
      </c>
      <c r="D556" s="78"/>
      <c r="E556" s="78"/>
      <c r="F556" s="78"/>
    </row>
    <row r="557" spans="1:6">
      <c r="A557" s="105" t="s">
        <v>1279</v>
      </c>
      <c r="B557" s="91" t="s">
        <v>238</v>
      </c>
      <c r="C557" s="106">
        <v>0.110011</v>
      </c>
      <c r="D557" s="78"/>
      <c r="E557" s="78"/>
      <c r="F557" s="78"/>
    </row>
    <row r="558" spans="1:6">
      <c r="A558" s="105" t="s">
        <v>1280</v>
      </c>
      <c r="B558" s="91" t="s">
        <v>238</v>
      </c>
      <c r="C558" s="106">
        <v>0.111836</v>
      </c>
      <c r="D558" s="78"/>
      <c r="E558" s="78"/>
      <c r="F558" s="78"/>
    </row>
    <row r="559" spans="1:6">
      <c r="A559" s="105" t="s">
        <v>1281</v>
      </c>
      <c r="B559" s="91" t="s">
        <v>238</v>
      </c>
      <c r="C559" s="106">
        <v>0.11358799999999999</v>
      </c>
      <c r="D559" s="78"/>
      <c r="E559" s="78"/>
      <c r="F559" s="78"/>
    </row>
    <row r="560" spans="1:6">
      <c r="A560" s="105" t="s">
        <v>1282</v>
      </c>
      <c r="B560" s="91" t="s">
        <v>238</v>
      </c>
      <c r="C560" s="106">
        <v>0.11541299999999999</v>
      </c>
      <c r="D560" s="78"/>
      <c r="E560" s="78"/>
      <c r="F560" s="78"/>
    </row>
    <row r="561" spans="1:6">
      <c r="A561" s="105" t="s">
        <v>1283</v>
      </c>
      <c r="B561" s="91" t="s">
        <v>238</v>
      </c>
      <c r="C561" s="106">
        <v>0.11687299999999999</v>
      </c>
      <c r="D561" s="78"/>
      <c r="E561" s="78"/>
      <c r="F561" s="78"/>
    </row>
    <row r="562" spans="1:6">
      <c r="A562" s="105" t="s">
        <v>1284</v>
      </c>
      <c r="B562" s="91" t="s">
        <v>238</v>
      </c>
      <c r="C562" s="106">
        <v>0.11862499999999999</v>
      </c>
      <c r="D562" s="78"/>
      <c r="E562" s="78"/>
      <c r="F562" s="78"/>
    </row>
    <row r="563" spans="1:6">
      <c r="A563" s="105" t="s">
        <v>1285</v>
      </c>
      <c r="B563" s="91" t="s">
        <v>238</v>
      </c>
      <c r="C563" s="106">
        <v>0.12045</v>
      </c>
      <c r="D563" s="78"/>
      <c r="E563" s="78"/>
      <c r="F563" s="78"/>
    </row>
    <row r="564" spans="1:6">
      <c r="A564" s="105" t="s">
        <v>1286</v>
      </c>
      <c r="B564" s="91" t="s">
        <v>238</v>
      </c>
      <c r="C564" s="106">
        <v>0.12220199999999999</v>
      </c>
      <c r="D564" s="78"/>
      <c r="E564" s="78"/>
      <c r="F564" s="78"/>
    </row>
    <row r="565" spans="1:6">
      <c r="A565" s="105" t="s">
        <v>1287</v>
      </c>
      <c r="B565" s="91" t="s">
        <v>238</v>
      </c>
      <c r="C565" s="106">
        <v>0.12395400000000001</v>
      </c>
      <c r="D565" s="78"/>
      <c r="E565" s="78"/>
      <c r="F565" s="78"/>
    </row>
    <row r="566" spans="1:6">
      <c r="A566" s="105" t="s">
        <v>1288</v>
      </c>
      <c r="B566" s="91" t="s">
        <v>238</v>
      </c>
      <c r="C566" s="106">
        <v>0.12570599999999998</v>
      </c>
      <c r="D566" s="78"/>
      <c r="E566" s="78"/>
      <c r="F566" s="78"/>
    </row>
    <row r="567" spans="1:6">
      <c r="A567" s="105" t="s">
        <v>1289</v>
      </c>
      <c r="B567" s="91" t="s">
        <v>238</v>
      </c>
      <c r="C567" s="106">
        <v>0.12745799999999999</v>
      </c>
      <c r="D567" s="78"/>
      <c r="E567" s="78"/>
      <c r="F567" s="78"/>
    </row>
    <row r="568" spans="1:6">
      <c r="A568" s="105" t="s">
        <v>1310</v>
      </c>
      <c r="B568" s="91" t="s">
        <v>238</v>
      </c>
      <c r="C568" s="106">
        <v>0.129137</v>
      </c>
      <c r="D568" s="78"/>
      <c r="E568" s="78"/>
      <c r="F568" s="78"/>
    </row>
    <row r="569" spans="1:6">
      <c r="A569" s="105" t="s">
        <v>1311</v>
      </c>
      <c r="B569" s="91" t="s">
        <v>238</v>
      </c>
      <c r="C569" s="106">
        <v>0.13052399999999997</v>
      </c>
      <c r="D569" s="78"/>
      <c r="E569" s="78"/>
      <c r="F569" s="78"/>
    </row>
    <row r="570" spans="1:6">
      <c r="A570" s="105" t="s">
        <v>1312</v>
      </c>
      <c r="B570" s="91" t="s">
        <v>238</v>
      </c>
      <c r="C570" s="106">
        <v>0.13220300000000001</v>
      </c>
      <c r="D570" s="78"/>
      <c r="E570" s="78"/>
      <c r="F570" s="78"/>
    </row>
    <row r="571" spans="1:6">
      <c r="A571" s="105" t="s">
        <v>1313</v>
      </c>
      <c r="B571" s="91" t="s">
        <v>238</v>
      </c>
      <c r="C571" s="106">
        <v>0.133882</v>
      </c>
      <c r="D571" s="78"/>
      <c r="E571" s="78"/>
      <c r="F571" s="78"/>
    </row>
    <row r="572" spans="1:6">
      <c r="A572" s="105" t="s">
        <v>1314</v>
      </c>
      <c r="B572" s="91" t="s">
        <v>238</v>
      </c>
      <c r="C572" s="106">
        <v>0.13556099999999999</v>
      </c>
      <c r="D572" s="78"/>
      <c r="E572" s="78"/>
      <c r="F572" s="78"/>
    </row>
    <row r="573" spans="1:6">
      <c r="A573" s="105" t="s">
        <v>1315</v>
      </c>
      <c r="B573" s="91" t="s">
        <v>238</v>
      </c>
      <c r="C573" s="106">
        <v>0.13724</v>
      </c>
      <c r="D573" s="78"/>
      <c r="E573" s="78"/>
      <c r="F573" s="78"/>
    </row>
    <row r="574" spans="1:6">
      <c r="A574" s="105" t="s">
        <v>1316</v>
      </c>
      <c r="B574" s="91" t="s">
        <v>238</v>
      </c>
      <c r="C574" s="106">
        <v>0.138846</v>
      </c>
      <c r="D574" s="78"/>
      <c r="E574" s="78"/>
      <c r="F574" s="78"/>
    </row>
    <row r="575" spans="1:6">
      <c r="A575" s="105" t="s">
        <v>1317</v>
      </c>
      <c r="B575" s="91" t="s">
        <v>238</v>
      </c>
      <c r="C575" s="106">
        <v>0.14045199999999999</v>
      </c>
      <c r="D575" s="78"/>
      <c r="E575" s="78"/>
      <c r="F575" s="78"/>
    </row>
    <row r="576" spans="1:6">
      <c r="A576" s="105" t="s">
        <v>1318</v>
      </c>
      <c r="B576" s="91" t="s">
        <v>238</v>
      </c>
      <c r="C576" s="106">
        <v>0.14162</v>
      </c>
      <c r="D576" s="78"/>
      <c r="E576" s="78"/>
      <c r="F576" s="78"/>
    </row>
    <row r="577" spans="1:6">
      <c r="A577" s="105" t="s">
        <v>1319</v>
      </c>
      <c r="B577" s="91" t="s">
        <v>238</v>
      </c>
      <c r="C577" s="106">
        <v>0.142788</v>
      </c>
      <c r="D577" s="78"/>
      <c r="E577" s="78"/>
      <c r="F577" s="78"/>
    </row>
    <row r="578" spans="1:6">
      <c r="A578" s="105" t="s">
        <v>1320</v>
      </c>
      <c r="B578" s="91" t="s">
        <v>238</v>
      </c>
      <c r="C578" s="106">
        <v>0.14395599999999997</v>
      </c>
      <c r="D578" s="78"/>
      <c r="E578" s="78"/>
      <c r="F578" s="78"/>
    </row>
    <row r="579" spans="1:6">
      <c r="A579" s="105" t="s">
        <v>1321</v>
      </c>
      <c r="B579" s="91" t="s">
        <v>238</v>
      </c>
      <c r="C579" s="106">
        <v>0.14505099999999999</v>
      </c>
      <c r="D579" s="78"/>
      <c r="E579" s="78"/>
      <c r="F579" s="78"/>
    </row>
    <row r="580" spans="1:6">
      <c r="A580" s="105" t="s">
        <v>1322</v>
      </c>
      <c r="B580" s="91" t="s">
        <v>238</v>
      </c>
      <c r="C580" s="106">
        <v>0.146146</v>
      </c>
      <c r="D580" s="78"/>
      <c r="E580" s="78"/>
      <c r="F580" s="78"/>
    </row>
    <row r="581" spans="1:6">
      <c r="A581" s="105" t="s">
        <v>1323</v>
      </c>
      <c r="B581" s="91" t="s">
        <v>238</v>
      </c>
      <c r="C581" s="106">
        <v>0.14716799999999999</v>
      </c>
      <c r="D581" s="78"/>
      <c r="E581" s="78"/>
      <c r="F581" s="78"/>
    </row>
    <row r="582" spans="1:6">
      <c r="A582" s="105" t="s">
        <v>1324</v>
      </c>
      <c r="B582" s="91" t="s">
        <v>238</v>
      </c>
      <c r="C582" s="106">
        <v>0.14819000000000002</v>
      </c>
      <c r="D582" s="78"/>
      <c r="E582" s="78"/>
      <c r="F582" s="78"/>
    </row>
    <row r="583" spans="1:6">
      <c r="A583" s="105" t="s">
        <v>1325</v>
      </c>
      <c r="B583" s="91" t="s">
        <v>238</v>
      </c>
      <c r="C583" s="106">
        <v>0.14913899999999999</v>
      </c>
      <c r="D583" s="78"/>
      <c r="E583" s="78"/>
      <c r="F583" s="78"/>
    </row>
    <row r="584" spans="1:6">
      <c r="A584" s="105" t="s">
        <v>1326</v>
      </c>
      <c r="B584" s="91" t="s">
        <v>238</v>
      </c>
      <c r="C584" s="106">
        <v>0.150088</v>
      </c>
      <c r="D584" s="78"/>
      <c r="E584" s="78"/>
      <c r="F584" s="78"/>
    </row>
    <row r="585" spans="1:6">
      <c r="A585" s="105" t="s">
        <v>1327</v>
      </c>
      <c r="B585" s="91" t="s">
        <v>238</v>
      </c>
      <c r="C585" s="106">
        <v>0.151037</v>
      </c>
      <c r="D585" s="78"/>
      <c r="E585" s="78"/>
      <c r="F585" s="78"/>
    </row>
    <row r="586" spans="1:6">
      <c r="A586" s="105" t="s">
        <v>1328</v>
      </c>
      <c r="B586" s="91" t="s">
        <v>238</v>
      </c>
      <c r="C586" s="106">
        <v>0.15184</v>
      </c>
      <c r="D586" s="78"/>
      <c r="E586" s="78"/>
      <c r="F586" s="78"/>
    </row>
    <row r="587" spans="1:6">
      <c r="A587" s="105" t="s">
        <v>1329</v>
      </c>
      <c r="B587" s="91" t="s">
        <v>238</v>
      </c>
      <c r="C587" s="106">
        <v>0.15271599999999999</v>
      </c>
      <c r="D587" s="78"/>
      <c r="E587" s="78"/>
      <c r="F587" s="78"/>
    </row>
    <row r="588" spans="1:6" s="103" customFormat="1">
      <c r="A588" s="105"/>
      <c r="B588" s="91"/>
      <c r="C588" s="106"/>
      <c r="D588" s="78"/>
      <c r="E588" s="78"/>
      <c r="F588" s="78"/>
    </row>
    <row r="589" spans="1:6" ht="17.25">
      <c r="A589" s="111" t="s">
        <v>1654</v>
      </c>
      <c r="B589" s="111"/>
      <c r="C589" s="111"/>
      <c r="D589" s="111"/>
      <c r="E589" s="111"/>
      <c r="F589" s="111"/>
    </row>
    <row r="590" spans="1:6">
      <c r="A590" s="76" t="s">
        <v>0</v>
      </c>
      <c r="B590" s="76" t="s">
        <v>1</v>
      </c>
      <c r="C590" s="76" t="s">
        <v>2</v>
      </c>
      <c r="D590" s="76" t="s">
        <v>4</v>
      </c>
      <c r="E590" s="76" t="s">
        <v>3</v>
      </c>
      <c r="F590" s="76" t="s">
        <v>21</v>
      </c>
    </row>
    <row r="591" spans="1:6">
      <c r="A591" s="90" t="s">
        <v>1816</v>
      </c>
      <c r="B591" s="91" t="s">
        <v>238</v>
      </c>
      <c r="C591" s="53">
        <v>0.01</v>
      </c>
      <c r="D591" s="78"/>
      <c r="E591" s="78"/>
      <c r="F591" s="78"/>
    </row>
    <row r="592" spans="1:6">
      <c r="A592" s="90" t="s">
        <v>1817</v>
      </c>
      <c r="B592" s="91" t="s">
        <v>238</v>
      </c>
      <c r="C592" s="53">
        <v>1.12E-2</v>
      </c>
      <c r="D592" s="78"/>
      <c r="E592" s="78"/>
      <c r="F592" s="78"/>
    </row>
    <row r="593" spans="1:6">
      <c r="A593" s="90" t="s">
        <v>1818</v>
      </c>
      <c r="B593" s="91" t="s">
        <v>238</v>
      </c>
      <c r="C593" s="53">
        <v>1.2500000000000001E-2</v>
      </c>
      <c r="D593" s="78"/>
      <c r="E593" s="78"/>
      <c r="F593" s="78"/>
    </row>
    <row r="594" spans="1:6">
      <c r="A594" s="90" t="s">
        <v>1819</v>
      </c>
      <c r="B594" s="91" t="s">
        <v>238</v>
      </c>
      <c r="C594" s="53">
        <v>1.37E-2</v>
      </c>
      <c r="D594" s="78"/>
      <c r="E594" s="78"/>
      <c r="F594" s="78"/>
    </row>
    <row r="595" spans="1:6">
      <c r="A595" s="90" t="s">
        <v>1820</v>
      </c>
      <c r="B595" s="91" t="s">
        <v>238</v>
      </c>
      <c r="C595" s="53">
        <v>1.4999999999999999E-2</v>
      </c>
      <c r="D595" s="78"/>
      <c r="E595" s="78"/>
      <c r="F595" s="78"/>
    </row>
    <row r="596" spans="1:6">
      <c r="A596" s="90" t="s">
        <v>1821</v>
      </c>
      <c r="B596" s="91" t="s">
        <v>238</v>
      </c>
      <c r="C596" s="53">
        <v>1.6199999999999999E-2</v>
      </c>
      <c r="D596" s="78"/>
      <c r="E596" s="78"/>
      <c r="F596" s="78"/>
    </row>
    <row r="597" spans="1:6">
      <c r="A597" s="90" t="s">
        <v>1822</v>
      </c>
      <c r="B597" s="91" t="s">
        <v>238</v>
      </c>
      <c r="C597" s="53">
        <v>1.7500000000000002E-2</v>
      </c>
      <c r="D597" s="78"/>
      <c r="E597" s="78"/>
      <c r="F597" s="78"/>
    </row>
    <row r="598" spans="1:6">
      <c r="A598" s="90" t="s">
        <v>1823</v>
      </c>
      <c r="B598" s="91" t="s">
        <v>238</v>
      </c>
      <c r="C598" s="53">
        <v>1.8700000000000001E-2</v>
      </c>
      <c r="D598" s="78"/>
      <c r="E598" s="78"/>
      <c r="F598" s="78"/>
    </row>
    <row r="599" spans="1:6">
      <c r="A599" s="90" t="s">
        <v>1824</v>
      </c>
      <c r="B599" s="91" t="s">
        <v>238</v>
      </c>
      <c r="C599" s="53">
        <v>0.02</v>
      </c>
      <c r="D599" s="78"/>
      <c r="E599" s="78"/>
      <c r="F599" s="78"/>
    </row>
    <row r="600" spans="1:6">
      <c r="A600" s="90" t="s">
        <v>1825</v>
      </c>
      <c r="B600" s="91" t="s">
        <v>238</v>
      </c>
      <c r="C600" s="53">
        <v>2.12E-2</v>
      </c>
      <c r="D600" s="78"/>
      <c r="E600" s="78"/>
      <c r="F600" s="78"/>
    </row>
    <row r="601" spans="1:6">
      <c r="A601" s="90" t="s">
        <v>1826</v>
      </c>
      <c r="B601" s="91" t="s">
        <v>238</v>
      </c>
      <c r="C601" s="53">
        <v>2.24E-2</v>
      </c>
      <c r="D601" s="78"/>
      <c r="E601" s="78"/>
      <c r="F601" s="78"/>
    </row>
    <row r="602" spans="1:6">
      <c r="A602" s="90" t="s">
        <v>1827</v>
      </c>
      <c r="B602" s="91" t="s">
        <v>238</v>
      </c>
      <c r="C602" s="53">
        <v>2.3699999999999999E-2</v>
      </c>
      <c r="D602" s="78"/>
      <c r="E602" s="78"/>
      <c r="F602" s="78"/>
    </row>
    <row r="603" spans="1:6">
      <c r="A603" s="90" t="s">
        <v>1828</v>
      </c>
      <c r="B603" s="91" t="s">
        <v>238</v>
      </c>
      <c r="C603" s="53">
        <v>2.4899999999999999E-2</v>
      </c>
      <c r="D603" s="78"/>
      <c r="E603" s="78"/>
      <c r="F603" s="78"/>
    </row>
    <row r="604" spans="1:6">
      <c r="A604" s="90" t="s">
        <v>1829</v>
      </c>
      <c r="B604" s="91" t="s">
        <v>238</v>
      </c>
      <c r="C604" s="53">
        <v>2.6200000000000001E-2</v>
      </c>
      <c r="D604" s="78"/>
      <c r="E604" s="78"/>
      <c r="F604" s="78"/>
    </row>
    <row r="605" spans="1:6">
      <c r="A605" s="90" t="s">
        <v>1830</v>
      </c>
      <c r="B605" s="91" t="s">
        <v>238</v>
      </c>
      <c r="C605" s="53">
        <v>2.7400000000000001E-2</v>
      </c>
      <c r="D605" s="78"/>
      <c r="E605" s="78"/>
      <c r="F605" s="78"/>
    </row>
    <row r="606" spans="1:6">
      <c r="A606" s="90" t="s">
        <v>1831</v>
      </c>
      <c r="B606" s="91" t="s">
        <v>238</v>
      </c>
      <c r="C606" s="53">
        <v>2.87E-2</v>
      </c>
      <c r="D606" s="78"/>
      <c r="E606" s="78"/>
      <c r="F606" s="78"/>
    </row>
    <row r="607" spans="1:6">
      <c r="A607" s="90" t="s">
        <v>1832</v>
      </c>
      <c r="B607" s="91" t="s">
        <v>238</v>
      </c>
      <c r="C607" s="53">
        <v>2.9899999999999999E-2</v>
      </c>
      <c r="D607" s="78"/>
      <c r="E607" s="78"/>
      <c r="F607" s="78"/>
    </row>
    <row r="608" spans="1:6">
      <c r="A608" s="90" t="s">
        <v>1833</v>
      </c>
      <c r="B608" s="91" t="s">
        <v>238</v>
      </c>
      <c r="C608" s="53">
        <v>3.1199999999999999E-2</v>
      </c>
      <c r="D608" s="78"/>
      <c r="E608" s="78"/>
      <c r="F608" s="78"/>
    </row>
    <row r="609" spans="1:6">
      <c r="A609" s="90" t="s">
        <v>1834</v>
      </c>
      <c r="B609" s="91" t="s">
        <v>238</v>
      </c>
      <c r="C609" s="53">
        <v>3.2399999999999998E-2</v>
      </c>
      <c r="D609" s="78"/>
      <c r="E609" s="78"/>
      <c r="F609" s="78"/>
    </row>
    <row r="610" spans="1:6">
      <c r="A610" s="90" t="s">
        <v>1835</v>
      </c>
      <c r="B610" s="91" t="s">
        <v>238</v>
      </c>
      <c r="C610" s="53">
        <v>3.3700000000000001E-2</v>
      </c>
      <c r="D610" s="78"/>
      <c r="E610" s="78"/>
      <c r="F610" s="78"/>
    </row>
    <row r="611" spans="1:6">
      <c r="A611" s="90" t="s">
        <v>1836</v>
      </c>
      <c r="B611" s="91" t="s">
        <v>238</v>
      </c>
      <c r="C611" s="53">
        <v>3.49E-2</v>
      </c>
      <c r="D611" s="78"/>
      <c r="E611" s="78"/>
      <c r="F611" s="78"/>
    </row>
    <row r="612" spans="1:6">
      <c r="A612" s="90" t="s">
        <v>1837</v>
      </c>
      <c r="B612" s="91" t="s">
        <v>238</v>
      </c>
      <c r="C612" s="53">
        <v>3.61E-2</v>
      </c>
      <c r="D612" s="78"/>
      <c r="E612" s="78"/>
      <c r="F612" s="78"/>
    </row>
    <row r="613" spans="1:6">
      <c r="A613" s="90" t="s">
        <v>1838</v>
      </c>
      <c r="B613" s="91" t="s">
        <v>238</v>
      </c>
      <c r="C613" s="53">
        <v>3.7400000000000003E-2</v>
      </c>
      <c r="D613" s="78"/>
      <c r="E613" s="78"/>
      <c r="F613" s="78"/>
    </row>
    <row r="614" spans="1:6">
      <c r="A614" s="90" t="s">
        <v>1839</v>
      </c>
      <c r="B614" s="91" t="s">
        <v>238</v>
      </c>
      <c r="C614" s="53">
        <v>3.8600000000000002E-2</v>
      </c>
      <c r="D614" s="78"/>
      <c r="E614" s="78"/>
      <c r="F614" s="78"/>
    </row>
    <row r="615" spans="1:6">
      <c r="A615" s="90" t="s">
        <v>1840</v>
      </c>
      <c r="B615" s="91" t="s">
        <v>238</v>
      </c>
      <c r="C615" s="53">
        <v>3.9899999999999998E-2</v>
      </c>
      <c r="D615" s="78"/>
      <c r="E615" s="78"/>
      <c r="F615" s="78"/>
    </row>
    <row r="616" spans="1:6">
      <c r="A616" s="90" t="s">
        <v>1841</v>
      </c>
      <c r="B616" s="91" t="s">
        <v>238</v>
      </c>
      <c r="C616" s="53">
        <v>4.1099999999999998E-2</v>
      </c>
      <c r="D616" s="78"/>
      <c r="E616" s="78"/>
      <c r="F616" s="78"/>
    </row>
    <row r="617" spans="1:6">
      <c r="A617" s="90" t="s">
        <v>1842</v>
      </c>
      <c r="B617" s="91" t="s">
        <v>238</v>
      </c>
      <c r="C617" s="53">
        <v>4.24E-2</v>
      </c>
      <c r="D617" s="78"/>
      <c r="E617" s="78"/>
      <c r="F617" s="78"/>
    </row>
    <row r="618" spans="1:6">
      <c r="A618" s="90" t="s">
        <v>1843</v>
      </c>
      <c r="B618" s="91" t="s">
        <v>238</v>
      </c>
      <c r="C618" s="53">
        <v>4.36E-2</v>
      </c>
      <c r="D618" s="78"/>
      <c r="E618" s="78"/>
      <c r="F618" s="78"/>
    </row>
    <row r="619" spans="1:6">
      <c r="A619" s="90" t="s">
        <v>1844</v>
      </c>
      <c r="B619" s="91" t="s">
        <v>238</v>
      </c>
      <c r="C619" s="53">
        <v>4.4900000000000002E-2</v>
      </c>
      <c r="D619" s="78"/>
      <c r="E619" s="78"/>
      <c r="F619" s="78"/>
    </row>
    <row r="620" spans="1:6">
      <c r="A620" s="90" t="s">
        <v>1845</v>
      </c>
      <c r="B620" s="91" t="s">
        <v>238</v>
      </c>
      <c r="C620" s="53">
        <v>4.6100000000000002E-2</v>
      </c>
      <c r="D620" s="78"/>
      <c r="E620" s="78"/>
      <c r="F620" s="78"/>
    </row>
    <row r="621" spans="1:6">
      <c r="A621" s="90" t="s">
        <v>1846</v>
      </c>
      <c r="B621" s="91" t="s">
        <v>238</v>
      </c>
      <c r="C621" s="53">
        <v>4.7399999999999998E-2</v>
      </c>
      <c r="D621" s="78"/>
      <c r="E621" s="78"/>
      <c r="F621" s="78"/>
    </row>
    <row r="622" spans="1:6">
      <c r="A622" s="90" t="s">
        <v>1847</v>
      </c>
      <c r="B622" s="91" t="s">
        <v>238</v>
      </c>
      <c r="C622" s="53">
        <v>4.8599999999999997E-2</v>
      </c>
      <c r="D622" s="78"/>
      <c r="E622" s="78"/>
      <c r="F622" s="78"/>
    </row>
    <row r="623" spans="1:6">
      <c r="A623" s="90" t="s">
        <v>1848</v>
      </c>
      <c r="B623" s="91" t="s">
        <v>238</v>
      </c>
      <c r="C623" s="53">
        <v>4.9799999999999997E-2</v>
      </c>
      <c r="D623" s="78"/>
      <c r="E623" s="78"/>
      <c r="F623" s="78"/>
    </row>
    <row r="624" spans="1:6">
      <c r="A624" s="90" t="s">
        <v>1849</v>
      </c>
      <c r="B624" s="91" t="s">
        <v>238</v>
      </c>
      <c r="C624" s="53">
        <v>5.11E-2</v>
      </c>
      <c r="D624" s="78"/>
      <c r="E624" s="78"/>
      <c r="F624" s="78"/>
    </row>
    <row r="625" spans="1:6">
      <c r="A625" s="90" t="s">
        <v>1850</v>
      </c>
      <c r="B625" s="91" t="s">
        <v>238</v>
      </c>
      <c r="C625" s="53">
        <v>5.2299999999999999E-2</v>
      </c>
      <c r="D625" s="78"/>
      <c r="E625" s="78"/>
      <c r="F625" s="78"/>
    </row>
    <row r="626" spans="1:6">
      <c r="A626" s="90" t="s">
        <v>1851</v>
      </c>
      <c r="B626" s="91" t="s">
        <v>238</v>
      </c>
      <c r="C626" s="53">
        <v>5.3600000000000002E-2</v>
      </c>
      <c r="D626" s="78"/>
      <c r="E626" s="78"/>
      <c r="F626" s="78"/>
    </row>
    <row r="627" spans="1:6">
      <c r="A627" s="90" t="s">
        <v>1852</v>
      </c>
      <c r="B627" s="91" t="s">
        <v>238</v>
      </c>
      <c r="C627" s="53">
        <v>5.4800000000000001E-2</v>
      </c>
      <c r="D627" s="78"/>
      <c r="E627" s="78"/>
      <c r="F627" s="78"/>
    </row>
    <row r="628" spans="1:6">
      <c r="A628" s="90" t="s">
        <v>1853</v>
      </c>
      <c r="B628" s="91" t="s">
        <v>238</v>
      </c>
      <c r="C628" s="53">
        <v>5.6099999999999997E-2</v>
      </c>
      <c r="D628" s="78"/>
      <c r="E628" s="78"/>
      <c r="F628" s="78"/>
    </row>
    <row r="629" spans="1:6">
      <c r="A629" s="90" t="s">
        <v>1854</v>
      </c>
      <c r="B629" s="91" t="s">
        <v>238</v>
      </c>
      <c r="C629" s="53">
        <v>5.7299999999999997E-2</v>
      </c>
      <c r="D629" s="78"/>
      <c r="E629" s="78"/>
      <c r="F629" s="78"/>
    </row>
    <row r="630" spans="1:6">
      <c r="A630" s="90" t="s">
        <v>1855</v>
      </c>
      <c r="B630" s="91" t="s">
        <v>238</v>
      </c>
      <c r="C630" s="53">
        <v>5.8599999999999999E-2</v>
      </c>
      <c r="D630" s="78"/>
      <c r="E630" s="78"/>
      <c r="F630" s="78"/>
    </row>
    <row r="631" spans="1:6">
      <c r="A631" s="90" t="s">
        <v>1856</v>
      </c>
      <c r="B631" s="91" t="s">
        <v>238</v>
      </c>
      <c r="C631" s="53">
        <v>5.9799999999999999E-2</v>
      </c>
      <c r="D631" s="78"/>
      <c r="E631" s="78"/>
      <c r="F631" s="78"/>
    </row>
    <row r="632" spans="1:6">
      <c r="A632" s="90" t="s">
        <v>1857</v>
      </c>
      <c r="B632" s="91" t="s">
        <v>238</v>
      </c>
      <c r="C632" s="53">
        <v>6.0999999999999999E-2</v>
      </c>
      <c r="D632" s="78"/>
      <c r="E632" s="78"/>
      <c r="F632" s="78"/>
    </row>
    <row r="633" spans="1:6">
      <c r="A633" s="90" t="s">
        <v>1858</v>
      </c>
      <c r="B633" s="91" t="s">
        <v>238</v>
      </c>
      <c r="C633" s="53">
        <v>6.2300000000000001E-2</v>
      </c>
      <c r="D633" s="78"/>
      <c r="E633" s="78"/>
      <c r="F633" s="78"/>
    </row>
    <row r="634" spans="1:6">
      <c r="A634" s="90" t="s">
        <v>1859</v>
      </c>
      <c r="B634" s="91" t="s">
        <v>238</v>
      </c>
      <c r="C634" s="53">
        <v>6.3500000000000001E-2</v>
      </c>
      <c r="D634" s="78"/>
      <c r="E634" s="78"/>
      <c r="F634" s="78"/>
    </row>
    <row r="635" spans="1:6">
      <c r="A635" s="90" t="s">
        <v>1860</v>
      </c>
      <c r="B635" s="91" t="s">
        <v>238</v>
      </c>
      <c r="C635" s="53">
        <v>6.4799999999999996E-2</v>
      </c>
      <c r="D635" s="78"/>
      <c r="E635" s="78"/>
      <c r="F635" s="78"/>
    </row>
    <row r="636" spans="1:6">
      <c r="A636" s="90" t="s">
        <v>1861</v>
      </c>
      <c r="B636" s="91" t="s">
        <v>238</v>
      </c>
      <c r="C636" s="53">
        <v>6.6000000000000003E-2</v>
      </c>
      <c r="D636" s="78"/>
      <c r="E636" s="78"/>
      <c r="F636" s="78"/>
    </row>
    <row r="637" spans="1:6">
      <c r="A637" s="90" t="s">
        <v>1862</v>
      </c>
      <c r="B637" s="91" t="s">
        <v>238</v>
      </c>
      <c r="C637" s="53">
        <v>6.7299999999999999E-2</v>
      </c>
      <c r="D637" s="78"/>
      <c r="E637" s="78"/>
      <c r="F637" s="78"/>
    </row>
    <row r="638" spans="1:6">
      <c r="A638" s="90" t="s">
        <v>1863</v>
      </c>
      <c r="B638" s="91" t="s">
        <v>238</v>
      </c>
      <c r="C638" s="53">
        <v>6.8500000000000005E-2</v>
      </c>
      <c r="D638" s="78"/>
      <c r="E638" s="78"/>
      <c r="F638" s="78"/>
    </row>
    <row r="639" spans="1:6">
      <c r="A639" s="90" t="s">
        <v>1864</v>
      </c>
      <c r="B639" s="91" t="s">
        <v>238</v>
      </c>
      <c r="C639" s="53">
        <v>6.9800000000000001E-2</v>
      </c>
      <c r="D639" s="78"/>
      <c r="E639" s="78"/>
      <c r="F639" s="78"/>
    </row>
    <row r="640" spans="1:6">
      <c r="A640" s="90" t="s">
        <v>1865</v>
      </c>
      <c r="B640" s="91" t="s">
        <v>238</v>
      </c>
      <c r="C640" s="53">
        <v>7.0999999999999994E-2</v>
      </c>
      <c r="D640" s="78"/>
      <c r="E640" s="78"/>
      <c r="F640" s="78"/>
    </row>
    <row r="641" spans="1:6">
      <c r="A641" s="90" t="s">
        <v>1866</v>
      </c>
      <c r="B641" s="91" t="s">
        <v>238</v>
      </c>
      <c r="C641" s="53">
        <v>7.22E-2</v>
      </c>
      <c r="D641" s="78"/>
      <c r="E641" s="78"/>
      <c r="F641" s="78"/>
    </row>
    <row r="642" spans="1:6">
      <c r="A642" s="90" t="s">
        <v>1867</v>
      </c>
      <c r="B642" s="91" t="s">
        <v>238</v>
      </c>
      <c r="C642" s="53">
        <v>7.3499999999999996E-2</v>
      </c>
      <c r="D642" s="78"/>
      <c r="E642" s="78"/>
      <c r="F642" s="78"/>
    </row>
    <row r="643" spans="1:6">
      <c r="A643" s="90" t="s">
        <v>1868</v>
      </c>
      <c r="B643" s="91" t="s">
        <v>238</v>
      </c>
      <c r="C643" s="53">
        <v>7.4700000000000003E-2</v>
      </c>
      <c r="D643" s="78"/>
      <c r="E643" s="78"/>
      <c r="F643" s="78"/>
    </row>
    <row r="644" spans="1:6">
      <c r="A644" s="90" t="s">
        <v>1869</v>
      </c>
      <c r="B644" s="91" t="s">
        <v>238</v>
      </c>
      <c r="C644" s="53">
        <v>7.5999999999999998E-2</v>
      </c>
      <c r="D644" s="78"/>
      <c r="E644" s="78"/>
      <c r="F644" s="78"/>
    </row>
    <row r="645" spans="1:6">
      <c r="A645" s="90" t="s">
        <v>1870</v>
      </c>
      <c r="B645" s="91" t="s">
        <v>238</v>
      </c>
      <c r="C645" s="53">
        <v>7.7200000000000005E-2</v>
      </c>
      <c r="D645" s="78"/>
      <c r="E645" s="78"/>
      <c r="F645" s="78"/>
    </row>
    <row r="646" spans="1:6">
      <c r="A646" s="90" t="s">
        <v>1871</v>
      </c>
      <c r="B646" s="91" t="s">
        <v>238</v>
      </c>
      <c r="C646" s="53">
        <v>7.85E-2</v>
      </c>
      <c r="D646" s="78"/>
      <c r="E646" s="78"/>
      <c r="F646" s="78"/>
    </row>
    <row r="647" spans="1:6">
      <c r="A647" s="90" t="s">
        <v>1872</v>
      </c>
      <c r="B647" s="91" t="s">
        <v>238</v>
      </c>
      <c r="C647" s="53">
        <v>7.9699999999999993E-2</v>
      </c>
      <c r="D647" s="78"/>
      <c r="E647" s="78"/>
      <c r="F647" s="78"/>
    </row>
    <row r="648" spans="1:6">
      <c r="A648" s="90" t="s">
        <v>1873</v>
      </c>
      <c r="B648" s="91" t="s">
        <v>238</v>
      </c>
      <c r="C648" s="53">
        <v>8.1000000000000003E-2</v>
      </c>
      <c r="D648" s="78"/>
      <c r="E648" s="78"/>
      <c r="F648" s="78"/>
    </row>
    <row r="649" spans="1:6">
      <c r="A649" s="90" t="s">
        <v>1874</v>
      </c>
      <c r="B649" s="91" t="s">
        <v>238</v>
      </c>
      <c r="C649" s="53">
        <v>8.2199999999999995E-2</v>
      </c>
      <c r="D649" s="78"/>
      <c r="E649" s="78"/>
      <c r="F649" s="78"/>
    </row>
    <row r="650" spans="1:6">
      <c r="A650" s="90" t="s">
        <v>1875</v>
      </c>
      <c r="B650" s="91" t="s">
        <v>238</v>
      </c>
      <c r="C650" s="53">
        <v>8.3500000000000005E-2</v>
      </c>
      <c r="D650" s="78"/>
      <c r="E650" s="78"/>
      <c r="F650" s="78"/>
    </row>
    <row r="651" spans="1:6">
      <c r="A651" s="90" t="s">
        <v>1876</v>
      </c>
      <c r="B651" s="91" t="s">
        <v>238</v>
      </c>
      <c r="C651" s="53">
        <v>8.4699999999999998E-2</v>
      </c>
      <c r="D651" s="78"/>
      <c r="E651" s="78"/>
      <c r="F651" s="78"/>
    </row>
    <row r="652" spans="1:6">
      <c r="A652" s="90" t="s">
        <v>1877</v>
      </c>
      <c r="B652" s="91" t="s">
        <v>238</v>
      </c>
      <c r="C652" s="53">
        <v>8.5900000000000004E-2</v>
      </c>
      <c r="D652" s="78"/>
      <c r="E652" s="78"/>
      <c r="F652" s="78"/>
    </row>
    <row r="653" spans="1:6">
      <c r="A653" s="90" t="s">
        <v>1878</v>
      </c>
      <c r="B653" s="91" t="s">
        <v>238</v>
      </c>
      <c r="C653" s="53">
        <v>8.72E-2</v>
      </c>
      <c r="D653" s="78"/>
      <c r="E653" s="78"/>
      <c r="F653" s="78"/>
    </row>
    <row r="654" spans="1:6">
      <c r="A654" s="90" t="s">
        <v>1879</v>
      </c>
      <c r="B654" s="91" t="s">
        <v>238</v>
      </c>
      <c r="C654" s="53">
        <v>8.8400000000000006E-2</v>
      </c>
      <c r="D654" s="78"/>
      <c r="E654" s="78"/>
      <c r="F654" s="78"/>
    </row>
    <row r="655" spans="1:6">
      <c r="A655" s="90" t="s">
        <v>1880</v>
      </c>
      <c r="B655" s="91" t="s">
        <v>238</v>
      </c>
      <c r="C655" s="53">
        <v>8.9700000000000002E-2</v>
      </c>
      <c r="D655" s="78"/>
      <c r="E655" s="78"/>
      <c r="F655" s="78"/>
    </row>
    <row r="656" spans="1:6">
      <c r="A656" s="90" t="s">
        <v>1881</v>
      </c>
      <c r="B656" s="91" t="s">
        <v>238</v>
      </c>
      <c r="C656" s="53">
        <v>9.0899999999999995E-2</v>
      </c>
      <c r="D656" s="78"/>
      <c r="E656" s="78"/>
      <c r="F656" s="78"/>
    </row>
    <row r="657" spans="1:6">
      <c r="A657" s="90" t="s">
        <v>1882</v>
      </c>
      <c r="B657" s="91" t="s">
        <v>238</v>
      </c>
      <c r="C657" s="53">
        <v>9.2200000000000004E-2</v>
      </c>
      <c r="D657" s="78"/>
      <c r="E657" s="78"/>
      <c r="F657" s="78"/>
    </row>
    <row r="658" spans="1:6">
      <c r="A658" s="90" t="s">
        <v>1883</v>
      </c>
      <c r="B658" s="91" t="s">
        <v>238</v>
      </c>
      <c r="C658" s="53">
        <v>9.3399999999999997E-2</v>
      </c>
      <c r="D658" s="78"/>
      <c r="E658" s="78"/>
      <c r="F658" s="78"/>
    </row>
    <row r="659" spans="1:6">
      <c r="A659" s="90" t="s">
        <v>1884</v>
      </c>
      <c r="B659" s="91" t="s">
        <v>238</v>
      </c>
      <c r="C659" s="53">
        <v>9.4700000000000006E-2</v>
      </c>
      <c r="D659" s="78"/>
      <c r="E659" s="78"/>
      <c r="F659" s="78"/>
    </row>
    <row r="660" spans="1:6">
      <c r="A660" s="90" t="s">
        <v>1885</v>
      </c>
      <c r="B660" s="91" t="s">
        <v>238</v>
      </c>
      <c r="C660" s="53">
        <v>9.5899999999999999E-2</v>
      </c>
      <c r="D660" s="78"/>
      <c r="E660" s="78"/>
      <c r="F660" s="78"/>
    </row>
    <row r="661" spans="1:6">
      <c r="A661" s="90" t="s">
        <v>1886</v>
      </c>
      <c r="B661" s="91" t="s">
        <v>238</v>
      </c>
      <c r="C661" s="53">
        <v>9.7199999999999995E-2</v>
      </c>
      <c r="D661" s="78"/>
      <c r="E661" s="78"/>
      <c r="F661" s="78"/>
    </row>
    <row r="662" spans="1:6">
      <c r="A662" s="90" t="s">
        <v>1887</v>
      </c>
      <c r="B662" s="91" t="s">
        <v>238</v>
      </c>
      <c r="C662" s="53">
        <v>9.8400000000000001E-2</v>
      </c>
      <c r="D662" s="78"/>
      <c r="E662" s="78"/>
      <c r="F662" s="78"/>
    </row>
    <row r="663" spans="1:6">
      <c r="A663" s="90" t="s">
        <v>1888</v>
      </c>
      <c r="B663" s="91" t="s">
        <v>238</v>
      </c>
      <c r="C663" s="53">
        <v>9.9599999999999994E-2</v>
      </c>
      <c r="D663" s="78"/>
      <c r="E663" s="78"/>
      <c r="F663" s="78"/>
    </row>
    <row r="664" spans="1:6">
      <c r="A664" s="90" t="s">
        <v>1889</v>
      </c>
      <c r="B664" s="91" t="s">
        <v>238</v>
      </c>
      <c r="C664" s="53">
        <v>0.1009</v>
      </c>
      <c r="D664" s="78"/>
      <c r="E664" s="78"/>
      <c r="F664" s="78"/>
    </row>
    <row r="665" spans="1:6">
      <c r="A665" s="90" t="s">
        <v>1890</v>
      </c>
      <c r="B665" s="91" t="s">
        <v>238</v>
      </c>
      <c r="C665" s="53">
        <v>0.1021</v>
      </c>
      <c r="D665" s="78"/>
      <c r="E665" s="78"/>
      <c r="F665" s="78"/>
    </row>
    <row r="666" spans="1:6">
      <c r="A666" s="90" t="s">
        <v>1891</v>
      </c>
      <c r="B666" s="91" t="s">
        <v>238</v>
      </c>
      <c r="C666" s="53">
        <v>0.10340000000000001</v>
      </c>
      <c r="D666" s="78"/>
      <c r="E666" s="78"/>
      <c r="F666" s="78"/>
    </row>
    <row r="667" spans="1:6">
      <c r="A667" s="90" t="s">
        <v>1892</v>
      </c>
      <c r="B667" s="91" t="s">
        <v>238</v>
      </c>
      <c r="C667" s="53">
        <v>0.1046</v>
      </c>
      <c r="D667" s="78"/>
      <c r="E667" s="78"/>
      <c r="F667" s="78"/>
    </row>
    <row r="668" spans="1:6">
      <c r="A668" s="90" t="s">
        <v>1893</v>
      </c>
      <c r="B668" s="91" t="s">
        <v>238</v>
      </c>
      <c r="C668" s="53">
        <v>0.10589999999999999</v>
      </c>
      <c r="D668" s="78"/>
      <c r="E668" s="78"/>
      <c r="F668" s="78"/>
    </row>
    <row r="669" spans="1:6">
      <c r="A669" s="90" t="s">
        <v>1894</v>
      </c>
      <c r="B669" s="91" t="s">
        <v>238</v>
      </c>
      <c r="C669" s="53">
        <v>0.1071</v>
      </c>
      <c r="D669" s="78"/>
      <c r="E669" s="78"/>
      <c r="F669" s="78"/>
    </row>
    <row r="670" spans="1:6">
      <c r="A670" s="90" t="s">
        <v>1895</v>
      </c>
      <c r="B670" s="91" t="s">
        <v>238</v>
      </c>
      <c r="C670" s="53">
        <v>0.1084</v>
      </c>
      <c r="D670" s="78"/>
      <c r="E670" s="78"/>
      <c r="F670" s="78"/>
    </row>
    <row r="671" spans="1:6">
      <c r="A671" s="90" t="s">
        <v>1896</v>
      </c>
      <c r="B671" s="91" t="s">
        <v>238</v>
      </c>
      <c r="C671" s="53">
        <v>0.1096</v>
      </c>
      <c r="D671" s="78"/>
      <c r="E671" s="78"/>
      <c r="F671" s="78"/>
    </row>
    <row r="672" spans="1:6">
      <c r="A672" s="90" t="s">
        <v>1897</v>
      </c>
      <c r="B672" s="91" t="s">
        <v>238</v>
      </c>
      <c r="C672" s="53">
        <v>0.1108</v>
      </c>
      <c r="D672" s="78"/>
      <c r="E672" s="78"/>
      <c r="F672" s="78"/>
    </row>
    <row r="673" spans="1:6">
      <c r="A673" s="90" t="s">
        <v>1898</v>
      </c>
      <c r="B673" s="91" t="s">
        <v>238</v>
      </c>
      <c r="C673" s="53">
        <v>0.11210000000000001</v>
      </c>
      <c r="D673" s="78"/>
      <c r="E673" s="78"/>
      <c r="F673" s="78"/>
    </row>
    <row r="674" spans="1:6">
      <c r="A674" s="90" t="s">
        <v>1899</v>
      </c>
      <c r="B674" s="91" t="s">
        <v>238</v>
      </c>
      <c r="C674" s="53">
        <v>0.1133</v>
      </c>
      <c r="D674" s="78"/>
      <c r="E674" s="78"/>
      <c r="F674" s="78"/>
    </row>
    <row r="675" spans="1:6">
      <c r="A675" s="90" t="s">
        <v>1900</v>
      </c>
      <c r="B675" s="91" t="s">
        <v>238</v>
      </c>
      <c r="C675" s="53">
        <v>0.11459999999999999</v>
      </c>
      <c r="D675" s="78"/>
      <c r="E675" s="78"/>
      <c r="F675" s="78"/>
    </row>
    <row r="676" spans="1:6">
      <c r="A676" s="90" t="s">
        <v>1901</v>
      </c>
      <c r="B676" s="91" t="s">
        <v>238</v>
      </c>
      <c r="C676" s="53">
        <v>0.1158</v>
      </c>
      <c r="D676" s="78"/>
      <c r="E676" s="78"/>
      <c r="F676" s="78"/>
    </row>
    <row r="677" spans="1:6">
      <c r="A677" s="90" t="s">
        <v>1902</v>
      </c>
      <c r="B677" s="91" t="s">
        <v>238</v>
      </c>
      <c r="C677" s="53">
        <v>0.1171</v>
      </c>
      <c r="D677" s="78"/>
      <c r="E677" s="78"/>
      <c r="F677" s="78"/>
    </row>
    <row r="678" spans="1:6">
      <c r="A678" s="90" t="s">
        <v>1903</v>
      </c>
      <c r="B678" s="91" t="s">
        <v>238</v>
      </c>
      <c r="C678" s="53">
        <v>0.1183</v>
      </c>
      <c r="D678" s="78"/>
      <c r="E678" s="78"/>
      <c r="F678" s="78"/>
    </row>
    <row r="679" spans="1:6">
      <c r="A679" s="90" t="s">
        <v>1904</v>
      </c>
      <c r="B679" s="91" t="s">
        <v>238</v>
      </c>
      <c r="C679" s="53">
        <v>0.1196</v>
      </c>
      <c r="D679" s="78"/>
      <c r="E679" s="78"/>
      <c r="F679" s="78"/>
    </row>
    <row r="680" spans="1:6">
      <c r="A680" s="90" t="s">
        <v>1905</v>
      </c>
      <c r="B680" s="91" t="s">
        <v>238</v>
      </c>
      <c r="C680" s="53">
        <v>0.1208</v>
      </c>
      <c r="D680" s="78"/>
      <c r="E680" s="78"/>
      <c r="F680" s="78"/>
    </row>
    <row r="681" spans="1:6">
      <c r="A681" s="90" t="s">
        <v>1906</v>
      </c>
      <c r="B681" s="91" t="s">
        <v>238</v>
      </c>
      <c r="C681" s="53">
        <v>0.122</v>
      </c>
      <c r="D681" s="78"/>
      <c r="E681" s="78"/>
      <c r="F681" s="78"/>
    </row>
    <row r="682" spans="1:6">
      <c r="A682" s="90" t="s">
        <v>1907</v>
      </c>
      <c r="B682" s="91" t="s">
        <v>238</v>
      </c>
      <c r="C682" s="53">
        <v>0.12330000000000001</v>
      </c>
      <c r="D682" s="78"/>
      <c r="E682" s="78"/>
      <c r="F682" s="78"/>
    </row>
    <row r="683" spans="1:6">
      <c r="A683" s="90" t="s">
        <v>1908</v>
      </c>
      <c r="B683" s="91" t="s">
        <v>238</v>
      </c>
      <c r="C683" s="53">
        <v>0.1245</v>
      </c>
      <c r="D683" s="78"/>
      <c r="E683" s="78"/>
      <c r="F683" s="78"/>
    </row>
    <row r="684" spans="1:6">
      <c r="A684" s="90" t="s">
        <v>1909</v>
      </c>
      <c r="B684" s="91" t="s">
        <v>238</v>
      </c>
      <c r="C684" s="53">
        <v>0.1258</v>
      </c>
      <c r="D684" s="78"/>
      <c r="E684" s="78"/>
      <c r="F684" s="78"/>
    </row>
    <row r="685" spans="1:6">
      <c r="A685" s="90" t="s">
        <v>1910</v>
      </c>
      <c r="B685" s="91" t="s">
        <v>238</v>
      </c>
      <c r="C685" s="53">
        <v>0.127</v>
      </c>
      <c r="D685" s="78"/>
      <c r="E685" s="78"/>
      <c r="F685" s="78"/>
    </row>
    <row r="686" spans="1:6">
      <c r="A686" s="90" t="s">
        <v>1911</v>
      </c>
      <c r="B686" s="91" t="s">
        <v>238</v>
      </c>
      <c r="C686" s="53">
        <v>0.1283</v>
      </c>
      <c r="D686" s="78"/>
      <c r="E686" s="78"/>
      <c r="F686" s="78"/>
    </row>
    <row r="687" spans="1:6">
      <c r="A687" s="90" t="s">
        <v>1912</v>
      </c>
      <c r="B687" s="91" t="s">
        <v>238</v>
      </c>
      <c r="C687" s="53">
        <v>0.1295</v>
      </c>
      <c r="D687" s="78"/>
      <c r="E687" s="78"/>
      <c r="F687" s="78"/>
    </row>
    <row r="688" spans="1:6">
      <c r="A688" s="90" t="s">
        <v>1913</v>
      </c>
      <c r="B688" s="91" t="s">
        <v>238</v>
      </c>
      <c r="C688" s="53">
        <v>0.1308</v>
      </c>
      <c r="D688" s="78"/>
      <c r="E688" s="78"/>
      <c r="F688" s="78"/>
    </row>
    <row r="689" spans="1:6">
      <c r="A689" s="90" t="s">
        <v>1914</v>
      </c>
      <c r="B689" s="91" t="s">
        <v>238</v>
      </c>
      <c r="C689" s="53">
        <v>0.13200000000000001</v>
      </c>
      <c r="D689" s="78"/>
      <c r="E689" s="78"/>
      <c r="F689" s="78"/>
    </row>
    <row r="690" spans="1:6">
      <c r="A690" s="90" t="s">
        <v>1915</v>
      </c>
      <c r="B690" s="91" t="s">
        <v>238</v>
      </c>
      <c r="C690" s="53">
        <v>0.1333</v>
      </c>
      <c r="D690" s="78"/>
      <c r="E690" s="78"/>
      <c r="F690" s="78"/>
    </row>
    <row r="691" spans="1:6">
      <c r="A691" s="90" t="s">
        <v>1916</v>
      </c>
      <c r="B691" s="91" t="s">
        <v>238</v>
      </c>
      <c r="C691" s="53">
        <v>0.13450000000000001</v>
      </c>
      <c r="D691" s="78"/>
      <c r="E691" s="78"/>
      <c r="F691" s="78"/>
    </row>
    <row r="692" spans="1:6">
      <c r="A692" s="90" t="s">
        <v>1917</v>
      </c>
      <c r="B692" s="91" t="s">
        <v>238</v>
      </c>
      <c r="C692" s="53">
        <v>0.13569999999999999</v>
      </c>
      <c r="D692" s="78"/>
      <c r="E692" s="78"/>
      <c r="F692" s="78"/>
    </row>
    <row r="693" spans="1:6">
      <c r="A693" s="90" t="s">
        <v>1918</v>
      </c>
      <c r="B693" s="91" t="s">
        <v>238</v>
      </c>
      <c r="C693" s="53">
        <v>0.13700000000000001</v>
      </c>
      <c r="D693" s="78"/>
      <c r="E693" s="78"/>
      <c r="F693" s="78"/>
    </row>
    <row r="694" spans="1:6">
      <c r="A694" s="90" t="s">
        <v>1919</v>
      </c>
      <c r="B694" s="91" t="s">
        <v>238</v>
      </c>
      <c r="C694" s="53">
        <v>0.13819999999999999</v>
      </c>
      <c r="D694" s="78"/>
      <c r="E694" s="78"/>
      <c r="F694" s="78"/>
    </row>
    <row r="695" spans="1:6">
      <c r="A695" s="90" t="s">
        <v>1920</v>
      </c>
      <c r="B695" s="91" t="s">
        <v>238</v>
      </c>
      <c r="C695" s="53">
        <v>0.13950000000000001</v>
      </c>
      <c r="D695" s="78"/>
      <c r="E695" s="78"/>
      <c r="F695" s="78"/>
    </row>
    <row r="696" spans="1:6">
      <c r="A696" s="90" t="s">
        <v>1921</v>
      </c>
      <c r="B696" s="91" t="s">
        <v>238</v>
      </c>
      <c r="C696" s="53">
        <v>0.14069999999999999</v>
      </c>
      <c r="D696" s="78"/>
      <c r="E696" s="78"/>
      <c r="F696" s="78"/>
    </row>
    <row r="697" spans="1:6">
      <c r="A697" s="90" t="s">
        <v>1922</v>
      </c>
      <c r="B697" s="91" t="s">
        <v>238</v>
      </c>
      <c r="C697" s="53">
        <v>0.14199999999999999</v>
      </c>
      <c r="D697" s="78"/>
      <c r="E697" s="78"/>
      <c r="F697" s="78"/>
    </row>
    <row r="698" spans="1:6">
      <c r="A698" s="90" t="s">
        <v>1923</v>
      </c>
      <c r="B698" s="91" t="s">
        <v>238</v>
      </c>
      <c r="C698" s="53">
        <v>0.14319999999999999</v>
      </c>
      <c r="D698" s="78"/>
      <c r="E698" s="78"/>
      <c r="F698" s="78"/>
    </row>
    <row r="699" spans="1:6">
      <c r="A699" s="90" t="s">
        <v>1924</v>
      </c>
      <c r="B699" s="91" t="s">
        <v>238</v>
      </c>
      <c r="C699" s="53">
        <v>0.14449999999999999</v>
      </c>
      <c r="D699" s="78"/>
      <c r="E699" s="78"/>
      <c r="F699" s="78"/>
    </row>
    <row r="700" spans="1:6">
      <c r="A700" s="90" t="s">
        <v>1925</v>
      </c>
      <c r="B700" s="91" t="s">
        <v>238</v>
      </c>
      <c r="C700" s="53">
        <v>0.1457</v>
      </c>
      <c r="D700" s="78"/>
      <c r="E700" s="78"/>
      <c r="F700" s="78"/>
    </row>
    <row r="701" spans="1:6">
      <c r="A701" s="90" t="s">
        <v>1926</v>
      </c>
      <c r="B701" s="91" t="s">
        <v>238</v>
      </c>
      <c r="C701" s="53">
        <v>0.14699999999999999</v>
      </c>
      <c r="D701" s="78"/>
      <c r="E701" s="78"/>
      <c r="F701" s="78"/>
    </row>
    <row r="702" spans="1:6">
      <c r="A702" s="90" t="s">
        <v>1927</v>
      </c>
      <c r="B702" s="91" t="s">
        <v>238</v>
      </c>
      <c r="C702" s="53">
        <v>0.1482</v>
      </c>
      <c r="D702" s="78"/>
      <c r="E702" s="78"/>
      <c r="F702" s="78"/>
    </row>
    <row r="703" spans="1:6">
      <c r="A703" s="90" t="s">
        <v>1928</v>
      </c>
      <c r="B703" s="91" t="s">
        <v>238</v>
      </c>
      <c r="C703" s="53">
        <v>0.14940000000000001</v>
      </c>
      <c r="D703" s="78"/>
      <c r="E703" s="78"/>
      <c r="F703" s="78"/>
    </row>
    <row r="704" spans="1:6">
      <c r="A704" s="90" t="s">
        <v>1929</v>
      </c>
      <c r="B704" s="91" t="s">
        <v>238</v>
      </c>
      <c r="C704" s="53">
        <v>0.1507</v>
      </c>
      <c r="D704" s="78"/>
      <c r="E704" s="78"/>
      <c r="F704" s="78"/>
    </row>
    <row r="705" spans="1:6">
      <c r="A705" s="90" t="s">
        <v>1930</v>
      </c>
      <c r="B705" s="91" t="s">
        <v>238</v>
      </c>
      <c r="C705" s="53">
        <v>0.15190000000000001</v>
      </c>
      <c r="D705" s="78"/>
      <c r="E705" s="78"/>
      <c r="F705" s="78"/>
    </row>
    <row r="706" spans="1:6">
      <c r="A706" s="90" t="s">
        <v>1931</v>
      </c>
      <c r="B706" s="91" t="s">
        <v>238</v>
      </c>
      <c r="C706" s="53">
        <v>0.1532</v>
      </c>
      <c r="D706" s="78"/>
      <c r="E706" s="78"/>
      <c r="F706" s="78"/>
    </row>
    <row r="707" spans="1:6">
      <c r="A707" s="90" t="s">
        <v>1932</v>
      </c>
      <c r="B707" s="91" t="s">
        <v>238</v>
      </c>
      <c r="C707" s="53">
        <v>0.15440000000000001</v>
      </c>
      <c r="D707" s="78"/>
      <c r="E707" s="78"/>
      <c r="F707" s="78"/>
    </row>
    <row r="708" spans="1:6">
      <c r="A708" s="90" t="s">
        <v>1933</v>
      </c>
      <c r="B708" s="91" t="s">
        <v>238</v>
      </c>
      <c r="C708" s="53">
        <v>0.15570000000000001</v>
      </c>
      <c r="D708" s="78"/>
      <c r="E708" s="78"/>
      <c r="F708" s="78"/>
    </row>
    <row r="709" spans="1:6">
      <c r="A709" s="90" t="s">
        <v>1934</v>
      </c>
      <c r="B709" s="91" t="s">
        <v>238</v>
      </c>
      <c r="C709" s="53">
        <v>0.15690000000000001</v>
      </c>
      <c r="D709" s="78"/>
      <c r="E709" s="78"/>
      <c r="F709" s="78"/>
    </row>
    <row r="710" spans="1:6">
      <c r="A710" s="90" t="s">
        <v>1935</v>
      </c>
      <c r="B710" s="91" t="s">
        <v>238</v>
      </c>
      <c r="C710" s="53">
        <v>0.15820000000000001</v>
      </c>
      <c r="D710" s="78"/>
      <c r="E710" s="78"/>
      <c r="F710" s="78"/>
    </row>
    <row r="711" spans="1:6">
      <c r="A711" s="90" t="s">
        <v>1936</v>
      </c>
      <c r="B711" s="91" t="s">
        <v>238</v>
      </c>
      <c r="C711" s="53">
        <v>0.15939999999999999</v>
      </c>
      <c r="D711" s="78"/>
      <c r="E711" s="78"/>
      <c r="F711" s="78"/>
    </row>
    <row r="712" spans="1:6">
      <c r="A712" s="90" t="s">
        <v>1937</v>
      </c>
      <c r="B712" s="91" t="s">
        <v>238</v>
      </c>
      <c r="C712" s="53">
        <v>0.16059999999999999</v>
      </c>
      <c r="D712" s="78"/>
      <c r="E712" s="78"/>
      <c r="F712" s="78"/>
    </row>
    <row r="713" spans="1:6">
      <c r="A713" s="90" t="s">
        <v>1938</v>
      </c>
      <c r="B713" s="91" t="s">
        <v>238</v>
      </c>
      <c r="C713" s="53">
        <v>0.16189999999999999</v>
      </c>
      <c r="D713" s="78"/>
      <c r="E713" s="78"/>
      <c r="F713" s="78"/>
    </row>
    <row r="714" spans="1:6">
      <c r="A714" s="90" t="s">
        <v>1939</v>
      </c>
      <c r="B714" s="91" t="s">
        <v>238</v>
      </c>
      <c r="C714" s="53">
        <v>0.16309999999999999</v>
      </c>
      <c r="D714" s="78"/>
      <c r="E714" s="78"/>
      <c r="F714" s="78"/>
    </row>
    <row r="715" spans="1:6">
      <c r="A715" s="90" t="s">
        <v>1940</v>
      </c>
      <c r="B715" s="91" t="s">
        <v>238</v>
      </c>
      <c r="C715" s="53">
        <v>0.16439999999999999</v>
      </c>
      <c r="D715" s="78"/>
      <c r="E715" s="78"/>
      <c r="F715" s="78"/>
    </row>
    <row r="716" spans="1:6">
      <c r="A716" s="90" t="s">
        <v>1941</v>
      </c>
      <c r="B716" s="91" t="s">
        <v>238</v>
      </c>
      <c r="C716" s="53">
        <v>0.1656</v>
      </c>
      <c r="D716" s="78"/>
      <c r="E716" s="78"/>
      <c r="F716" s="78"/>
    </row>
    <row r="717" spans="1:6">
      <c r="A717" s="90" t="s">
        <v>1942</v>
      </c>
      <c r="B717" s="91" t="s">
        <v>238</v>
      </c>
      <c r="C717" s="53">
        <v>0.16689999999999999</v>
      </c>
      <c r="D717" s="78"/>
      <c r="E717" s="78"/>
      <c r="F717" s="78"/>
    </row>
    <row r="718" spans="1:6">
      <c r="A718" s="90" t="s">
        <v>1943</v>
      </c>
      <c r="B718" s="91" t="s">
        <v>238</v>
      </c>
      <c r="C718" s="53">
        <v>0.1681</v>
      </c>
      <c r="D718" s="78"/>
      <c r="E718" s="78"/>
      <c r="F718" s="78"/>
    </row>
    <row r="719" spans="1:6">
      <c r="A719" s="90" t="s">
        <v>1944</v>
      </c>
      <c r="B719" s="91" t="s">
        <v>238</v>
      </c>
      <c r="C719" s="53">
        <v>0.1694</v>
      </c>
      <c r="D719" s="78"/>
      <c r="E719" s="78"/>
      <c r="F719" s="78"/>
    </row>
    <row r="720" spans="1:6">
      <c r="A720" s="90" t="s">
        <v>1945</v>
      </c>
      <c r="B720" s="91" t="s">
        <v>238</v>
      </c>
      <c r="C720" s="53">
        <v>0.1706</v>
      </c>
      <c r="D720" s="78"/>
      <c r="E720" s="78"/>
      <c r="F720" s="78"/>
    </row>
    <row r="721" spans="1:6">
      <c r="A721" s="90" t="s">
        <v>1946</v>
      </c>
      <c r="B721" s="91" t="s">
        <v>238</v>
      </c>
      <c r="C721" s="53">
        <v>0.1719</v>
      </c>
      <c r="D721" s="78"/>
      <c r="E721" s="78"/>
      <c r="F721" s="78"/>
    </row>
    <row r="722" spans="1:6">
      <c r="A722" s="90" t="s">
        <v>1947</v>
      </c>
      <c r="B722" s="91" t="s">
        <v>238</v>
      </c>
      <c r="C722" s="53">
        <v>0.1731</v>
      </c>
      <c r="D722" s="78"/>
      <c r="E722" s="78"/>
      <c r="F722" s="78"/>
    </row>
    <row r="723" spans="1:6">
      <c r="A723" s="90" t="s">
        <v>1948</v>
      </c>
      <c r="B723" s="91" t="s">
        <v>238</v>
      </c>
      <c r="C723" s="53">
        <v>0.17430000000000001</v>
      </c>
      <c r="D723" s="78"/>
      <c r="E723" s="78"/>
      <c r="F723" s="78"/>
    </row>
    <row r="724" spans="1:6">
      <c r="A724" s="90" t="s">
        <v>1949</v>
      </c>
      <c r="B724" s="91" t="s">
        <v>238</v>
      </c>
      <c r="C724" s="53">
        <v>0.17560000000000001</v>
      </c>
      <c r="D724" s="78"/>
      <c r="E724" s="78"/>
      <c r="F724" s="78"/>
    </row>
    <row r="725" spans="1:6">
      <c r="A725" s="90" t="s">
        <v>1950</v>
      </c>
      <c r="B725" s="91" t="s">
        <v>238</v>
      </c>
      <c r="C725" s="53">
        <v>0.17680000000000001</v>
      </c>
      <c r="D725" s="78"/>
      <c r="E725" s="78"/>
      <c r="F725" s="78"/>
    </row>
    <row r="726" spans="1:6">
      <c r="A726" s="90" t="s">
        <v>1951</v>
      </c>
      <c r="B726" s="91" t="s">
        <v>238</v>
      </c>
      <c r="C726" s="53">
        <v>0.17810000000000001</v>
      </c>
      <c r="D726" s="78"/>
      <c r="E726" s="78"/>
      <c r="F726" s="78"/>
    </row>
    <row r="727" spans="1:6">
      <c r="A727" s="90" t="s">
        <v>1952</v>
      </c>
      <c r="B727" s="91" t="s">
        <v>238</v>
      </c>
      <c r="C727" s="53">
        <v>0.17929999999999999</v>
      </c>
      <c r="D727" s="78"/>
      <c r="E727" s="78"/>
      <c r="F727" s="78"/>
    </row>
    <row r="728" spans="1:6">
      <c r="A728" s="90" t="s">
        <v>1953</v>
      </c>
      <c r="B728" s="91" t="s">
        <v>238</v>
      </c>
      <c r="C728" s="53">
        <v>0.18060000000000001</v>
      </c>
      <c r="D728" s="78"/>
      <c r="E728" s="78"/>
      <c r="F728" s="78"/>
    </row>
    <row r="729" spans="1:6">
      <c r="A729" s="90" t="s">
        <v>1954</v>
      </c>
      <c r="B729" s="91" t="s">
        <v>238</v>
      </c>
      <c r="C729" s="53">
        <v>0.18179999999999999</v>
      </c>
      <c r="D729" s="78"/>
      <c r="E729" s="78"/>
      <c r="F729" s="78"/>
    </row>
    <row r="730" spans="1:6">
      <c r="A730" s="90" t="s">
        <v>1955</v>
      </c>
      <c r="B730" s="91" t="s">
        <v>238</v>
      </c>
      <c r="C730" s="53">
        <v>0.18310000000000001</v>
      </c>
      <c r="D730" s="78"/>
      <c r="E730" s="78"/>
      <c r="F730" s="78"/>
    </row>
    <row r="731" spans="1:6">
      <c r="A731" s="90" t="s">
        <v>1956</v>
      </c>
      <c r="B731" s="91" t="s">
        <v>238</v>
      </c>
      <c r="C731" s="53">
        <v>0.18429999999999999</v>
      </c>
      <c r="D731" s="78"/>
      <c r="E731" s="78"/>
      <c r="F731" s="78"/>
    </row>
    <row r="732" spans="1:6">
      <c r="A732" s="90" t="s">
        <v>1957</v>
      </c>
      <c r="B732" s="91" t="s">
        <v>238</v>
      </c>
      <c r="C732" s="53">
        <v>0.1855</v>
      </c>
      <c r="D732" s="78"/>
      <c r="E732" s="78"/>
      <c r="F732" s="78"/>
    </row>
    <row r="733" spans="1:6">
      <c r="A733" s="90" t="s">
        <v>1958</v>
      </c>
      <c r="B733" s="91" t="s">
        <v>238</v>
      </c>
      <c r="C733" s="53">
        <v>0.18679999999999999</v>
      </c>
      <c r="D733" s="78"/>
      <c r="E733" s="78"/>
      <c r="F733" s="78"/>
    </row>
    <row r="734" spans="1:6">
      <c r="A734" s="90" t="s">
        <v>1959</v>
      </c>
      <c r="B734" s="91" t="s">
        <v>238</v>
      </c>
      <c r="C734" s="53">
        <v>0.188</v>
      </c>
      <c r="D734" s="78"/>
      <c r="E734" s="78"/>
      <c r="F734" s="78"/>
    </row>
    <row r="735" spans="1:6">
      <c r="A735" s="90" t="s">
        <v>1960</v>
      </c>
      <c r="B735" s="91" t="s">
        <v>238</v>
      </c>
      <c r="C735" s="53">
        <v>0.1893</v>
      </c>
      <c r="D735" s="78"/>
      <c r="E735" s="78"/>
      <c r="F735" s="78"/>
    </row>
    <row r="736" spans="1:6">
      <c r="A736" s="90" t="s">
        <v>1961</v>
      </c>
      <c r="B736" s="91" t="s">
        <v>238</v>
      </c>
      <c r="C736" s="53">
        <v>0.1905</v>
      </c>
      <c r="D736" s="78"/>
      <c r="E736" s="78"/>
      <c r="F736" s="78"/>
    </row>
    <row r="737" spans="1:6">
      <c r="A737" s="90" t="s">
        <v>1962</v>
      </c>
      <c r="B737" s="91" t="s">
        <v>238</v>
      </c>
      <c r="C737" s="53">
        <v>0.1918</v>
      </c>
      <c r="D737" s="78"/>
      <c r="E737" s="78"/>
      <c r="F737" s="78"/>
    </row>
    <row r="738" spans="1:6">
      <c r="A738" s="90" t="s">
        <v>1963</v>
      </c>
      <c r="B738" s="91" t="s">
        <v>238</v>
      </c>
      <c r="C738" s="53">
        <v>0.193</v>
      </c>
      <c r="D738" s="78"/>
      <c r="E738" s="78"/>
      <c r="F738" s="78"/>
    </row>
    <row r="739" spans="1:6">
      <c r="A739" s="90" t="s">
        <v>1964</v>
      </c>
      <c r="B739" s="91" t="s">
        <v>238</v>
      </c>
      <c r="C739" s="53">
        <v>0.1943</v>
      </c>
      <c r="D739" s="78"/>
      <c r="E739" s="78"/>
      <c r="F739" s="78"/>
    </row>
    <row r="740" spans="1:6">
      <c r="A740" s="90" t="s">
        <v>1965</v>
      </c>
      <c r="B740" s="91" t="s">
        <v>238</v>
      </c>
      <c r="C740" s="53">
        <v>0.19550000000000001</v>
      </c>
      <c r="D740" s="78"/>
      <c r="E740" s="78"/>
      <c r="F740" s="78"/>
    </row>
    <row r="741" spans="1:6">
      <c r="A741" s="90" t="s">
        <v>1966</v>
      </c>
      <c r="B741" s="91" t="s">
        <v>238</v>
      </c>
      <c r="C741" s="53">
        <v>0.1968</v>
      </c>
      <c r="D741" s="78"/>
      <c r="E741" s="78"/>
      <c r="F741" s="78"/>
    </row>
    <row r="742" spans="1:6">
      <c r="A742" s="90" t="s">
        <v>1967</v>
      </c>
      <c r="B742" s="91" t="s">
        <v>238</v>
      </c>
      <c r="C742" s="53">
        <v>0.19800000000000001</v>
      </c>
      <c r="D742" s="78"/>
      <c r="E742" s="78"/>
      <c r="F742" s="78"/>
    </row>
    <row r="743" spans="1:6">
      <c r="A743" s="90" t="s">
        <v>1968</v>
      </c>
      <c r="B743" s="91" t="s">
        <v>238</v>
      </c>
      <c r="C743" s="53">
        <v>0.19919999999999999</v>
      </c>
      <c r="D743" s="78"/>
      <c r="E743" s="78"/>
      <c r="F743" s="78"/>
    </row>
    <row r="744" spans="1:6">
      <c r="A744" s="90" t="s">
        <v>1969</v>
      </c>
      <c r="B744" s="91" t="s">
        <v>238</v>
      </c>
      <c r="C744" s="53">
        <v>0.20050000000000001</v>
      </c>
      <c r="D744" s="78"/>
      <c r="E744" s="78"/>
      <c r="F744" s="78"/>
    </row>
    <row r="745" spans="1:6">
      <c r="A745" s="90" t="s">
        <v>1970</v>
      </c>
      <c r="B745" s="91" t="s">
        <v>238</v>
      </c>
      <c r="C745" s="53">
        <v>0.20169999999999999</v>
      </c>
      <c r="D745" s="78"/>
      <c r="E745" s="78"/>
      <c r="F745" s="78"/>
    </row>
    <row r="746" spans="1:6">
      <c r="A746" s="90" t="s">
        <v>1971</v>
      </c>
      <c r="B746" s="91" t="s">
        <v>238</v>
      </c>
      <c r="C746" s="53">
        <v>0.20300000000000001</v>
      </c>
      <c r="D746" s="78"/>
      <c r="E746" s="78"/>
      <c r="F746" s="78"/>
    </row>
    <row r="747" spans="1:6">
      <c r="A747" s="90" t="s">
        <v>1972</v>
      </c>
      <c r="B747" s="91" t="s">
        <v>238</v>
      </c>
      <c r="C747" s="53">
        <v>0.20419999999999999</v>
      </c>
      <c r="D747" s="78"/>
      <c r="E747" s="78"/>
      <c r="F747" s="78"/>
    </row>
    <row r="748" spans="1:6">
      <c r="A748" s="90" t="s">
        <v>1973</v>
      </c>
      <c r="B748" s="91" t="s">
        <v>238</v>
      </c>
      <c r="C748" s="53">
        <v>0.20549999999999999</v>
      </c>
      <c r="D748" s="78"/>
      <c r="E748" s="78"/>
      <c r="F748" s="78"/>
    </row>
    <row r="749" spans="1:6">
      <c r="A749" s="90" t="s">
        <v>1974</v>
      </c>
      <c r="B749" s="91" t="s">
        <v>238</v>
      </c>
      <c r="C749" s="53">
        <v>0.20669999999999999</v>
      </c>
      <c r="D749" s="78"/>
      <c r="E749" s="78"/>
      <c r="F749" s="78"/>
    </row>
    <row r="750" spans="1:6">
      <c r="A750" s="90" t="s">
        <v>1975</v>
      </c>
      <c r="B750" s="91" t="s">
        <v>238</v>
      </c>
      <c r="C750" s="53">
        <v>0.20799999999999999</v>
      </c>
      <c r="D750" s="78"/>
      <c r="E750" s="78"/>
      <c r="F750" s="78"/>
    </row>
    <row r="751" spans="1:6">
      <c r="A751" s="90" t="s">
        <v>1976</v>
      </c>
      <c r="B751" s="91" t="s">
        <v>238</v>
      </c>
      <c r="C751" s="53">
        <v>0.2092</v>
      </c>
      <c r="D751" s="78"/>
      <c r="E751" s="78"/>
      <c r="F751" s="78"/>
    </row>
    <row r="752" spans="1:6">
      <c r="A752" s="90" t="s">
        <v>1655</v>
      </c>
      <c r="B752" s="91" t="s">
        <v>215</v>
      </c>
      <c r="C752" s="106">
        <v>0.1033</v>
      </c>
      <c r="D752" s="78"/>
      <c r="E752" s="78"/>
      <c r="F752" s="78"/>
    </row>
    <row r="753" spans="1:6">
      <c r="A753" s="90" t="s">
        <v>1656</v>
      </c>
      <c r="B753" s="91" t="s">
        <v>215</v>
      </c>
      <c r="C753" s="106">
        <v>0.15479999999999999</v>
      </c>
      <c r="D753" s="78"/>
      <c r="E753" s="78"/>
      <c r="F753" s="78"/>
    </row>
    <row r="754" spans="1:6">
      <c r="A754" s="90" t="s">
        <v>1657</v>
      </c>
      <c r="B754" s="91" t="s">
        <v>215</v>
      </c>
      <c r="C754" s="106">
        <v>0.19689999999999999</v>
      </c>
      <c r="D754" s="78"/>
      <c r="E754" s="78"/>
      <c r="F754" s="78"/>
    </row>
    <row r="755" spans="1:6">
      <c r="A755" s="90" t="s">
        <v>1658</v>
      </c>
      <c r="B755" s="91" t="s">
        <v>215</v>
      </c>
      <c r="C755" s="106">
        <v>0.23469999999999999</v>
      </c>
      <c r="D755" s="78"/>
      <c r="E755" s="78"/>
      <c r="F755" s="78"/>
    </row>
    <row r="756" spans="1:6">
      <c r="A756" s="90" t="s">
        <v>1659</v>
      </c>
      <c r="B756" s="91" t="s">
        <v>215</v>
      </c>
      <c r="C756" s="106">
        <v>0.27</v>
      </c>
      <c r="D756" s="78"/>
      <c r="E756" s="78"/>
      <c r="F756" s="78"/>
    </row>
    <row r="757" spans="1:6">
      <c r="A757" s="90" t="s">
        <v>1660</v>
      </c>
      <c r="B757" s="91" t="s">
        <v>215</v>
      </c>
      <c r="C757" s="106">
        <v>0.30359999999999998</v>
      </c>
      <c r="D757" s="78"/>
      <c r="E757" s="78"/>
      <c r="F757" s="78"/>
    </row>
    <row r="758" spans="1:6">
      <c r="A758" s="90" t="s">
        <v>1661</v>
      </c>
      <c r="B758" s="91" t="s">
        <v>215</v>
      </c>
      <c r="C758" s="106">
        <v>0.33610000000000001</v>
      </c>
      <c r="D758" s="78"/>
      <c r="E758" s="78"/>
      <c r="F758" s="78"/>
    </row>
    <row r="759" spans="1:6">
      <c r="A759" s="90" t="s">
        <v>1662</v>
      </c>
      <c r="B759" s="91" t="s">
        <v>215</v>
      </c>
      <c r="C759" s="106">
        <v>0.36759999999999998</v>
      </c>
      <c r="D759" s="78"/>
      <c r="E759" s="78"/>
      <c r="F759" s="78"/>
    </row>
    <row r="760" spans="1:6">
      <c r="A760" s="90" t="s">
        <v>1663</v>
      </c>
      <c r="B760" s="91" t="s">
        <v>215</v>
      </c>
      <c r="C760" s="106">
        <v>0.39850000000000002</v>
      </c>
      <c r="D760" s="78"/>
      <c r="E760" s="78"/>
      <c r="F760" s="78"/>
    </row>
    <row r="761" spans="1:6">
      <c r="A761" s="90" t="s">
        <v>1664</v>
      </c>
      <c r="B761" s="91" t="s">
        <v>215</v>
      </c>
      <c r="C761" s="106">
        <v>0.42880000000000001</v>
      </c>
      <c r="D761" s="78"/>
      <c r="E761" s="78"/>
      <c r="F761" s="78"/>
    </row>
    <row r="762" spans="1:6">
      <c r="A762" s="90" t="s">
        <v>1665</v>
      </c>
      <c r="B762" s="91" t="s">
        <v>215</v>
      </c>
      <c r="C762" s="106">
        <v>0.45860000000000001</v>
      </c>
      <c r="D762" s="78"/>
      <c r="E762" s="78"/>
      <c r="F762" s="78"/>
    </row>
    <row r="763" spans="1:6">
      <c r="A763" s="90" t="s">
        <v>1666</v>
      </c>
      <c r="B763" s="91" t="s">
        <v>215</v>
      </c>
      <c r="C763" s="106">
        <v>0.48799999999999999</v>
      </c>
      <c r="D763" s="78"/>
      <c r="E763" s="78"/>
      <c r="F763" s="78"/>
    </row>
    <row r="764" spans="1:6">
      <c r="A764" s="90" t="s">
        <v>1667</v>
      </c>
      <c r="B764" s="91" t="s">
        <v>215</v>
      </c>
      <c r="C764" s="106">
        <v>0.5171</v>
      </c>
      <c r="D764" s="78"/>
      <c r="E764" s="78"/>
      <c r="F764" s="78"/>
    </row>
    <row r="765" spans="1:6">
      <c r="A765" s="90" t="s">
        <v>1668</v>
      </c>
      <c r="B765" s="91" t="s">
        <v>215</v>
      </c>
      <c r="C765" s="106">
        <v>0.54579999999999995</v>
      </c>
      <c r="D765" s="78"/>
      <c r="E765" s="78"/>
      <c r="F765" s="78"/>
    </row>
    <row r="766" spans="1:6">
      <c r="A766" s="90" t="s">
        <v>1669</v>
      </c>
      <c r="B766" s="91" t="s">
        <v>215</v>
      </c>
      <c r="C766" s="106">
        <v>0.57420000000000004</v>
      </c>
      <c r="D766" s="78"/>
      <c r="E766" s="78"/>
      <c r="F766" s="78"/>
    </row>
    <row r="767" spans="1:6">
      <c r="A767" s="90" t="s">
        <v>1670</v>
      </c>
      <c r="B767" s="91" t="s">
        <v>215</v>
      </c>
      <c r="C767" s="106">
        <v>0.60240000000000005</v>
      </c>
      <c r="D767" s="78"/>
      <c r="E767" s="78"/>
      <c r="F767" s="78"/>
    </row>
    <row r="768" spans="1:6">
      <c r="A768" s="90" t="s">
        <v>1671</v>
      </c>
      <c r="B768" s="91" t="s">
        <v>215</v>
      </c>
      <c r="C768" s="106">
        <v>0.63019999999999998</v>
      </c>
      <c r="D768" s="78"/>
      <c r="E768" s="78"/>
      <c r="F768" s="78"/>
    </row>
    <row r="769" spans="1:6">
      <c r="A769" s="90" t="s">
        <v>1672</v>
      </c>
      <c r="B769" s="91" t="s">
        <v>215</v>
      </c>
      <c r="C769" s="106">
        <v>0.65790000000000004</v>
      </c>
      <c r="D769" s="78"/>
      <c r="E769" s="78"/>
      <c r="F769" s="78"/>
    </row>
    <row r="770" spans="1:6">
      <c r="A770" s="90" t="s">
        <v>1673</v>
      </c>
      <c r="B770" s="91" t="s">
        <v>215</v>
      </c>
      <c r="C770" s="106">
        <v>0.68520000000000003</v>
      </c>
      <c r="D770" s="78"/>
      <c r="E770" s="78"/>
      <c r="F770" s="78"/>
    </row>
    <row r="771" spans="1:6">
      <c r="A771" s="90" t="s">
        <v>1674</v>
      </c>
      <c r="B771" s="91" t="s">
        <v>215</v>
      </c>
      <c r="C771" s="106">
        <v>0.71240000000000003</v>
      </c>
      <c r="D771" s="78"/>
      <c r="E771" s="78"/>
      <c r="F771" s="78"/>
    </row>
    <row r="772" spans="1:6">
      <c r="A772" s="90" t="s">
        <v>1675</v>
      </c>
      <c r="B772" s="91" t="s">
        <v>215</v>
      </c>
      <c r="C772" s="106">
        <v>0.73929999999999996</v>
      </c>
      <c r="D772" s="78"/>
      <c r="E772" s="78"/>
      <c r="F772" s="78"/>
    </row>
    <row r="773" spans="1:6">
      <c r="A773" s="90" t="s">
        <v>1676</v>
      </c>
      <c r="B773" s="91" t="s">
        <v>215</v>
      </c>
      <c r="C773" s="106">
        <v>0.76600000000000001</v>
      </c>
      <c r="D773" s="78"/>
      <c r="E773" s="78"/>
      <c r="F773" s="78"/>
    </row>
    <row r="774" spans="1:6">
      <c r="A774" s="90" t="s">
        <v>1677</v>
      </c>
      <c r="B774" s="91" t="s">
        <v>215</v>
      </c>
      <c r="C774" s="106">
        <v>0.79239999999999999</v>
      </c>
      <c r="D774" s="78"/>
      <c r="E774" s="78"/>
      <c r="F774" s="78"/>
    </row>
    <row r="775" spans="1:6">
      <c r="A775" s="90" t="s">
        <v>1678</v>
      </c>
      <c r="B775" s="91" t="s">
        <v>215</v>
      </c>
      <c r="C775" s="106">
        <v>0.81859999999999999</v>
      </c>
      <c r="D775" s="78"/>
      <c r="E775" s="78"/>
      <c r="F775" s="78"/>
    </row>
    <row r="776" spans="1:6">
      <c r="A776" s="90" t="s">
        <v>1679</v>
      </c>
      <c r="B776" s="91" t="s">
        <v>215</v>
      </c>
      <c r="C776" s="106">
        <v>0.84460000000000002</v>
      </c>
      <c r="D776" s="78"/>
      <c r="E776" s="78"/>
      <c r="F776" s="78"/>
    </row>
    <row r="777" spans="1:6">
      <c r="A777" s="90" t="s">
        <v>1680</v>
      </c>
      <c r="B777" s="91" t="s">
        <v>215</v>
      </c>
      <c r="C777" s="106">
        <v>0.87039999999999995</v>
      </c>
      <c r="D777" s="78"/>
      <c r="E777" s="78"/>
      <c r="F777" s="78"/>
    </row>
    <row r="778" spans="1:6">
      <c r="A778" s="90" t="s">
        <v>1681</v>
      </c>
      <c r="B778" s="91" t="s">
        <v>215</v>
      </c>
      <c r="C778" s="106">
        <v>0.89590000000000003</v>
      </c>
      <c r="D778" s="78"/>
      <c r="E778" s="78"/>
      <c r="F778" s="78"/>
    </row>
    <row r="779" spans="1:6">
      <c r="A779" s="90" t="s">
        <v>1682</v>
      </c>
      <c r="B779" s="91" t="s">
        <v>215</v>
      </c>
      <c r="C779" s="106">
        <v>0.92120000000000002</v>
      </c>
      <c r="D779" s="78"/>
      <c r="E779" s="78"/>
      <c r="F779" s="78"/>
    </row>
    <row r="780" spans="1:6">
      <c r="A780" s="90" t="s">
        <v>1683</v>
      </c>
      <c r="B780" s="91" t="s">
        <v>215</v>
      </c>
      <c r="C780" s="106">
        <v>0.94630000000000003</v>
      </c>
      <c r="D780" s="78"/>
      <c r="E780" s="78"/>
      <c r="F780" s="78"/>
    </row>
    <row r="781" spans="1:6">
      <c r="A781" s="90" t="s">
        <v>1684</v>
      </c>
      <c r="B781" s="91" t="s">
        <v>215</v>
      </c>
      <c r="C781" s="106">
        <v>0.97109999999999996</v>
      </c>
      <c r="D781" s="78"/>
      <c r="E781" s="78"/>
      <c r="F781" s="78"/>
    </row>
    <row r="782" spans="1:6">
      <c r="A782" s="90" t="s">
        <v>1685</v>
      </c>
      <c r="B782" s="91" t="s">
        <v>215</v>
      </c>
      <c r="C782" s="106">
        <v>0.99570000000000003</v>
      </c>
      <c r="D782" s="78"/>
      <c r="E782" s="78"/>
      <c r="F782" s="78"/>
    </row>
    <row r="783" spans="1:6">
      <c r="A783" s="90" t="s">
        <v>1686</v>
      </c>
      <c r="B783" s="91" t="s">
        <v>215</v>
      </c>
      <c r="C783" s="106">
        <v>1.02</v>
      </c>
      <c r="D783" s="78"/>
      <c r="E783" s="78"/>
      <c r="F783" s="78"/>
    </row>
    <row r="784" spans="1:6">
      <c r="A784" s="90" t="s">
        <v>1687</v>
      </c>
      <c r="B784" s="91" t="s">
        <v>215</v>
      </c>
      <c r="C784" s="106">
        <v>1.0441</v>
      </c>
      <c r="D784" s="78"/>
      <c r="E784" s="78"/>
      <c r="F784" s="78"/>
    </row>
    <row r="785" spans="1:6">
      <c r="A785" s="90" t="s">
        <v>1688</v>
      </c>
      <c r="B785" s="91" t="s">
        <v>215</v>
      </c>
      <c r="C785" s="106">
        <v>1.0679000000000001</v>
      </c>
      <c r="D785" s="78"/>
      <c r="E785" s="78"/>
      <c r="F785" s="78"/>
    </row>
    <row r="786" spans="1:6">
      <c r="A786" s="90" t="s">
        <v>1689</v>
      </c>
      <c r="B786" s="91" t="s">
        <v>215</v>
      </c>
      <c r="C786" s="106">
        <v>1.0914999999999999</v>
      </c>
      <c r="D786" s="78"/>
      <c r="E786" s="78"/>
      <c r="F786" s="78"/>
    </row>
    <row r="787" spans="1:6">
      <c r="A787" s="90" t="s">
        <v>1690</v>
      </c>
      <c r="B787" s="91" t="s">
        <v>215</v>
      </c>
      <c r="C787" s="106">
        <v>1.1147</v>
      </c>
      <c r="D787" s="78"/>
      <c r="E787" s="78"/>
      <c r="F787" s="78"/>
    </row>
    <row r="788" spans="1:6">
      <c r="A788" s="90" t="s">
        <v>1691</v>
      </c>
      <c r="B788" s="91" t="s">
        <v>215</v>
      </c>
      <c r="C788" s="106">
        <v>1.1376999999999999</v>
      </c>
      <c r="D788" s="78"/>
      <c r="E788" s="78"/>
      <c r="F788" s="78"/>
    </row>
    <row r="789" spans="1:6">
      <c r="A789" s="90" t="s">
        <v>1692</v>
      </c>
      <c r="B789" s="91" t="s">
        <v>215</v>
      </c>
      <c r="C789" s="106">
        <v>1.1604000000000001</v>
      </c>
      <c r="D789" s="78"/>
      <c r="E789" s="78"/>
      <c r="F789" s="78"/>
    </row>
    <row r="790" spans="1:6">
      <c r="A790" s="90" t="s">
        <v>1693</v>
      </c>
      <c r="B790" s="91" t="s">
        <v>215</v>
      </c>
      <c r="C790" s="106">
        <v>1.1828000000000001</v>
      </c>
      <c r="D790" s="78"/>
      <c r="E790" s="78"/>
      <c r="F790" s="78"/>
    </row>
    <row r="791" spans="1:6">
      <c r="A791" s="90" t="s">
        <v>1694</v>
      </c>
      <c r="B791" s="91" t="s">
        <v>215</v>
      </c>
      <c r="C791" s="106">
        <v>1.2050000000000001</v>
      </c>
      <c r="D791" s="78"/>
      <c r="E791" s="78"/>
      <c r="F791" s="78"/>
    </row>
    <row r="792" spans="1:6">
      <c r="A792" s="90" t="s">
        <v>1695</v>
      </c>
      <c r="B792" s="91" t="s">
        <v>215</v>
      </c>
      <c r="C792" s="106">
        <v>1.2267999999999999</v>
      </c>
      <c r="D792" s="78"/>
      <c r="E792" s="78"/>
      <c r="F792" s="78"/>
    </row>
    <row r="793" spans="1:6">
      <c r="A793" s="90" t="s">
        <v>1696</v>
      </c>
      <c r="B793" s="91" t="s">
        <v>215</v>
      </c>
      <c r="C793" s="106">
        <v>1.2483</v>
      </c>
      <c r="D793" s="78"/>
      <c r="E793" s="78"/>
      <c r="F793" s="78"/>
    </row>
    <row r="794" spans="1:6">
      <c r="A794" s="90" t="s">
        <v>1697</v>
      </c>
      <c r="B794" s="91" t="s">
        <v>215</v>
      </c>
      <c r="C794" s="106">
        <v>1.2695000000000001</v>
      </c>
      <c r="D794" s="78"/>
      <c r="E794" s="78"/>
      <c r="F794" s="78"/>
    </row>
    <row r="795" spans="1:6">
      <c r="A795" s="90" t="s">
        <v>1698</v>
      </c>
      <c r="B795" s="91" t="s">
        <v>215</v>
      </c>
      <c r="C795" s="106">
        <v>1.2903</v>
      </c>
      <c r="D795" s="78"/>
      <c r="E795" s="78"/>
      <c r="F795" s="78"/>
    </row>
    <row r="796" spans="1:6">
      <c r="A796" s="90" t="s">
        <v>1699</v>
      </c>
      <c r="B796" s="91" t="s">
        <v>215</v>
      </c>
      <c r="C796" s="106">
        <v>1.3108</v>
      </c>
      <c r="D796" s="78"/>
      <c r="E796" s="78"/>
      <c r="F796" s="78"/>
    </row>
    <row r="797" spans="1:6">
      <c r="A797" s="90" t="s">
        <v>1700</v>
      </c>
      <c r="B797" s="91" t="s">
        <v>215</v>
      </c>
      <c r="C797" s="106">
        <v>1.331</v>
      </c>
      <c r="D797" s="78"/>
      <c r="E797" s="78"/>
      <c r="F797" s="78"/>
    </row>
    <row r="798" spans="1:6">
      <c r="A798" s="90" t="s">
        <v>1701</v>
      </c>
      <c r="B798" s="91" t="s">
        <v>215</v>
      </c>
      <c r="C798" s="106">
        <v>1.3508</v>
      </c>
      <c r="D798" s="78"/>
      <c r="E798" s="78"/>
      <c r="F798" s="78"/>
    </row>
    <row r="799" spans="1:6">
      <c r="A799" s="90" t="s">
        <v>1702</v>
      </c>
      <c r="B799" s="91" t="s">
        <v>215</v>
      </c>
      <c r="C799" s="106">
        <v>1.3703000000000001</v>
      </c>
      <c r="D799" s="78"/>
      <c r="E799" s="78"/>
      <c r="F799" s="78"/>
    </row>
    <row r="800" spans="1:6">
      <c r="A800" s="90" t="s">
        <v>1703</v>
      </c>
      <c r="B800" s="91" t="s">
        <v>215</v>
      </c>
      <c r="C800" s="106">
        <v>1.3894</v>
      </c>
      <c r="D800" s="78"/>
      <c r="E800" s="78"/>
      <c r="F800" s="78"/>
    </row>
    <row r="801" spans="1:6">
      <c r="A801" s="90" t="s">
        <v>1704</v>
      </c>
      <c r="B801" s="91" t="s">
        <v>215</v>
      </c>
      <c r="C801" s="106">
        <v>1.4080999999999999</v>
      </c>
      <c r="D801" s="78"/>
      <c r="E801" s="78"/>
      <c r="F801" s="78"/>
    </row>
    <row r="802" spans="1:6">
      <c r="A802" s="90" t="s">
        <v>1705</v>
      </c>
      <c r="B802" s="91" t="s">
        <v>215</v>
      </c>
      <c r="C802" s="106">
        <v>1.4263999999999999</v>
      </c>
      <c r="D802" s="78"/>
      <c r="E802" s="78"/>
      <c r="F802" s="78"/>
    </row>
    <row r="803" spans="1:6">
      <c r="A803" s="90" t="s">
        <v>1706</v>
      </c>
      <c r="B803" s="91" t="s">
        <v>215</v>
      </c>
      <c r="C803" s="106">
        <v>1.4443999999999999</v>
      </c>
      <c r="D803" s="78"/>
      <c r="E803" s="78"/>
      <c r="F803" s="78"/>
    </row>
    <row r="804" spans="1:6">
      <c r="A804" s="90" t="s">
        <v>1707</v>
      </c>
      <c r="B804" s="91" t="s">
        <v>215</v>
      </c>
      <c r="C804" s="106">
        <v>1.4619</v>
      </c>
      <c r="D804" s="78"/>
      <c r="E804" s="78"/>
      <c r="F804" s="78"/>
    </row>
    <row r="805" spans="1:6">
      <c r="A805" s="90" t="s">
        <v>1708</v>
      </c>
      <c r="B805" s="91" t="s">
        <v>215</v>
      </c>
      <c r="C805" s="106">
        <v>1.4790000000000001</v>
      </c>
      <c r="D805" s="78"/>
      <c r="E805" s="78"/>
      <c r="F805" s="78"/>
    </row>
    <row r="806" spans="1:6">
      <c r="A806" s="90" t="s">
        <v>1709</v>
      </c>
      <c r="B806" s="91" t="s">
        <v>215</v>
      </c>
      <c r="C806" s="106">
        <v>1.4957</v>
      </c>
      <c r="D806" s="78"/>
      <c r="E806" s="78"/>
      <c r="F806" s="78"/>
    </row>
    <row r="807" spans="1:6">
      <c r="A807" s="90" t="s">
        <v>1710</v>
      </c>
      <c r="B807" s="91" t="s">
        <v>215</v>
      </c>
      <c r="C807" s="106">
        <v>1.5119</v>
      </c>
      <c r="D807" s="78"/>
      <c r="E807" s="78"/>
      <c r="F807" s="78"/>
    </row>
    <row r="808" spans="1:6">
      <c r="A808" s="90" t="s">
        <v>1711</v>
      </c>
      <c r="B808" s="91" t="s">
        <v>215</v>
      </c>
      <c r="C808" s="106">
        <v>1.5277000000000001</v>
      </c>
      <c r="D808" s="78"/>
      <c r="E808" s="78"/>
      <c r="F808" s="78"/>
    </row>
    <row r="809" spans="1:6">
      <c r="A809" s="90" t="s">
        <v>1712</v>
      </c>
      <c r="B809" s="91" t="s">
        <v>215</v>
      </c>
      <c r="C809" s="106">
        <v>1.5465</v>
      </c>
      <c r="D809" s="78"/>
      <c r="E809" s="78"/>
      <c r="F809" s="78"/>
    </row>
    <row r="810" spans="1:6">
      <c r="A810" s="90" t="s">
        <v>1713</v>
      </c>
      <c r="B810" s="91" t="s">
        <v>215</v>
      </c>
      <c r="C810" s="106">
        <v>1.5907</v>
      </c>
      <c r="D810" s="78"/>
      <c r="E810" s="78"/>
      <c r="F810" s="78"/>
    </row>
    <row r="811" spans="1:6">
      <c r="A811" s="90" t="s">
        <v>1714</v>
      </c>
      <c r="B811" s="91" t="s">
        <v>215</v>
      </c>
      <c r="C811" s="106">
        <v>1.6338999999999999</v>
      </c>
      <c r="D811" s="78"/>
      <c r="E811" s="78"/>
      <c r="F811" s="78"/>
    </row>
    <row r="812" spans="1:6">
      <c r="A812" s="90" t="s">
        <v>1715</v>
      </c>
      <c r="B812" s="91" t="s">
        <v>215</v>
      </c>
      <c r="C812" s="106">
        <v>1.6759999999999999</v>
      </c>
      <c r="D812" s="78"/>
      <c r="E812" s="78"/>
      <c r="F812" s="78"/>
    </row>
    <row r="813" spans="1:6">
      <c r="A813" s="90" t="s">
        <v>1716</v>
      </c>
      <c r="B813" s="91" t="s">
        <v>215</v>
      </c>
      <c r="C813" s="106">
        <v>1.7172000000000001</v>
      </c>
      <c r="D813" s="78"/>
      <c r="E813" s="78"/>
      <c r="F813" s="78"/>
    </row>
    <row r="814" spans="1:6">
      <c r="A814" s="90" t="s">
        <v>1717</v>
      </c>
      <c r="B814" s="91" t="s">
        <v>215</v>
      </c>
      <c r="C814" s="106">
        <v>1.7574000000000001</v>
      </c>
      <c r="D814" s="78"/>
      <c r="E814" s="78"/>
      <c r="F814" s="78"/>
    </row>
    <row r="815" spans="1:6">
      <c r="A815" s="90" t="s">
        <v>1718</v>
      </c>
      <c r="B815" s="91" t="s">
        <v>215</v>
      </c>
      <c r="C815" s="106">
        <v>1.7967</v>
      </c>
      <c r="D815" s="78"/>
      <c r="E815" s="78"/>
      <c r="F815" s="78"/>
    </row>
    <row r="816" spans="1:6">
      <c r="A816" s="90" t="s">
        <v>1719</v>
      </c>
      <c r="B816" s="91" t="s">
        <v>215</v>
      </c>
      <c r="C816" s="106">
        <v>1.8351999999999999</v>
      </c>
      <c r="D816" s="78"/>
      <c r="E816" s="78"/>
      <c r="F816" s="78"/>
    </row>
    <row r="817" spans="1:6">
      <c r="A817" s="90" t="s">
        <v>1720</v>
      </c>
      <c r="B817" s="91" t="s">
        <v>215</v>
      </c>
      <c r="C817" s="106">
        <v>1.8728</v>
      </c>
      <c r="D817" s="78"/>
      <c r="E817" s="78"/>
      <c r="F817" s="78"/>
    </row>
    <row r="818" spans="1:6">
      <c r="A818" s="90" t="s">
        <v>1721</v>
      </c>
      <c r="B818" s="91" t="s">
        <v>215</v>
      </c>
      <c r="C818" s="106">
        <v>1.9097</v>
      </c>
      <c r="D818" s="78"/>
      <c r="E818" s="78"/>
      <c r="F818" s="78"/>
    </row>
    <row r="819" spans="1:6">
      <c r="A819" s="90" t="s">
        <v>1722</v>
      </c>
      <c r="B819" s="91" t="s">
        <v>215</v>
      </c>
      <c r="C819" s="106">
        <v>1.9457</v>
      </c>
      <c r="D819" s="78"/>
      <c r="E819" s="78"/>
      <c r="F819" s="78"/>
    </row>
    <row r="820" spans="1:6">
      <c r="A820" s="90" t="s">
        <v>1723</v>
      </c>
      <c r="B820" s="91" t="s">
        <v>215</v>
      </c>
      <c r="C820" s="106">
        <v>1.9810000000000001</v>
      </c>
      <c r="D820" s="78"/>
      <c r="E820" s="78"/>
      <c r="F820" s="78"/>
    </row>
    <row r="821" spans="1:6">
      <c r="A821" s="90" t="s">
        <v>1724</v>
      </c>
      <c r="B821" s="91" t="s">
        <v>215</v>
      </c>
      <c r="C821" s="106">
        <v>2.0156000000000001</v>
      </c>
      <c r="D821" s="78"/>
      <c r="E821" s="78"/>
      <c r="F821" s="78"/>
    </row>
    <row r="822" spans="1:6">
      <c r="A822" s="90" t="s">
        <v>1725</v>
      </c>
      <c r="B822" s="91" t="s">
        <v>215</v>
      </c>
      <c r="C822" s="106">
        <v>2.0493999999999999</v>
      </c>
      <c r="D822" s="78"/>
      <c r="E822" s="78"/>
      <c r="F822" s="78"/>
    </row>
    <row r="823" spans="1:6">
      <c r="A823" s="90" t="s">
        <v>1726</v>
      </c>
      <c r="B823" s="91" t="s">
        <v>215</v>
      </c>
      <c r="C823" s="106">
        <v>2.0825</v>
      </c>
      <c r="D823" s="78"/>
      <c r="E823" s="78"/>
      <c r="F823" s="78"/>
    </row>
    <row r="824" spans="1:6">
      <c r="A824" s="90" t="s">
        <v>1727</v>
      </c>
      <c r="B824" s="91" t="s">
        <v>215</v>
      </c>
      <c r="C824" s="106">
        <v>2.1149</v>
      </c>
      <c r="D824" s="78"/>
      <c r="E824" s="78"/>
      <c r="F824" s="78"/>
    </row>
    <row r="825" spans="1:6">
      <c r="A825" s="90" t="s">
        <v>1728</v>
      </c>
      <c r="B825" s="91" t="s">
        <v>215</v>
      </c>
      <c r="C825" s="106">
        <v>2.1465999999999998</v>
      </c>
      <c r="D825" s="78"/>
      <c r="E825" s="78"/>
      <c r="F825" s="78"/>
    </row>
    <row r="826" spans="1:6">
      <c r="A826" s="90" t="s">
        <v>1729</v>
      </c>
      <c r="B826" s="91" t="s">
        <v>215</v>
      </c>
      <c r="C826" s="106">
        <v>2.1776</v>
      </c>
      <c r="D826" s="78"/>
      <c r="E826" s="78"/>
      <c r="F826" s="78"/>
    </row>
    <row r="827" spans="1:6">
      <c r="A827" s="90" t="s">
        <v>1730</v>
      </c>
      <c r="B827" s="91" t="s">
        <v>215</v>
      </c>
      <c r="C827" s="106">
        <v>2.2079</v>
      </c>
      <c r="D827" s="78"/>
      <c r="E827" s="78"/>
      <c r="F827" s="78"/>
    </row>
    <row r="828" spans="1:6">
      <c r="A828" s="90" t="s">
        <v>1731</v>
      </c>
      <c r="B828" s="91" t="s">
        <v>215</v>
      </c>
      <c r="C828" s="106">
        <v>2.2374999999999998</v>
      </c>
      <c r="D828" s="78"/>
      <c r="E828" s="78"/>
      <c r="F828" s="78"/>
    </row>
    <row r="829" spans="1:6">
      <c r="A829" s="90" t="s">
        <v>1732</v>
      </c>
      <c r="B829" s="91" t="s">
        <v>215</v>
      </c>
      <c r="C829" s="106">
        <v>2.2665000000000002</v>
      </c>
      <c r="D829" s="78"/>
      <c r="E829" s="78"/>
      <c r="F829" s="78"/>
    </row>
    <row r="830" spans="1:6">
      <c r="A830" s="90" t="s">
        <v>1733</v>
      </c>
      <c r="B830" s="91" t="s">
        <v>215</v>
      </c>
      <c r="C830" s="106">
        <v>2.2948</v>
      </c>
      <c r="D830" s="78"/>
      <c r="E830" s="78"/>
      <c r="F830" s="78"/>
    </row>
    <row r="831" spans="1:6">
      <c r="A831" s="90" t="s">
        <v>1734</v>
      </c>
      <c r="B831" s="91" t="s">
        <v>215</v>
      </c>
      <c r="C831" s="106">
        <v>2.3224</v>
      </c>
      <c r="D831" s="78"/>
      <c r="E831" s="78"/>
      <c r="F831" s="78"/>
    </row>
    <row r="832" spans="1:6">
      <c r="A832" s="90" t="s">
        <v>1735</v>
      </c>
      <c r="B832" s="91" t="s">
        <v>215</v>
      </c>
      <c r="C832" s="106">
        <v>2.3492999999999999</v>
      </c>
      <c r="D832" s="78"/>
      <c r="E832" s="78"/>
      <c r="F832" s="78"/>
    </row>
    <row r="833" spans="1:6">
      <c r="A833" s="90" t="s">
        <v>1736</v>
      </c>
      <c r="B833" s="91" t="s">
        <v>215</v>
      </c>
      <c r="C833" s="106">
        <v>2.3755999999999999</v>
      </c>
      <c r="D833" s="78"/>
      <c r="E833" s="78"/>
      <c r="F833" s="78"/>
    </row>
    <row r="834" spans="1:6">
      <c r="A834" s="90" t="s">
        <v>1737</v>
      </c>
      <c r="B834" s="91" t="s">
        <v>215</v>
      </c>
      <c r="C834" s="106">
        <v>2.4011999999999998</v>
      </c>
      <c r="D834" s="78"/>
      <c r="E834" s="78"/>
      <c r="F834" s="78"/>
    </row>
    <row r="835" spans="1:6">
      <c r="A835" s="90" t="s">
        <v>1738</v>
      </c>
      <c r="B835" s="91" t="s">
        <v>215</v>
      </c>
      <c r="C835" s="106">
        <v>2.4262000000000001</v>
      </c>
      <c r="D835" s="78"/>
      <c r="E835" s="78"/>
      <c r="F835" s="78"/>
    </row>
    <row r="836" spans="1:6">
      <c r="A836" s="90" t="s">
        <v>1739</v>
      </c>
      <c r="B836" s="91" t="s">
        <v>215</v>
      </c>
      <c r="C836" s="106">
        <v>2.4504000000000001</v>
      </c>
      <c r="D836" s="78"/>
      <c r="E836" s="78"/>
      <c r="F836" s="78"/>
    </row>
    <row r="837" spans="1:6">
      <c r="A837" s="90" t="s">
        <v>1740</v>
      </c>
      <c r="B837" s="91" t="s">
        <v>215</v>
      </c>
      <c r="C837" s="106">
        <v>2.4740000000000002</v>
      </c>
      <c r="D837" s="78"/>
      <c r="E837" s="78"/>
      <c r="F837" s="78"/>
    </row>
    <row r="838" spans="1:6">
      <c r="A838" s="90" t="s">
        <v>1741</v>
      </c>
      <c r="B838" s="91" t="s">
        <v>215</v>
      </c>
      <c r="C838" s="106">
        <v>2.4969000000000001</v>
      </c>
      <c r="D838" s="78"/>
      <c r="E838" s="78"/>
      <c r="F838" s="78"/>
    </row>
    <row r="839" spans="1:6">
      <c r="A839" s="90" t="s">
        <v>1742</v>
      </c>
      <c r="B839" s="91" t="s">
        <v>215</v>
      </c>
      <c r="C839" s="106">
        <v>2.5190999999999999</v>
      </c>
      <c r="D839" s="78"/>
      <c r="E839" s="78"/>
      <c r="F839" s="78"/>
    </row>
    <row r="840" spans="1:6">
      <c r="A840" s="90" t="s">
        <v>1743</v>
      </c>
      <c r="B840" s="91" t="s">
        <v>215</v>
      </c>
      <c r="C840" s="106">
        <v>2.5406</v>
      </c>
      <c r="D840" s="78"/>
      <c r="E840" s="78"/>
      <c r="F840" s="78"/>
    </row>
    <row r="841" spans="1:6">
      <c r="A841" s="90" t="s">
        <v>1744</v>
      </c>
      <c r="B841" s="91" t="s">
        <v>215</v>
      </c>
      <c r="C841" s="106">
        <v>2.5615000000000001</v>
      </c>
      <c r="D841" s="78"/>
      <c r="E841" s="78"/>
      <c r="F841" s="78"/>
    </row>
    <row r="842" spans="1:6">
      <c r="A842" s="90" t="s">
        <v>1745</v>
      </c>
      <c r="B842" s="91" t="s">
        <v>215</v>
      </c>
      <c r="C842" s="106">
        <v>2.5815999999999999</v>
      </c>
      <c r="D842" s="78"/>
      <c r="E842" s="78"/>
      <c r="F842" s="78"/>
    </row>
    <row r="843" spans="1:6">
      <c r="A843" s="90" t="s">
        <v>1746</v>
      </c>
      <c r="B843" s="91" t="s">
        <v>215</v>
      </c>
      <c r="C843" s="106">
        <v>2.601</v>
      </c>
      <c r="D843" s="78"/>
      <c r="E843" s="78"/>
      <c r="F843" s="78"/>
    </row>
    <row r="844" spans="1:6">
      <c r="A844" s="90" t="s">
        <v>1747</v>
      </c>
      <c r="B844" s="91" t="s">
        <v>215</v>
      </c>
      <c r="C844" s="106">
        <v>2.6196999999999999</v>
      </c>
      <c r="D844" s="78"/>
      <c r="E844" s="78"/>
      <c r="F844" s="78"/>
    </row>
    <row r="845" spans="1:6">
      <c r="A845" s="90" t="s">
        <v>1748</v>
      </c>
      <c r="B845" s="91" t="s">
        <v>215</v>
      </c>
      <c r="C845" s="106">
        <v>2.6375999999999999</v>
      </c>
      <c r="D845" s="78"/>
      <c r="E845" s="78"/>
      <c r="F845" s="78"/>
    </row>
    <row r="846" spans="1:6">
      <c r="A846" s="90" t="s">
        <v>1749</v>
      </c>
      <c r="B846" s="91" t="s">
        <v>215</v>
      </c>
      <c r="C846" s="106">
        <v>2.6549</v>
      </c>
      <c r="D846" s="78"/>
      <c r="E846" s="78"/>
      <c r="F846" s="78"/>
    </row>
    <row r="847" spans="1:6">
      <c r="A847" s="90" t="s">
        <v>1750</v>
      </c>
      <c r="B847" s="91" t="s">
        <v>215</v>
      </c>
      <c r="C847" s="106">
        <v>2.6713</v>
      </c>
      <c r="D847" s="78"/>
      <c r="E847" s="78"/>
      <c r="F847" s="78"/>
    </row>
    <row r="848" spans="1:6">
      <c r="A848" s="90" t="s">
        <v>1751</v>
      </c>
      <c r="B848" s="91" t="s">
        <v>215</v>
      </c>
      <c r="C848" s="106">
        <v>2.6869999999999998</v>
      </c>
      <c r="D848" s="78"/>
      <c r="E848" s="78"/>
      <c r="F848" s="78"/>
    </row>
    <row r="849" spans="1:6">
      <c r="A849" s="90" t="s">
        <v>1752</v>
      </c>
      <c r="B849" s="91" t="s">
        <v>215</v>
      </c>
      <c r="C849" s="106">
        <v>2.7124999999999999</v>
      </c>
      <c r="D849" s="78"/>
      <c r="E849" s="78"/>
      <c r="F849" s="78"/>
    </row>
    <row r="850" spans="1:6">
      <c r="A850" s="90" t="s">
        <v>1753</v>
      </c>
      <c r="B850" s="91" t="s">
        <v>215</v>
      </c>
      <c r="C850" s="106">
        <v>2.7545000000000002</v>
      </c>
      <c r="D850" s="78"/>
      <c r="E850" s="78"/>
      <c r="F850" s="78"/>
    </row>
    <row r="851" spans="1:6">
      <c r="A851" s="90" t="s">
        <v>1754</v>
      </c>
      <c r="B851" s="91" t="s">
        <v>215</v>
      </c>
      <c r="C851" s="106">
        <v>2.7953000000000001</v>
      </c>
      <c r="D851" s="78"/>
      <c r="E851" s="78"/>
      <c r="F851" s="78"/>
    </row>
    <row r="852" spans="1:6">
      <c r="A852" s="90" t="s">
        <v>1755</v>
      </c>
      <c r="B852" s="91" t="s">
        <v>215</v>
      </c>
      <c r="C852" s="106">
        <v>2.8351999999999999</v>
      </c>
      <c r="D852" s="78"/>
      <c r="E852" s="78"/>
      <c r="F852" s="78"/>
    </row>
    <row r="853" spans="1:6">
      <c r="A853" s="90" t="s">
        <v>1756</v>
      </c>
      <c r="B853" s="91" t="s">
        <v>215</v>
      </c>
      <c r="C853" s="106">
        <v>2.8740000000000001</v>
      </c>
      <c r="D853" s="78"/>
      <c r="E853" s="78"/>
      <c r="F853" s="78"/>
    </row>
    <row r="854" spans="1:6">
      <c r="A854" s="90" t="s">
        <v>1757</v>
      </c>
      <c r="B854" s="91" t="s">
        <v>215</v>
      </c>
      <c r="C854" s="106">
        <v>2.9117999999999999</v>
      </c>
      <c r="D854" s="78"/>
      <c r="E854" s="78"/>
      <c r="F854" s="78"/>
    </row>
    <row r="855" spans="1:6">
      <c r="A855" s="90" t="s">
        <v>1758</v>
      </c>
      <c r="B855" s="91" t="s">
        <v>215</v>
      </c>
      <c r="C855" s="106">
        <v>2.9487000000000001</v>
      </c>
      <c r="D855" s="78"/>
      <c r="E855" s="78"/>
      <c r="F855" s="78"/>
    </row>
    <row r="856" spans="1:6">
      <c r="A856" s="90" t="s">
        <v>1759</v>
      </c>
      <c r="B856" s="91" t="s">
        <v>215</v>
      </c>
      <c r="C856" s="106">
        <v>2.9845000000000002</v>
      </c>
      <c r="D856" s="78"/>
      <c r="E856" s="78"/>
      <c r="F856" s="78"/>
    </row>
    <row r="857" spans="1:6">
      <c r="A857" s="90" t="s">
        <v>1760</v>
      </c>
      <c r="B857" s="91" t="s">
        <v>215</v>
      </c>
      <c r="C857" s="106">
        <v>3.0194999999999999</v>
      </c>
      <c r="D857" s="78"/>
      <c r="E857" s="78"/>
      <c r="F857" s="78"/>
    </row>
    <row r="858" spans="1:6">
      <c r="A858" s="90" t="s">
        <v>1761</v>
      </c>
      <c r="B858" s="91" t="s">
        <v>215</v>
      </c>
      <c r="C858" s="106">
        <v>3.0533999999999999</v>
      </c>
      <c r="D858" s="78"/>
      <c r="E858" s="78"/>
      <c r="F858" s="78"/>
    </row>
    <row r="859" spans="1:6">
      <c r="A859" s="90" t="s">
        <v>1762</v>
      </c>
      <c r="B859" s="91" t="s">
        <v>215</v>
      </c>
      <c r="C859" s="106">
        <v>3.0863999999999998</v>
      </c>
      <c r="D859" s="78"/>
      <c r="E859" s="78"/>
      <c r="F859" s="78"/>
    </row>
    <row r="860" spans="1:6">
      <c r="A860" s="90" t="s">
        <v>1763</v>
      </c>
      <c r="B860" s="91" t="s">
        <v>215</v>
      </c>
      <c r="C860" s="106">
        <v>3.1185</v>
      </c>
      <c r="D860" s="78"/>
      <c r="E860" s="78"/>
      <c r="F860" s="78"/>
    </row>
    <row r="861" spans="1:6">
      <c r="A861" s="90" t="s">
        <v>1764</v>
      </c>
      <c r="B861" s="91" t="s">
        <v>215</v>
      </c>
      <c r="C861" s="106">
        <v>3.1497000000000002</v>
      </c>
      <c r="D861" s="78"/>
      <c r="E861" s="78"/>
      <c r="F861" s="78"/>
    </row>
    <row r="862" spans="1:6">
      <c r="A862" s="90" t="s">
        <v>1765</v>
      </c>
      <c r="B862" s="91" t="s">
        <v>215</v>
      </c>
      <c r="C862" s="106">
        <v>3.1798999999999999</v>
      </c>
      <c r="D862" s="78"/>
      <c r="E862" s="78"/>
      <c r="F862" s="78"/>
    </row>
    <row r="863" spans="1:6">
      <c r="A863" s="90" t="s">
        <v>1766</v>
      </c>
      <c r="B863" s="91" t="s">
        <v>215</v>
      </c>
      <c r="C863" s="106">
        <v>3.2092999999999998</v>
      </c>
      <c r="D863" s="78"/>
      <c r="E863" s="78"/>
      <c r="F863" s="78"/>
    </row>
    <row r="864" spans="1:6">
      <c r="A864" s="90" t="s">
        <v>1767</v>
      </c>
      <c r="B864" s="91" t="s">
        <v>215</v>
      </c>
      <c r="C864" s="106">
        <v>3.2376999999999998</v>
      </c>
      <c r="D864" s="78"/>
      <c r="E864" s="78"/>
      <c r="F864" s="78"/>
    </row>
    <row r="865" spans="1:6">
      <c r="A865" s="90" t="s">
        <v>1768</v>
      </c>
      <c r="B865" s="91" t="s">
        <v>215</v>
      </c>
      <c r="C865" s="106">
        <v>3.2650999999999999</v>
      </c>
      <c r="D865" s="78"/>
      <c r="E865" s="78"/>
      <c r="F865" s="78"/>
    </row>
    <row r="866" spans="1:6">
      <c r="A866" s="90" t="s">
        <v>1769</v>
      </c>
      <c r="B866" s="91" t="s">
        <v>215</v>
      </c>
      <c r="C866" s="106">
        <v>3.2917000000000001</v>
      </c>
      <c r="D866" s="78"/>
      <c r="E866" s="78"/>
      <c r="F866" s="78"/>
    </row>
    <row r="867" spans="1:6">
      <c r="A867" s="90" t="s">
        <v>1770</v>
      </c>
      <c r="B867" s="91" t="s">
        <v>215</v>
      </c>
      <c r="C867" s="106">
        <v>3.3172999999999999</v>
      </c>
      <c r="D867" s="78"/>
      <c r="E867" s="78"/>
      <c r="F867" s="78"/>
    </row>
    <row r="868" spans="1:6">
      <c r="A868" s="90" t="s">
        <v>1771</v>
      </c>
      <c r="B868" s="91" t="s">
        <v>215</v>
      </c>
      <c r="C868" s="106">
        <v>3.3420999999999998</v>
      </c>
      <c r="D868" s="78"/>
      <c r="E868" s="78"/>
      <c r="F868" s="78"/>
    </row>
    <row r="869" spans="1:6">
      <c r="A869" s="90" t="s">
        <v>1772</v>
      </c>
      <c r="B869" s="91" t="s">
        <v>215</v>
      </c>
      <c r="C869" s="106">
        <v>3.3658999999999999</v>
      </c>
      <c r="D869" s="78"/>
      <c r="E869" s="78"/>
      <c r="F869" s="78"/>
    </row>
    <row r="870" spans="1:6">
      <c r="A870" s="90" t="s">
        <v>1773</v>
      </c>
      <c r="B870" s="91" t="s">
        <v>215</v>
      </c>
      <c r="C870" s="106">
        <v>3.3887</v>
      </c>
      <c r="D870" s="78"/>
      <c r="E870" s="78"/>
      <c r="F870" s="78"/>
    </row>
    <row r="871" spans="1:6">
      <c r="A871" s="90" t="s">
        <v>1774</v>
      </c>
      <c r="B871" s="91" t="s">
        <v>215</v>
      </c>
      <c r="C871" s="106">
        <v>3.4106000000000001</v>
      </c>
      <c r="D871" s="78"/>
      <c r="E871" s="78"/>
      <c r="F871" s="78"/>
    </row>
    <row r="872" spans="1:6">
      <c r="A872" s="90" t="s">
        <v>1775</v>
      </c>
      <c r="B872" s="91" t="s">
        <v>215</v>
      </c>
      <c r="C872" s="106">
        <v>3.4316</v>
      </c>
      <c r="D872" s="78"/>
      <c r="E872" s="78"/>
      <c r="F872" s="78"/>
    </row>
    <row r="873" spans="1:6">
      <c r="A873" s="90" t="s">
        <v>1776</v>
      </c>
      <c r="B873" s="91" t="s">
        <v>215</v>
      </c>
      <c r="C873" s="106">
        <v>3.4517000000000002</v>
      </c>
      <c r="D873" s="78"/>
      <c r="E873" s="78"/>
      <c r="F873" s="78"/>
    </row>
    <row r="874" spans="1:6">
      <c r="A874" s="90" t="s">
        <v>1777</v>
      </c>
      <c r="B874" s="91" t="s">
        <v>215</v>
      </c>
      <c r="C874" s="106">
        <v>3.4706999999999999</v>
      </c>
      <c r="D874" s="78"/>
      <c r="E874" s="78"/>
      <c r="F874" s="78"/>
    </row>
    <row r="875" spans="1:6">
      <c r="A875" s="90" t="s">
        <v>1778</v>
      </c>
      <c r="B875" s="91" t="s">
        <v>215</v>
      </c>
      <c r="C875" s="106">
        <v>3.4887999999999999</v>
      </c>
      <c r="D875" s="78"/>
      <c r="E875" s="78"/>
      <c r="F875" s="78"/>
    </row>
    <row r="876" spans="1:6">
      <c r="A876" s="90" t="s">
        <v>1779</v>
      </c>
      <c r="B876" s="91" t="s">
        <v>215</v>
      </c>
      <c r="C876" s="106">
        <v>3.5059999999999998</v>
      </c>
      <c r="D876" s="78"/>
      <c r="E876" s="78"/>
      <c r="F876" s="78"/>
    </row>
    <row r="877" spans="1:6">
      <c r="A877" s="90" t="s">
        <v>1780</v>
      </c>
      <c r="B877" s="91" t="s">
        <v>215</v>
      </c>
      <c r="C877" s="106">
        <v>3.5221</v>
      </c>
      <c r="D877" s="78"/>
      <c r="E877" s="78"/>
      <c r="F877" s="78"/>
    </row>
    <row r="878" spans="1:6">
      <c r="A878" s="90" t="s">
        <v>1781</v>
      </c>
      <c r="B878" s="91" t="s">
        <v>215</v>
      </c>
      <c r="C878" s="106">
        <v>3.5373000000000001</v>
      </c>
      <c r="D878" s="78"/>
      <c r="E878" s="78"/>
      <c r="F878" s="78"/>
    </row>
    <row r="879" spans="1:6">
      <c r="A879" s="90" t="s">
        <v>1782</v>
      </c>
      <c r="B879" s="91" t="s">
        <v>215</v>
      </c>
      <c r="C879" s="106">
        <v>3.5514000000000001</v>
      </c>
      <c r="D879" s="78"/>
      <c r="E879" s="78"/>
      <c r="F879" s="78"/>
    </row>
    <row r="880" spans="1:6">
      <c r="A880" s="90" t="s">
        <v>1783</v>
      </c>
      <c r="B880" s="91" t="s">
        <v>215</v>
      </c>
      <c r="C880" s="106">
        <v>3.5646</v>
      </c>
      <c r="D880" s="78"/>
      <c r="E880" s="78"/>
      <c r="F880" s="78"/>
    </row>
    <row r="881" spans="1:6">
      <c r="A881" s="90" t="s">
        <v>1784</v>
      </c>
      <c r="B881" s="91" t="s">
        <v>215</v>
      </c>
      <c r="C881" s="106">
        <v>3.5767000000000002</v>
      </c>
      <c r="D881" s="78"/>
      <c r="E881" s="78"/>
      <c r="F881" s="78"/>
    </row>
    <row r="882" spans="1:6">
      <c r="A882" s="90" t="s">
        <v>1785</v>
      </c>
      <c r="B882" s="91" t="s">
        <v>215</v>
      </c>
      <c r="C882" s="106">
        <v>3.5876999999999999</v>
      </c>
      <c r="D882" s="78"/>
      <c r="E882" s="78"/>
      <c r="F882" s="78"/>
    </row>
    <row r="883" spans="1:6">
      <c r="A883" s="90" t="s">
        <v>1786</v>
      </c>
      <c r="B883" s="91" t="s">
        <v>215</v>
      </c>
      <c r="C883" s="106">
        <v>3.5977000000000001</v>
      </c>
      <c r="D883" s="78"/>
      <c r="E883" s="78"/>
      <c r="F883" s="78"/>
    </row>
    <row r="884" spans="1:6">
      <c r="A884" s="90" t="s">
        <v>1787</v>
      </c>
      <c r="B884" s="91" t="s">
        <v>215</v>
      </c>
      <c r="C884" s="106">
        <v>3.6065999999999998</v>
      </c>
      <c r="D884" s="78"/>
      <c r="E884" s="78"/>
      <c r="F884" s="78"/>
    </row>
    <row r="885" spans="1:6">
      <c r="A885" s="90" t="s">
        <v>1788</v>
      </c>
      <c r="B885" s="91" t="s">
        <v>215</v>
      </c>
      <c r="C885" s="106">
        <v>3.6143000000000001</v>
      </c>
      <c r="D885" s="78"/>
      <c r="E885" s="78"/>
      <c r="F885" s="78"/>
    </row>
    <row r="886" spans="1:6">
      <c r="A886" s="90" t="s">
        <v>1789</v>
      </c>
      <c r="B886" s="91" t="s">
        <v>215</v>
      </c>
      <c r="C886" s="106">
        <v>3.621</v>
      </c>
      <c r="D886" s="78"/>
      <c r="E886" s="78"/>
      <c r="F886" s="78"/>
    </row>
    <row r="887" spans="1:6">
      <c r="A887" s="90" t="s">
        <v>1790</v>
      </c>
      <c r="B887" s="91" t="s">
        <v>215</v>
      </c>
      <c r="C887" s="106">
        <v>3.6265000000000001</v>
      </c>
      <c r="D887" s="78"/>
      <c r="E887" s="78"/>
      <c r="F887" s="78"/>
    </row>
    <row r="888" spans="1:6">
      <c r="A888" s="90" t="s">
        <v>1791</v>
      </c>
      <c r="B888" s="91" t="s">
        <v>215</v>
      </c>
      <c r="C888" s="106">
        <v>3.6309</v>
      </c>
      <c r="D888" s="78"/>
      <c r="E888" s="78"/>
      <c r="F888" s="78"/>
    </row>
    <row r="889" spans="1:6">
      <c r="A889" s="90" t="s">
        <v>1792</v>
      </c>
      <c r="B889" s="91" t="s">
        <v>215</v>
      </c>
      <c r="C889" s="106">
        <v>3.6339999999999999</v>
      </c>
      <c r="D889" s="78"/>
      <c r="E889" s="78"/>
      <c r="F889" s="78"/>
    </row>
    <row r="890" spans="1:6">
      <c r="A890" s="90" t="s">
        <v>1793</v>
      </c>
      <c r="B890" s="91" t="s">
        <v>215</v>
      </c>
      <c r="C890" s="106">
        <v>3.6360000000000001</v>
      </c>
      <c r="D890" s="78"/>
      <c r="E890" s="78"/>
      <c r="F890" s="78"/>
    </row>
    <row r="891" spans="1:6">
      <c r="A891" s="90" t="s">
        <v>1794</v>
      </c>
      <c r="B891" s="91" t="s">
        <v>215</v>
      </c>
      <c r="C891" s="106">
        <v>3.6366999999999998</v>
      </c>
      <c r="D891" s="78"/>
      <c r="E891" s="78"/>
      <c r="F891" s="78"/>
    </row>
    <row r="892" spans="1:6">
      <c r="A892" s="90" t="s">
        <v>1795</v>
      </c>
      <c r="B892" s="91" t="s">
        <v>215</v>
      </c>
      <c r="C892" s="106">
        <v>3.6360999999999999</v>
      </c>
      <c r="D892" s="78"/>
      <c r="E892" s="78"/>
      <c r="F892" s="78"/>
    </row>
    <row r="893" spans="1:6">
      <c r="A893" s="90" t="s">
        <v>1796</v>
      </c>
      <c r="B893" s="91" t="s">
        <v>215</v>
      </c>
      <c r="C893" s="106">
        <v>3.6343000000000001</v>
      </c>
      <c r="D893" s="78"/>
      <c r="E893" s="78"/>
      <c r="F893" s="78"/>
    </row>
    <row r="894" spans="1:6">
      <c r="A894" s="90" t="s">
        <v>1797</v>
      </c>
      <c r="B894" s="91" t="s">
        <v>215</v>
      </c>
      <c r="C894" s="106">
        <v>3.6311</v>
      </c>
      <c r="D894" s="78"/>
      <c r="E894" s="78"/>
      <c r="F894" s="78"/>
    </row>
    <row r="895" spans="1:6">
      <c r="A895" s="90" t="s">
        <v>1798</v>
      </c>
      <c r="B895" s="91" t="s">
        <v>215</v>
      </c>
      <c r="C895" s="106">
        <v>3.6265000000000001</v>
      </c>
      <c r="D895" s="78"/>
      <c r="E895" s="78"/>
      <c r="F895" s="78"/>
    </row>
    <row r="896" spans="1:6">
      <c r="A896" s="90" t="s">
        <v>1799</v>
      </c>
      <c r="B896" s="91" t="s">
        <v>215</v>
      </c>
      <c r="C896" s="106">
        <v>3.6206</v>
      </c>
      <c r="D896" s="78"/>
      <c r="E896" s="78"/>
      <c r="F896" s="78"/>
    </row>
    <row r="897" spans="1:6">
      <c r="A897" s="90" t="s">
        <v>1800</v>
      </c>
      <c r="B897" s="91" t="s">
        <v>215</v>
      </c>
      <c r="C897" s="106">
        <v>3.6132</v>
      </c>
      <c r="D897" s="78"/>
      <c r="E897" s="78"/>
      <c r="F897" s="78"/>
    </row>
    <row r="898" spans="1:6">
      <c r="A898" s="90" t="s">
        <v>1801</v>
      </c>
      <c r="B898" s="91" t="s">
        <v>215</v>
      </c>
      <c r="C898" s="106">
        <v>3.6042999999999998</v>
      </c>
      <c r="D898" s="78"/>
      <c r="E898" s="78"/>
      <c r="F898" s="78"/>
    </row>
    <row r="899" spans="1:6">
      <c r="A899" s="90" t="s">
        <v>1802</v>
      </c>
      <c r="B899" s="91" t="s">
        <v>215</v>
      </c>
      <c r="C899" s="106">
        <v>3.5939000000000001</v>
      </c>
      <c r="D899" s="78"/>
      <c r="E899" s="78"/>
      <c r="F899" s="78"/>
    </row>
    <row r="900" spans="1:6">
      <c r="A900" s="90" t="s">
        <v>1803</v>
      </c>
      <c r="B900" s="91" t="s">
        <v>215</v>
      </c>
      <c r="C900" s="106">
        <v>3.5819000000000001</v>
      </c>
      <c r="D900" s="78"/>
      <c r="E900" s="78"/>
      <c r="F900" s="78"/>
    </row>
    <row r="901" spans="1:6">
      <c r="A901" s="90" t="s">
        <v>1804</v>
      </c>
      <c r="B901" s="91" t="s">
        <v>215</v>
      </c>
      <c r="C901" s="106">
        <v>3.5682999999999998</v>
      </c>
      <c r="D901" s="78"/>
      <c r="E901" s="78"/>
      <c r="F901" s="78"/>
    </row>
    <row r="902" spans="1:6">
      <c r="A902" s="90" t="s">
        <v>1805</v>
      </c>
      <c r="B902" s="91" t="s">
        <v>215</v>
      </c>
      <c r="C902" s="106">
        <v>3.5531000000000001</v>
      </c>
      <c r="D902" s="78"/>
      <c r="E902" s="78"/>
      <c r="F902" s="78"/>
    </row>
    <row r="903" spans="1:6">
      <c r="A903" s="90" t="s">
        <v>1806</v>
      </c>
      <c r="B903" s="91" t="s">
        <v>215</v>
      </c>
      <c r="C903" s="106">
        <v>3.5360999999999998</v>
      </c>
      <c r="D903" s="78"/>
      <c r="E903" s="78"/>
      <c r="F903" s="78"/>
    </row>
    <row r="904" spans="1:6">
      <c r="A904" s="90" t="s">
        <v>1807</v>
      </c>
      <c r="B904" s="91" t="s">
        <v>215</v>
      </c>
      <c r="C904" s="106">
        <v>3.5173000000000001</v>
      </c>
      <c r="D904" s="78"/>
      <c r="E904" s="78"/>
      <c r="F904" s="78"/>
    </row>
    <row r="905" spans="1:6">
      <c r="A905" s="90" t="s">
        <v>1808</v>
      </c>
      <c r="B905" s="91" t="s">
        <v>215</v>
      </c>
      <c r="C905" s="106">
        <v>3.5104000000000002</v>
      </c>
      <c r="D905" s="78"/>
      <c r="E905" s="78"/>
      <c r="F905" s="78"/>
    </row>
    <row r="906" spans="1:6">
      <c r="A906" s="90" t="s">
        <v>1809</v>
      </c>
      <c r="B906" s="91" t="s">
        <v>215</v>
      </c>
      <c r="C906" s="106">
        <v>3.5104000000000002</v>
      </c>
      <c r="D906" s="78"/>
      <c r="E906" s="78"/>
      <c r="F906" s="78"/>
    </row>
    <row r="907" spans="1:6">
      <c r="A907" s="90" t="s">
        <v>1810</v>
      </c>
      <c r="B907" s="91" t="s">
        <v>215</v>
      </c>
      <c r="C907" s="106">
        <v>3.5104000000000002</v>
      </c>
      <c r="D907" s="78"/>
      <c r="E907" s="78"/>
      <c r="F907" s="78"/>
    </row>
    <row r="908" spans="1:6">
      <c r="A908" s="90" t="s">
        <v>1811</v>
      </c>
      <c r="B908" s="91" t="s">
        <v>215</v>
      </c>
      <c r="C908" s="106">
        <v>3.5104000000000002</v>
      </c>
      <c r="D908" s="78"/>
      <c r="E908" s="78"/>
      <c r="F908" s="78"/>
    </row>
    <row r="909" spans="1:6">
      <c r="A909" s="90" t="s">
        <v>1812</v>
      </c>
      <c r="B909" s="91" t="s">
        <v>215</v>
      </c>
      <c r="C909" s="106">
        <v>3.5104000000000002</v>
      </c>
      <c r="D909" s="78"/>
      <c r="E909" s="78"/>
      <c r="F909" s="78"/>
    </row>
    <row r="910" spans="1:6">
      <c r="A910" s="90" t="s">
        <v>1813</v>
      </c>
      <c r="B910" s="91" t="s">
        <v>215</v>
      </c>
      <c r="C910" s="106">
        <v>3.5104000000000002</v>
      </c>
      <c r="D910" s="78"/>
      <c r="E910" s="78"/>
      <c r="F910" s="78"/>
    </row>
    <row r="911" spans="1:6">
      <c r="A911" s="90" t="s">
        <v>1814</v>
      </c>
      <c r="B911" s="91" t="s">
        <v>215</v>
      </c>
      <c r="C911" s="106">
        <v>3.5104000000000002</v>
      </c>
      <c r="D911" s="78"/>
      <c r="E911" s="78"/>
      <c r="F911" s="78"/>
    </row>
    <row r="912" spans="1:6">
      <c r="A912" s="90" t="s">
        <v>1815</v>
      </c>
      <c r="B912" s="91" t="s">
        <v>215</v>
      </c>
      <c r="C912" s="106">
        <v>3.5104000000000002</v>
      </c>
      <c r="D912" s="78"/>
      <c r="E912" s="78"/>
      <c r="F912" s="78"/>
    </row>
    <row r="913" spans="1:6">
      <c r="A913" s="90" t="s">
        <v>1977</v>
      </c>
      <c r="B913" s="91" t="s">
        <v>2138</v>
      </c>
      <c r="C913" s="106">
        <v>95.834999999999994</v>
      </c>
      <c r="D913" s="78"/>
      <c r="E913" s="78"/>
      <c r="F913" s="78"/>
    </row>
    <row r="914" spans="1:6">
      <c r="A914" s="90" t="s">
        <v>1978</v>
      </c>
      <c r="B914" s="91" t="s">
        <v>2138</v>
      </c>
      <c r="C914" s="106">
        <v>95.834999999999994</v>
      </c>
      <c r="D914" s="78"/>
      <c r="E914" s="78"/>
      <c r="F914" s="78"/>
    </row>
    <row r="915" spans="1:6">
      <c r="A915" s="90" t="s">
        <v>1979</v>
      </c>
      <c r="B915" s="91" t="s">
        <v>2138</v>
      </c>
      <c r="C915" s="106">
        <v>95.834999999999994</v>
      </c>
      <c r="D915" s="78"/>
      <c r="E915" s="78"/>
      <c r="F915" s="78"/>
    </row>
    <row r="916" spans="1:6">
      <c r="A916" s="90" t="s">
        <v>1980</v>
      </c>
      <c r="B916" s="91" t="s">
        <v>2138</v>
      </c>
      <c r="C916" s="106">
        <v>95.834999999999994</v>
      </c>
      <c r="D916" s="78"/>
      <c r="E916" s="78"/>
      <c r="F916" s="78"/>
    </row>
    <row r="917" spans="1:6">
      <c r="A917" s="90" t="s">
        <v>1981</v>
      </c>
      <c r="B917" s="91" t="s">
        <v>2138</v>
      </c>
      <c r="C917" s="106">
        <v>95.834999999999994</v>
      </c>
      <c r="D917" s="78"/>
      <c r="E917" s="78"/>
      <c r="F917" s="78"/>
    </row>
    <row r="918" spans="1:6">
      <c r="A918" s="90" t="s">
        <v>1982</v>
      </c>
      <c r="B918" s="91" t="s">
        <v>2138</v>
      </c>
      <c r="C918" s="106">
        <v>95.834999999999994</v>
      </c>
      <c r="D918" s="78"/>
      <c r="E918" s="78"/>
      <c r="F918" s="78"/>
    </row>
    <row r="919" spans="1:6">
      <c r="A919" s="90" t="s">
        <v>1983</v>
      </c>
      <c r="B919" s="91" t="s">
        <v>2138</v>
      </c>
      <c r="C919" s="106">
        <v>95.834999999999994</v>
      </c>
      <c r="D919" s="78"/>
      <c r="E919" s="78"/>
      <c r="F919" s="78"/>
    </row>
    <row r="920" spans="1:6">
      <c r="A920" s="90" t="s">
        <v>1984</v>
      </c>
      <c r="B920" s="91" t="s">
        <v>2138</v>
      </c>
      <c r="C920" s="106">
        <v>95.834999999999994</v>
      </c>
      <c r="D920" s="78"/>
      <c r="E920" s="78"/>
      <c r="F920" s="78"/>
    </row>
    <row r="921" spans="1:6">
      <c r="A921" s="90" t="s">
        <v>1985</v>
      </c>
      <c r="B921" s="91" t="s">
        <v>2138</v>
      </c>
      <c r="C921" s="106">
        <v>95.834999999999994</v>
      </c>
      <c r="D921" s="78"/>
      <c r="E921" s="78"/>
      <c r="F921" s="78"/>
    </row>
    <row r="922" spans="1:6">
      <c r="A922" s="90" t="s">
        <v>1986</v>
      </c>
      <c r="B922" s="91" t="s">
        <v>2138</v>
      </c>
      <c r="C922" s="106">
        <v>95.834999999999994</v>
      </c>
      <c r="D922" s="78"/>
      <c r="E922" s="78"/>
      <c r="F922" s="78"/>
    </row>
    <row r="923" spans="1:6">
      <c r="A923" s="90" t="s">
        <v>1987</v>
      </c>
      <c r="B923" s="91" t="s">
        <v>2138</v>
      </c>
      <c r="C923" s="106">
        <v>95.834999999999994</v>
      </c>
      <c r="D923" s="78"/>
      <c r="E923" s="78"/>
      <c r="F923" s="78"/>
    </row>
    <row r="924" spans="1:6">
      <c r="A924" s="90" t="s">
        <v>1988</v>
      </c>
      <c r="B924" s="91" t="s">
        <v>2138</v>
      </c>
      <c r="C924" s="106">
        <v>95.834999999999994</v>
      </c>
      <c r="D924" s="78"/>
      <c r="E924" s="78"/>
      <c r="F924" s="78"/>
    </row>
    <row r="925" spans="1:6">
      <c r="A925" s="90" t="s">
        <v>1989</v>
      </c>
      <c r="B925" s="91" t="s">
        <v>2138</v>
      </c>
      <c r="C925" s="106">
        <v>95.834999999999994</v>
      </c>
      <c r="D925" s="78"/>
      <c r="E925" s="78"/>
      <c r="F925" s="78"/>
    </row>
    <row r="926" spans="1:6">
      <c r="A926" s="90" t="s">
        <v>1990</v>
      </c>
      <c r="B926" s="91" t="s">
        <v>2138</v>
      </c>
      <c r="C926" s="106">
        <v>95.834999999999994</v>
      </c>
      <c r="D926" s="78"/>
      <c r="E926" s="78"/>
      <c r="F926" s="78"/>
    </row>
    <row r="927" spans="1:6">
      <c r="A927" s="90" t="s">
        <v>1991</v>
      </c>
      <c r="B927" s="91" t="s">
        <v>2138</v>
      </c>
      <c r="C927" s="106">
        <v>95.834999999999994</v>
      </c>
      <c r="D927" s="78"/>
      <c r="E927" s="78"/>
      <c r="F927" s="78"/>
    </row>
    <row r="928" spans="1:6">
      <c r="A928" s="90" t="s">
        <v>1992</v>
      </c>
      <c r="B928" s="91" t="s">
        <v>2138</v>
      </c>
      <c r="C928" s="106">
        <v>95.834999999999994</v>
      </c>
      <c r="D928" s="78"/>
      <c r="E928" s="78"/>
      <c r="F928" s="78"/>
    </row>
    <row r="929" spans="1:6">
      <c r="A929" s="90" t="s">
        <v>1993</v>
      </c>
      <c r="B929" s="91" t="s">
        <v>2138</v>
      </c>
      <c r="C929" s="106">
        <v>95.834999999999994</v>
      </c>
      <c r="D929" s="78"/>
      <c r="E929" s="78"/>
      <c r="F929" s="78"/>
    </row>
    <row r="930" spans="1:6">
      <c r="A930" s="90" t="s">
        <v>1994</v>
      </c>
      <c r="B930" s="91" t="s">
        <v>2138</v>
      </c>
      <c r="C930" s="106">
        <v>95.834999999999994</v>
      </c>
      <c r="D930" s="78"/>
      <c r="E930" s="78"/>
      <c r="F930" s="78"/>
    </row>
    <row r="931" spans="1:6">
      <c r="A931" s="90" t="s">
        <v>1995</v>
      </c>
      <c r="B931" s="91" t="s">
        <v>2138</v>
      </c>
      <c r="C931" s="106">
        <v>95.834999999999994</v>
      </c>
      <c r="D931" s="78"/>
      <c r="E931" s="78"/>
      <c r="F931" s="78"/>
    </row>
    <row r="932" spans="1:6">
      <c r="A932" s="90" t="s">
        <v>1996</v>
      </c>
      <c r="B932" s="91" t="s">
        <v>2138</v>
      </c>
      <c r="C932" s="106">
        <v>95.834999999999994</v>
      </c>
      <c r="D932" s="78"/>
      <c r="E932" s="78"/>
      <c r="F932" s="78"/>
    </row>
    <row r="933" spans="1:6">
      <c r="A933" s="90" t="s">
        <v>1997</v>
      </c>
      <c r="B933" s="91" t="s">
        <v>2138</v>
      </c>
      <c r="C933" s="106">
        <v>95.834999999999994</v>
      </c>
      <c r="D933" s="78"/>
      <c r="E933" s="78"/>
      <c r="F933" s="78"/>
    </row>
    <row r="934" spans="1:6">
      <c r="A934" s="90" t="s">
        <v>1998</v>
      </c>
      <c r="B934" s="91" t="s">
        <v>2138</v>
      </c>
      <c r="C934" s="106">
        <v>95.834999999999994</v>
      </c>
      <c r="D934" s="78"/>
      <c r="E934" s="78"/>
      <c r="F934" s="78"/>
    </row>
    <row r="935" spans="1:6">
      <c r="A935" s="90" t="s">
        <v>1999</v>
      </c>
      <c r="B935" s="91" t="s">
        <v>2138</v>
      </c>
      <c r="C935" s="106">
        <v>95.834999999999994</v>
      </c>
      <c r="D935" s="78"/>
      <c r="E935" s="78"/>
      <c r="F935" s="78"/>
    </row>
    <row r="936" spans="1:6">
      <c r="A936" s="90" t="s">
        <v>2000</v>
      </c>
      <c r="B936" s="91" t="s">
        <v>2138</v>
      </c>
      <c r="C936" s="106">
        <v>95.834999999999994</v>
      </c>
      <c r="D936" s="78"/>
      <c r="E936" s="78"/>
      <c r="F936" s="78"/>
    </row>
    <row r="937" spans="1:6">
      <c r="A937" s="90" t="s">
        <v>2001</v>
      </c>
      <c r="B937" s="91" t="s">
        <v>2138</v>
      </c>
      <c r="C937" s="106">
        <v>95.834999999999994</v>
      </c>
      <c r="D937" s="78"/>
      <c r="E937" s="78"/>
      <c r="F937" s="78"/>
    </row>
    <row r="938" spans="1:6">
      <c r="A938" s="90" t="s">
        <v>2002</v>
      </c>
      <c r="B938" s="91" t="s">
        <v>2138</v>
      </c>
      <c r="C938" s="106">
        <v>95.834999999999994</v>
      </c>
      <c r="D938" s="78"/>
      <c r="E938" s="78"/>
      <c r="F938" s="78"/>
    </row>
    <row r="939" spans="1:6">
      <c r="A939" s="90" t="s">
        <v>2003</v>
      </c>
      <c r="B939" s="91" t="s">
        <v>2138</v>
      </c>
      <c r="C939" s="106">
        <v>95.834999999999994</v>
      </c>
      <c r="D939" s="78"/>
      <c r="E939" s="78"/>
      <c r="F939" s="78"/>
    </row>
    <row r="940" spans="1:6">
      <c r="A940" s="90" t="s">
        <v>2004</v>
      </c>
      <c r="B940" s="91" t="s">
        <v>2138</v>
      </c>
      <c r="C940" s="106">
        <v>95.834999999999994</v>
      </c>
      <c r="D940" s="78"/>
      <c r="E940" s="78"/>
      <c r="F940" s="78"/>
    </row>
    <row r="941" spans="1:6">
      <c r="A941" s="90" t="s">
        <v>2005</v>
      </c>
      <c r="B941" s="91" t="s">
        <v>2138</v>
      </c>
      <c r="C941" s="106">
        <v>95.834999999999994</v>
      </c>
      <c r="D941" s="78"/>
      <c r="E941" s="78"/>
      <c r="F941" s="78"/>
    </row>
    <row r="942" spans="1:6">
      <c r="A942" s="90" t="s">
        <v>2006</v>
      </c>
      <c r="B942" s="91" t="s">
        <v>2138</v>
      </c>
      <c r="C942" s="106">
        <v>95.834999999999994</v>
      </c>
      <c r="D942" s="78"/>
      <c r="E942" s="78"/>
      <c r="F942" s="78"/>
    </row>
    <row r="943" spans="1:6">
      <c r="A943" s="90" t="s">
        <v>2007</v>
      </c>
      <c r="B943" s="91" t="s">
        <v>2138</v>
      </c>
      <c r="C943" s="106">
        <v>95.834999999999994</v>
      </c>
      <c r="D943" s="78"/>
      <c r="E943" s="78"/>
      <c r="F943" s="78"/>
    </row>
    <row r="944" spans="1:6">
      <c r="A944" s="90" t="s">
        <v>2008</v>
      </c>
      <c r="B944" s="91" t="s">
        <v>2138</v>
      </c>
      <c r="C944" s="106">
        <v>95.834999999999994</v>
      </c>
      <c r="D944" s="78"/>
      <c r="E944" s="78"/>
      <c r="F944" s="78"/>
    </row>
    <row r="945" spans="1:6">
      <c r="A945" s="90" t="s">
        <v>2009</v>
      </c>
      <c r="B945" s="91" t="s">
        <v>2138</v>
      </c>
      <c r="C945" s="106">
        <v>95.834999999999994</v>
      </c>
      <c r="D945" s="78"/>
      <c r="E945" s="78"/>
      <c r="F945" s="78"/>
    </row>
    <row r="946" spans="1:6">
      <c r="A946" s="90" t="s">
        <v>2010</v>
      </c>
      <c r="B946" s="91" t="s">
        <v>2138</v>
      </c>
      <c r="C946" s="106">
        <v>95.834999999999994</v>
      </c>
      <c r="D946" s="78"/>
      <c r="E946" s="78"/>
      <c r="F946" s="78"/>
    </row>
    <row r="947" spans="1:6">
      <c r="A947" s="90" t="s">
        <v>2011</v>
      </c>
      <c r="B947" s="91" t="s">
        <v>2138</v>
      </c>
      <c r="C947" s="106">
        <v>95.834999999999994</v>
      </c>
      <c r="D947" s="78"/>
      <c r="E947" s="78"/>
      <c r="F947" s="78"/>
    </row>
    <row r="948" spans="1:6">
      <c r="A948" s="90" t="s">
        <v>2012</v>
      </c>
      <c r="B948" s="91" t="s">
        <v>2138</v>
      </c>
      <c r="C948" s="106">
        <v>95.834999999999994</v>
      </c>
      <c r="D948" s="78"/>
      <c r="E948" s="78"/>
      <c r="F948" s="78"/>
    </row>
    <row r="949" spans="1:6">
      <c r="A949" s="90" t="s">
        <v>2013</v>
      </c>
      <c r="B949" s="91" t="s">
        <v>2138</v>
      </c>
      <c r="C949" s="106">
        <v>95.834999999999994</v>
      </c>
      <c r="D949" s="78"/>
      <c r="E949" s="78"/>
      <c r="F949" s="78"/>
    </row>
    <row r="950" spans="1:6">
      <c r="A950" s="90" t="s">
        <v>2014</v>
      </c>
      <c r="B950" s="91" t="s">
        <v>2138</v>
      </c>
      <c r="C950" s="106">
        <v>95.834999999999994</v>
      </c>
      <c r="D950" s="78"/>
      <c r="E950" s="78"/>
      <c r="F950" s="78"/>
    </row>
    <row r="951" spans="1:6">
      <c r="A951" s="90" t="s">
        <v>2015</v>
      </c>
      <c r="B951" s="91" t="s">
        <v>2138</v>
      </c>
      <c r="C951" s="106">
        <v>95.834999999999994</v>
      </c>
      <c r="D951" s="78"/>
      <c r="E951" s="78"/>
      <c r="F951" s="78"/>
    </row>
    <row r="952" spans="1:6">
      <c r="A952" s="90" t="s">
        <v>2016</v>
      </c>
      <c r="B952" s="91" t="s">
        <v>2138</v>
      </c>
      <c r="C952" s="106">
        <v>102.7701</v>
      </c>
      <c r="D952" s="78"/>
      <c r="E952" s="78"/>
      <c r="F952" s="78"/>
    </row>
    <row r="953" spans="1:6">
      <c r="A953" s="90" t="s">
        <v>2017</v>
      </c>
      <c r="B953" s="91" t="s">
        <v>2138</v>
      </c>
      <c r="C953" s="106">
        <v>109.9254</v>
      </c>
      <c r="D953" s="78"/>
      <c r="E953" s="78"/>
      <c r="F953" s="78"/>
    </row>
    <row r="954" spans="1:6">
      <c r="A954" s="90" t="s">
        <v>2018</v>
      </c>
      <c r="B954" s="91" t="s">
        <v>2138</v>
      </c>
      <c r="C954" s="106">
        <v>114.4198</v>
      </c>
      <c r="D954" s="78"/>
      <c r="E954" s="78"/>
      <c r="F954" s="78"/>
    </row>
    <row r="955" spans="1:6">
      <c r="A955" s="90" t="s">
        <v>2019</v>
      </c>
      <c r="B955" s="91" t="s">
        <v>2138</v>
      </c>
      <c r="C955" s="106">
        <v>117.9336</v>
      </c>
      <c r="D955" s="78"/>
      <c r="E955" s="78"/>
      <c r="F955" s="78"/>
    </row>
    <row r="956" spans="1:6">
      <c r="A956" s="90" t="s">
        <v>2020</v>
      </c>
      <c r="B956" s="91" t="s">
        <v>2138</v>
      </c>
      <c r="C956" s="106">
        <v>120.8815</v>
      </c>
      <c r="D956" s="78"/>
      <c r="E956" s="78"/>
      <c r="F956" s="78"/>
    </row>
    <row r="957" spans="1:6">
      <c r="A957" s="90" t="s">
        <v>2021</v>
      </c>
      <c r="B957" s="91" t="s">
        <v>2138</v>
      </c>
      <c r="C957" s="106">
        <v>123.44580000000001</v>
      </c>
      <c r="D957" s="78"/>
      <c r="E957" s="78"/>
      <c r="F957" s="78"/>
    </row>
    <row r="958" spans="1:6">
      <c r="A958" s="90" t="s">
        <v>2022</v>
      </c>
      <c r="B958" s="91" t="s">
        <v>2138</v>
      </c>
      <c r="C958" s="106">
        <v>125.72580000000001</v>
      </c>
      <c r="D958" s="78"/>
      <c r="E958" s="78"/>
      <c r="F958" s="78"/>
    </row>
    <row r="959" spans="1:6">
      <c r="A959" s="90" t="s">
        <v>2023</v>
      </c>
      <c r="B959" s="91" t="s">
        <v>2138</v>
      </c>
      <c r="C959" s="106">
        <v>127.7835</v>
      </c>
      <c r="D959" s="78"/>
      <c r="E959" s="78"/>
      <c r="F959" s="78"/>
    </row>
    <row r="960" spans="1:6">
      <c r="A960" s="90" t="s">
        <v>2024</v>
      </c>
      <c r="B960" s="91" t="s">
        <v>2138</v>
      </c>
      <c r="C960" s="106">
        <v>129.6601</v>
      </c>
      <c r="D960" s="78"/>
      <c r="E960" s="78"/>
      <c r="F960" s="78"/>
    </row>
    <row r="961" spans="1:6">
      <c r="A961" s="90" t="s">
        <v>2025</v>
      </c>
      <c r="B961" s="91" t="s">
        <v>2138</v>
      </c>
      <c r="C961" s="106">
        <v>131.3853</v>
      </c>
      <c r="D961" s="78"/>
      <c r="E961" s="78"/>
      <c r="F961" s="78"/>
    </row>
    <row r="962" spans="1:6">
      <c r="A962" s="90" t="s">
        <v>2026</v>
      </c>
      <c r="B962" s="91" t="s">
        <v>2138</v>
      </c>
      <c r="C962" s="106">
        <v>132.98079999999999</v>
      </c>
      <c r="D962" s="78"/>
      <c r="E962" s="78"/>
      <c r="F962" s="78"/>
    </row>
    <row r="963" spans="1:6">
      <c r="A963" s="90" t="s">
        <v>2027</v>
      </c>
      <c r="B963" s="91" t="s">
        <v>2138</v>
      </c>
      <c r="C963" s="106">
        <v>134.4633</v>
      </c>
      <c r="D963" s="78"/>
      <c r="E963" s="78"/>
      <c r="F963" s="78"/>
    </row>
    <row r="964" spans="1:6">
      <c r="A964" s="90" t="s">
        <v>2028</v>
      </c>
      <c r="B964" s="91" t="s">
        <v>2138</v>
      </c>
      <c r="C964" s="106">
        <v>135.846</v>
      </c>
      <c r="D964" s="78"/>
      <c r="E964" s="78"/>
      <c r="F964" s="78"/>
    </row>
    <row r="965" spans="1:6">
      <c r="A965" s="90" t="s">
        <v>2029</v>
      </c>
      <c r="B965" s="91" t="s">
        <v>2138</v>
      </c>
      <c r="C965" s="106">
        <v>137.13929999999999</v>
      </c>
      <c r="D965" s="78"/>
      <c r="E965" s="78"/>
      <c r="F965" s="78"/>
    </row>
    <row r="966" spans="1:6">
      <c r="A966" s="90" t="s">
        <v>2030</v>
      </c>
      <c r="B966" s="91" t="s">
        <v>2138</v>
      </c>
      <c r="C966" s="106">
        <v>138.3519</v>
      </c>
      <c r="D966" s="78"/>
      <c r="E966" s="78"/>
      <c r="F966" s="78"/>
    </row>
    <row r="967" spans="1:6">
      <c r="A967" s="90" t="s">
        <v>2031</v>
      </c>
      <c r="B967" s="91" t="s">
        <v>2138</v>
      </c>
      <c r="C967" s="106">
        <v>139.49080000000001</v>
      </c>
      <c r="D967" s="78"/>
      <c r="E967" s="78"/>
      <c r="F967" s="78"/>
    </row>
    <row r="968" spans="1:6">
      <c r="A968" s="90" t="s">
        <v>2032</v>
      </c>
      <c r="B968" s="91" t="s">
        <v>2138</v>
      </c>
      <c r="C968" s="106">
        <v>140.56190000000001</v>
      </c>
      <c r="D968" s="78"/>
      <c r="E968" s="78"/>
      <c r="F968" s="78"/>
    </row>
    <row r="969" spans="1:6">
      <c r="A969" s="90" t="s">
        <v>2033</v>
      </c>
      <c r="B969" s="91" t="s">
        <v>2138</v>
      </c>
      <c r="C969" s="106">
        <v>141.5701</v>
      </c>
      <c r="D969" s="78"/>
      <c r="E969" s="78"/>
      <c r="F969" s="78"/>
    </row>
    <row r="970" spans="1:6">
      <c r="A970" s="90" t="s">
        <v>2034</v>
      </c>
      <c r="B970" s="91" t="s">
        <v>2138</v>
      </c>
      <c r="C970" s="106">
        <v>142.5198</v>
      </c>
      <c r="D970" s="78"/>
      <c r="E970" s="78"/>
      <c r="F970" s="78"/>
    </row>
    <row r="971" spans="1:6">
      <c r="A971" s="90" t="s">
        <v>2035</v>
      </c>
      <c r="B971" s="91" t="s">
        <v>2138</v>
      </c>
      <c r="C971" s="106">
        <v>143.4144</v>
      </c>
      <c r="D971" s="78"/>
      <c r="E971" s="78"/>
      <c r="F971" s="78"/>
    </row>
    <row r="972" spans="1:6">
      <c r="A972" s="90" t="s">
        <v>2036</v>
      </c>
      <c r="B972" s="91" t="s">
        <v>2138</v>
      </c>
      <c r="C972" s="106">
        <v>144.25720000000001</v>
      </c>
      <c r="D972" s="78"/>
      <c r="E972" s="78"/>
      <c r="F972" s="78"/>
    </row>
    <row r="973" spans="1:6">
      <c r="A973" s="90" t="s">
        <v>2037</v>
      </c>
      <c r="B973" s="91" t="s">
        <v>2138</v>
      </c>
      <c r="C973" s="106">
        <v>145.05090000000001</v>
      </c>
      <c r="D973" s="78"/>
      <c r="E973" s="78"/>
      <c r="F973" s="78"/>
    </row>
    <row r="974" spans="1:6">
      <c r="A974" s="90" t="s">
        <v>2038</v>
      </c>
      <c r="B974" s="91" t="s">
        <v>2138</v>
      </c>
      <c r="C974" s="106">
        <v>145.79769999999999</v>
      </c>
      <c r="D974" s="78"/>
      <c r="E974" s="78"/>
      <c r="F974" s="78"/>
    </row>
    <row r="975" spans="1:6">
      <c r="A975" s="90" t="s">
        <v>2039</v>
      </c>
      <c r="B975" s="91" t="s">
        <v>2138</v>
      </c>
      <c r="C975" s="106">
        <v>146.49979999999999</v>
      </c>
      <c r="D975" s="78"/>
      <c r="E975" s="78"/>
      <c r="F975" s="78"/>
    </row>
    <row r="976" spans="1:6">
      <c r="A976" s="90" t="s">
        <v>2040</v>
      </c>
      <c r="B976" s="91" t="s">
        <v>2138</v>
      </c>
      <c r="C976" s="106">
        <v>147.15899999999999</v>
      </c>
      <c r="D976" s="78"/>
      <c r="E976" s="78"/>
      <c r="F976" s="78"/>
    </row>
    <row r="977" spans="1:6">
      <c r="A977" s="90" t="s">
        <v>2041</v>
      </c>
      <c r="B977" s="91" t="s">
        <v>2138</v>
      </c>
      <c r="C977" s="106">
        <v>147.77680000000001</v>
      </c>
      <c r="D977" s="78"/>
      <c r="E977" s="78"/>
      <c r="F977" s="78"/>
    </row>
    <row r="978" spans="1:6">
      <c r="A978" s="90" t="s">
        <v>2042</v>
      </c>
      <c r="B978" s="91" t="s">
        <v>2138</v>
      </c>
      <c r="C978" s="106">
        <v>148.35470000000001</v>
      </c>
      <c r="D978" s="78"/>
      <c r="E978" s="78"/>
      <c r="F978" s="78"/>
    </row>
    <row r="979" spans="1:6">
      <c r="A979" s="90" t="s">
        <v>2043</v>
      </c>
      <c r="B979" s="91" t="s">
        <v>2138</v>
      </c>
      <c r="C979" s="106">
        <v>148.89400000000001</v>
      </c>
      <c r="D979" s="78"/>
      <c r="E979" s="78"/>
      <c r="F979" s="78"/>
    </row>
    <row r="980" spans="1:6">
      <c r="A980" s="90" t="s">
        <v>2044</v>
      </c>
      <c r="B980" s="91" t="s">
        <v>2138</v>
      </c>
      <c r="C980" s="106">
        <v>149.39580000000001</v>
      </c>
      <c r="D980" s="78"/>
      <c r="E980" s="78"/>
      <c r="F980" s="78"/>
    </row>
    <row r="981" spans="1:6">
      <c r="A981" s="90" t="s">
        <v>2045</v>
      </c>
      <c r="B981" s="91" t="s">
        <v>2138</v>
      </c>
      <c r="C981" s="106">
        <v>149.86109999999999</v>
      </c>
      <c r="D981" s="78"/>
      <c r="E981" s="78"/>
      <c r="F981" s="78"/>
    </row>
    <row r="982" spans="1:6">
      <c r="A982" s="90" t="s">
        <v>2046</v>
      </c>
      <c r="B982" s="91" t="s">
        <v>2138</v>
      </c>
      <c r="C982" s="106">
        <v>150.29089999999999</v>
      </c>
      <c r="D982" s="78"/>
      <c r="E982" s="78"/>
      <c r="F982" s="78"/>
    </row>
    <row r="983" spans="1:6">
      <c r="A983" s="90" t="s">
        <v>2047</v>
      </c>
      <c r="B983" s="91" t="s">
        <v>2138</v>
      </c>
      <c r="C983" s="106">
        <v>150.68610000000001</v>
      </c>
      <c r="D983" s="78"/>
      <c r="E983" s="78"/>
      <c r="F983" s="78"/>
    </row>
    <row r="984" spans="1:6">
      <c r="A984" s="90" t="s">
        <v>2048</v>
      </c>
      <c r="B984" s="91" t="s">
        <v>2138</v>
      </c>
      <c r="C984" s="106">
        <v>151.04740000000001</v>
      </c>
      <c r="D984" s="78"/>
      <c r="E984" s="78"/>
      <c r="F984" s="78"/>
    </row>
    <row r="985" spans="1:6">
      <c r="A985" s="90" t="s">
        <v>2049</v>
      </c>
      <c r="B985" s="91" t="s">
        <v>2138</v>
      </c>
      <c r="C985" s="106">
        <v>151.37559999999999</v>
      </c>
      <c r="D985" s="78"/>
      <c r="E985" s="78"/>
      <c r="F985" s="78"/>
    </row>
    <row r="986" spans="1:6">
      <c r="A986" s="90" t="s">
        <v>2050</v>
      </c>
      <c r="B986" s="91" t="s">
        <v>2138</v>
      </c>
      <c r="C986" s="106">
        <v>151.67150000000001</v>
      </c>
      <c r="D986" s="78"/>
      <c r="E986" s="78"/>
      <c r="F986" s="78"/>
    </row>
    <row r="987" spans="1:6">
      <c r="A987" s="90" t="s">
        <v>2051</v>
      </c>
      <c r="B987" s="91" t="s">
        <v>2138</v>
      </c>
      <c r="C987" s="106">
        <v>151.9357</v>
      </c>
      <c r="D987" s="78"/>
      <c r="E987" s="78"/>
      <c r="F987" s="78"/>
    </row>
    <row r="988" spans="1:6">
      <c r="A988" s="90" t="s">
        <v>2052</v>
      </c>
      <c r="B988" s="91" t="s">
        <v>2138</v>
      </c>
      <c r="C988" s="106">
        <v>152.16890000000001</v>
      </c>
      <c r="D988" s="78"/>
      <c r="E988" s="78"/>
      <c r="F988" s="78"/>
    </row>
    <row r="989" spans="1:6">
      <c r="A989" s="90" t="s">
        <v>2053</v>
      </c>
      <c r="B989" s="91" t="s">
        <v>2138</v>
      </c>
      <c r="C989" s="106">
        <v>152.37180000000001</v>
      </c>
      <c r="D989" s="78"/>
      <c r="E989" s="78"/>
      <c r="F989" s="78"/>
    </row>
    <row r="990" spans="1:6">
      <c r="A990" s="90" t="s">
        <v>2054</v>
      </c>
      <c r="B990" s="91" t="s">
        <v>2138</v>
      </c>
      <c r="C990" s="106">
        <v>152.54499999999999</v>
      </c>
      <c r="D990" s="78"/>
      <c r="E990" s="78"/>
      <c r="F990" s="78"/>
    </row>
    <row r="991" spans="1:6">
      <c r="A991" s="90" t="s">
        <v>2055</v>
      </c>
      <c r="B991" s="91" t="s">
        <v>2138</v>
      </c>
      <c r="C991" s="106">
        <v>152.6891</v>
      </c>
      <c r="D991" s="78"/>
      <c r="E991" s="78"/>
      <c r="F991" s="78"/>
    </row>
    <row r="992" spans="1:6">
      <c r="A992" s="90" t="s">
        <v>2056</v>
      </c>
      <c r="B992" s="91" t="s">
        <v>2138</v>
      </c>
      <c r="C992" s="106">
        <v>152.8049</v>
      </c>
      <c r="D992" s="78"/>
      <c r="E992" s="78"/>
      <c r="F992" s="78"/>
    </row>
    <row r="993" spans="1:6">
      <c r="A993" s="90" t="s">
        <v>2057</v>
      </c>
      <c r="B993" s="91" t="s">
        <v>2138</v>
      </c>
      <c r="C993" s="106">
        <v>152.8929</v>
      </c>
      <c r="D993" s="78"/>
      <c r="E993" s="78"/>
      <c r="F993" s="78"/>
    </row>
    <row r="994" spans="1:6">
      <c r="A994" s="90" t="s">
        <v>2058</v>
      </c>
      <c r="B994" s="91" t="s">
        <v>2138</v>
      </c>
      <c r="C994" s="106">
        <v>152.9538</v>
      </c>
      <c r="D994" s="78"/>
      <c r="E994" s="78"/>
      <c r="F994" s="78"/>
    </row>
    <row r="995" spans="1:6">
      <c r="A995" s="90" t="s">
        <v>2059</v>
      </c>
      <c r="B995" s="91" t="s">
        <v>2138</v>
      </c>
      <c r="C995" s="106">
        <v>152.98820000000001</v>
      </c>
      <c r="D995" s="78"/>
      <c r="E995" s="78"/>
      <c r="F995" s="78"/>
    </row>
    <row r="996" spans="1:6">
      <c r="A996" s="90" t="s">
        <v>2060</v>
      </c>
      <c r="B996" s="91" t="s">
        <v>2138</v>
      </c>
      <c r="C996" s="106">
        <v>152.99680000000001</v>
      </c>
      <c r="D996" s="78"/>
      <c r="E996" s="78"/>
      <c r="F996" s="78"/>
    </row>
    <row r="997" spans="1:6">
      <c r="A997" s="90" t="s">
        <v>2061</v>
      </c>
      <c r="B997" s="91" t="s">
        <v>2138</v>
      </c>
      <c r="C997" s="106">
        <v>152.9803</v>
      </c>
      <c r="D997" s="78"/>
      <c r="E997" s="78"/>
      <c r="F997" s="78"/>
    </row>
    <row r="998" spans="1:6">
      <c r="A998" s="90" t="s">
        <v>2062</v>
      </c>
      <c r="B998" s="91" t="s">
        <v>2138</v>
      </c>
      <c r="C998" s="106">
        <v>152.9393</v>
      </c>
      <c r="D998" s="78"/>
      <c r="E998" s="78"/>
      <c r="F998" s="78"/>
    </row>
    <row r="999" spans="1:6">
      <c r="A999" s="90" t="s">
        <v>2063</v>
      </c>
      <c r="B999" s="91" t="s">
        <v>2138</v>
      </c>
      <c r="C999" s="106">
        <v>152.87440000000001</v>
      </c>
      <c r="D999" s="78"/>
      <c r="E999" s="78"/>
      <c r="F999" s="78"/>
    </row>
    <row r="1000" spans="1:6">
      <c r="A1000" s="90" t="s">
        <v>2064</v>
      </c>
      <c r="B1000" s="91" t="s">
        <v>2138</v>
      </c>
      <c r="C1000" s="106">
        <v>152.78630000000001</v>
      </c>
      <c r="D1000" s="78"/>
      <c r="E1000" s="78"/>
      <c r="F1000" s="78"/>
    </row>
    <row r="1001" spans="1:6">
      <c r="A1001" s="90" t="s">
        <v>2065</v>
      </c>
      <c r="B1001" s="91" t="s">
        <v>2138</v>
      </c>
      <c r="C1001" s="106">
        <v>152.67570000000001</v>
      </c>
      <c r="D1001" s="78"/>
      <c r="E1001" s="78"/>
      <c r="F1001" s="78"/>
    </row>
    <row r="1002" spans="1:6">
      <c r="A1002" s="90" t="s">
        <v>2066</v>
      </c>
      <c r="B1002" s="91" t="s">
        <v>2138</v>
      </c>
      <c r="C1002" s="106">
        <v>152.54310000000001</v>
      </c>
      <c r="D1002" s="78"/>
      <c r="E1002" s="78"/>
      <c r="F1002" s="78"/>
    </row>
    <row r="1003" spans="1:6">
      <c r="A1003" s="90" t="s">
        <v>2067</v>
      </c>
      <c r="B1003" s="91" t="s">
        <v>2138</v>
      </c>
      <c r="C1003" s="106">
        <v>152.38929999999999</v>
      </c>
      <c r="D1003" s="78"/>
      <c r="E1003" s="78"/>
      <c r="F1003" s="78"/>
    </row>
    <row r="1004" spans="1:6">
      <c r="A1004" s="90" t="s">
        <v>2068</v>
      </c>
      <c r="B1004" s="91" t="s">
        <v>2138</v>
      </c>
      <c r="C1004" s="106">
        <v>152.2149</v>
      </c>
      <c r="D1004" s="78"/>
      <c r="E1004" s="78"/>
      <c r="F1004" s="78"/>
    </row>
    <row r="1005" spans="1:6">
      <c r="A1005" s="90" t="s">
        <v>2069</v>
      </c>
      <c r="B1005" s="91" t="s">
        <v>2138</v>
      </c>
      <c r="C1005" s="106">
        <v>152.02029999999999</v>
      </c>
      <c r="D1005" s="78"/>
      <c r="E1005" s="78"/>
      <c r="F1005" s="78"/>
    </row>
    <row r="1006" spans="1:6">
      <c r="A1006" s="90" t="s">
        <v>2070</v>
      </c>
      <c r="B1006" s="91" t="s">
        <v>2138</v>
      </c>
      <c r="C1006" s="106">
        <v>151.8064</v>
      </c>
      <c r="D1006" s="78"/>
      <c r="E1006" s="78"/>
      <c r="F1006" s="78"/>
    </row>
    <row r="1007" spans="1:6">
      <c r="A1007" s="90" t="s">
        <v>2071</v>
      </c>
      <c r="B1007" s="91" t="s">
        <v>2138</v>
      </c>
      <c r="C1007" s="106">
        <v>151.5735</v>
      </c>
      <c r="D1007" s="78"/>
      <c r="E1007" s="78"/>
      <c r="F1007" s="78"/>
    </row>
    <row r="1008" spans="1:6">
      <c r="A1008" s="90" t="s">
        <v>2072</v>
      </c>
      <c r="B1008" s="91" t="s">
        <v>2138</v>
      </c>
      <c r="C1008" s="106">
        <v>151.32220000000001</v>
      </c>
      <c r="D1008" s="78"/>
      <c r="E1008" s="78"/>
      <c r="F1008" s="78"/>
    </row>
    <row r="1009" spans="1:6">
      <c r="A1009" s="90" t="s">
        <v>2073</v>
      </c>
      <c r="B1009" s="91" t="s">
        <v>2138</v>
      </c>
      <c r="C1009" s="106">
        <v>151.0532</v>
      </c>
      <c r="D1009" s="78"/>
      <c r="E1009" s="78"/>
      <c r="F1009" s="78"/>
    </row>
    <row r="1010" spans="1:6">
      <c r="A1010" s="90" t="s">
        <v>2074</v>
      </c>
      <c r="B1010" s="91" t="s">
        <v>2138</v>
      </c>
      <c r="C1010" s="106">
        <v>150.76679999999999</v>
      </c>
      <c r="D1010" s="78"/>
      <c r="E1010" s="78"/>
      <c r="F1010" s="78"/>
    </row>
    <row r="1011" spans="1:6">
      <c r="A1011" s="90" t="s">
        <v>2075</v>
      </c>
      <c r="B1011" s="91" t="s">
        <v>2138</v>
      </c>
      <c r="C1011" s="106">
        <v>150.46360000000001</v>
      </c>
      <c r="D1011" s="78"/>
      <c r="E1011" s="78"/>
      <c r="F1011" s="78"/>
    </row>
    <row r="1012" spans="1:6">
      <c r="A1012" s="90" t="s">
        <v>2076</v>
      </c>
      <c r="B1012" s="91" t="s">
        <v>2138</v>
      </c>
      <c r="C1012" s="106">
        <v>150.14400000000001</v>
      </c>
      <c r="D1012" s="78"/>
      <c r="E1012" s="78"/>
      <c r="F1012" s="78"/>
    </row>
    <row r="1013" spans="1:6">
      <c r="A1013" s="90" t="s">
        <v>2077</v>
      </c>
      <c r="B1013" s="91" t="s">
        <v>2138</v>
      </c>
      <c r="C1013" s="106">
        <v>149.80840000000001</v>
      </c>
      <c r="D1013" s="78"/>
      <c r="E1013" s="78"/>
      <c r="F1013" s="78"/>
    </row>
    <row r="1014" spans="1:6">
      <c r="A1014" s="90" t="s">
        <v>2078</v>
      </c>
      <c r="B1014" s="91" t="s">
        <v>2138</v>
      </c>
      <c r="C1014" s="106">
        <v>149.4572</v>
      </c>
      <c r="D1014" s="78"/>
      <c r="E1014" s="78"/>
      <c r="F1014" s="78"/>
    </row>
    <row r="1015" spans="1:6">
      <c r="A1015" s="90" t="s">
        <v>2079</v>
      </c>
      <c r="B1015" s="91" t="s">
        <v>2138</v>
      </c>
      <c r="C1015" s="106">
        <v>149.0907</v>
      </c>
      <c r="D1015" s="78"/>
      <c r="E1015" s="78"/>
      <c r="F1015" s="78"/>
    </row>
    <row r="1016" spans="1:6">
      <c r="A1016" s="90" t="s">
        <v>2080</v>
      </c>
      <c r="B1016" s="91" t="s">
        <v>2138</v>
      </c>
      <c r="C1016" s="106">
        <v>148.70939999999999</v>
      </c>
      <c r="D1016" s="78"/>
      <c r="E1016" s="78"/>
      <c r="F1016" s="78"/>
    </row>
    <row r="1017" spans="1:6">
      <c r="A1017" s="90" t="s">
        <v>2081</v>
      </c>
      <c r="B1017" s="91" t="s">
        <v>2138</v>
      </c>
      <c r="C1017" s="106">
        <v>148.3134</v>
      </c>
      <c r="D1017" s="78"/>
      <c r="E1017" s="78"/>
      <c r="F1017" s="78"/>
    </row>
    <row r="1018" spans="1:6">
      <c r="A1018" s="90" t="s">
        <v>2082</v>
      </c>
      <c r="B1018" s="91" t="s">
        <v>2138</v>
      </c>
      <c r="C1018" s="106">
        <v>147.90309999999999</v>
      </c>
      <c r="D1018" s="78"/>
      <c r="E1018" s="78"/>
      <c r="F1018" s="78"/>
    </row>
    <row r="1019" spans="1:6">
      <c r="A1019" s="90" t="s">
        <v>2083</v>
      </c>
      <c r="B1019" s="91" t="s">
        <v>2138</v>
      </c>
      <c r="C1019" s="106">
        <v>147.4787</v>
      </c>
      <c r="D1019" s="78"/>
      <c r="E1019" s="78"/>
      <c r="F1019" s="78"/>
    </row>
    <row r="1020" spans="1:6">
      <c r="A1020" s="90" t="s">
        <v>2084</v>
      </c>
      <c r="B1020" s="91" t="s">
        <v>2138</v>
      </c>
      <c r="C1020" s="106">
        <v>147.04040000000001</v>
      </c>
      <c r="D1020" s="78"/>
      <c r="E1020" s="78"/>
      <c r="F1020" s="78"/>
    </row>
    <row r="1021" spans="1:6">
      <c r="A1021" s="90" t="s">
        <v>2085</v>
      </c>
      <c r="B1021" s="91" t="s">
        <v>2138</v>
      </c>
      <c r="C1021" s="106">
        <v>146.5883</v>
      </c>
      <c r="D1021" s="78"/>
      <c r="E1021" s="78"/>
      <c r="F1021" s="78"/>
    </row>
    <row r="1022" spans="1:6">
      <c r="A1022" s="90" t="s">
        <v>2086</v>
      </c>
      <c r="B1022" s="91" t="s">
        <v>2138</v>
      </c>
      <c r="C1022" s="106">
        <v>146.1225</v>
      </c>
      <c r="D1022" s="78"/>
      <c r="E1022" s="78"/>
      <c r="F1022" s="78"/>
    </row>
    <row r="1023" spans="1:6">
      <c r="A1023" s="90" t="s">
        <v>2087</v>
      </c>
      <c r="B1023" s="91" t="s">
        <v>2138</v>
      </c>
      <c r="C1023" s="106">
        <v>145.64320000000001</v>
      </c>
      <c r="D1023" s="78"/>
      <c r="E1023" s="78"/>
      <c r="F1023" s="78"/>
    </row>
    <row r="1024" spans="1:6">
      <c r="A1024" s="90" t="s">
        <v>2088</v>
      </c>
      <c r="B1024" s="91" t="s">
        <v>2138</v>
      </c>
      <c r="C1024" s="106">
        <v>145.15039999999999</v>
      </c>
      <c r="D1024" s="78"/>
      <c r="E1024" s="78"/>
      <c r="F1024" s="78"/>
    </row>
    <row r="1025" spans="1:6">
      <c r="A1025" s="90" t="s">
        <v>2089</v>
      </c>
      <c r="B1025" s="91" t="s">
        <v>2138</v>
      </c>
      <c r="C1025" s="106">
        <v>144.64420000000001</v>
      </c>
      <c r="D1025" s="78"/>
      <c r="E1025" s="78"/>
      <c r="F1025" s="78"/>
    </row>
    <row r="1026" spans="1:6">
      <c r="A1026" s="90" t="s">
        <v>2090</v>
      </c>
      <c r="B1026" s="91" t="s">
        <v>2138</v>
      </c>
      <c r="C1026" s="106">
        <v>144.12440000000001</v>
      </c>
      <c r="D1026" s="78"/>
      <c r="E1026" s="78"/>
      <c r="F1026" s="78"/>
    </row>
    <row r="1027" spans="1:6">
      <c r="A1027" s="90" t="s">
        <v>2091</v>
      </c>
      <c r="B1027" s="91" t="s">
        <v>2138</v>
      </c>
      <c r="C1027" s="106">
        <v>143.59119999999999</v>
      </c>
      <c r="D1027" s="78"/>
      <c r="E1027" s="78"/>
      <c r="F1027" s="78"/>
    </row>
    <row r="1028" spans="1:6">
      <c r="A1028" s="90" t="s">
        <v>2092</v>
      </c>
      <c r="B1028" s="91" t="s">
        <v>2138</v>
      </c>
      <c r="C1028" s="106">
        <v>143.04419999999999</v>
      </c>
      <c r="D1028" s="78"/>
      <c r="E1028" s="78"/>
      <c r="F1028" s="78"/>
    </row>
    <row r="1029" spans="1:6">
      <c r="A1029" s="90" t="s">
        <v>2093</v>
      </c>
      <c r="B1029" s="91" t="s">
        <v>2138</v>
      </c>
      <c r="C1029" s="106">
        <v>142.4836</v>
      </c>
      <c r="D1029" s="78"/>
      <c r="E1029" s="78"/>
      <c r="F1029" s="78"/>
    </row>
    <row r="1030" spans="1:6">
      <c r="A1030" s="90" t="s">
        <v>2094</v>
      </c>
      <c r="B1030" s="91" t="s">
        <v>2138</v>
      </c>
      <c r="C1030" s="106">
        <v>141.90889999999999</v>
      </c>
      <c r="D1030" s="78"/>
      <c r="E1030" s="78"/>
      <c r="F1030" s="78"/>
    </row>
    <row r="1031" spans="1:6">
      <c r="A1031" s="90" t="s">
        <v>2095</v>
      </c>
      <c r="B1031" s="91" t="s">
        <v>2138</v>
      </c>
      <c r="C1031" s="106">
        <v>141.3201</v>
      </c>
      <c r="D1031" s="78"/>
      <c r="E1031" s="78"/>
      <c r="F1031" s="78"/>
    </row>
    <row r="1032" spans="1:6">
      <c r="A1032" s="90" t="s">
        <v>2096</v>
      </c>
      <c r="B1032" s="91" t="s">
        <v>2138</v>
      </c>
      <c r="C1032" s="106">
        <v>140.71680000000001</v>
      </c>
      <c r="D1032" s="78"/>
      <c r="E1032" s="78"/>
      <c r="F1032" s="78"/>
    </row>
    <row r="1033" spans="1:6">
      <c r="A1033" s="90" t="s">
        <v>2097</v>
      </c>
      <c r="B1033" s="91" t="s">
        <v>2138</v>
      </c>
      <c r="C1033" s="106">
        <v>140.09870000000001</v>
      </c>
      <c r="D1033" s="78"/>
      <c r="E1033" s="78"/>
      <c r="F1033" s="78"/>
    </row>
    <row r="1034" spans="1:6">
      <c r="A1034" s="90" t="s">
        <v>2098</v>
      </c>
      <c r="B1034" s="91" t="s">
        <v>2138</v>
      </c>
      <c r="C1034" s="106">
        <v>139.46549999999999</v>
      </c>
      <c r="D1034" s="78"/>
      <c r="E1034" s="78"/>
      <c r="F1034" s="78"/>
    </row>
    <row r="1035" spans="1:6">
      <c r="A1035" s="90" t="s">
        <v>2099</v>
      </c>
      <c r="B1035" s="91" t="s">
        <v>2138</v>
      </c>
      <c r="C1035" s="106">
        <v>138.8167</v>
      </c>
      <c r="D1035" s="78"/>
      <c r="E1035" s="78"/>
      <c r="F1035" s="78"/>
    </row>
    <row r="1036" spans="1:6">
      <c r="A1036" s="90" t="s">
        <v>2100</v>
      </c>
      <c r="B1036" s="91" t="s">
        <v>2138</v>
      </c>
      <c r="C1036" s="106">
        <v>138.15190000000001</v>
      </c>
      <c r="D1036" s="78"/>
      <c r="E1036" s="78"/>
      <c r="F1036" s="78"/>
    </row>
    <row r="1037" spans="1:6">
      <c r="A1037" s="90" t="s">
        <v>2101</v>
      </c>
      <c r="B1037" s="91" t="s">
        <v>2138</v>
      </c>
      <c r="C1037" s="106">
        <v>137.65209999999999</v>
      </c>
      <c r="D1037" s="78"/>
      <c r="E1037" s="78"/>
      <c r="F1037" s="78"/>
    </row>
    <row r="1038" spans="1:6">
      <c r="A1038" s="90" t="s">
        <v>2102</v>
      </c>
      <c r="B1038" s="91" t="s">
        <v>2138</v>
      </c>
      <c r="C1038" s="106">
        <v>137.18170000000001</v>
      </c>
      <c r="D1038" s="78"/>
      <c r="E1038" s="78"/>
      <c r="F1038" s="78"/>
    </row>
    <row r="1039" spans="1:6">
      <c r="A1039" s="90" t="s">
        <v>2103</v>
      </c>
      <c r="B1039" s="91" t="s">
        <v>2138</v>
      </c>
      <c r="C1039" s="106">
        <v>136.72229999999999</v>
      </c>
      <c r="D1039" s="78"/>
      <c r="E1039" s="78"/>
      <c r="F1039" s="78"/>
    </row>
    <row r="1040" spans="1:6">
      <c r="A1040" s="90" t="s">
        <v>2104</v>
      </c>
      <c r="B1040" s="91" t="s">
        <v>2138</v>
      </c>
      <c r="C1040" s="106">
        <v>136.27359999999999</v>
      </c>
      <c r="D1040" s="78"/>
      <c r="E1040" s="78"/>
      <c r="F1040" s="78"/>
    </row>
    <row r="1041" spans="1:6">
      <c r="A1041" s="90" t="s">
        <v>2105</v>
      </c>
      <c r="B1041" s="91" t="s">
        <v>2138</v>
      </c>
      <c r="C1041" s="106">
        <v>135.83500000000001</v>
      </c>
      <c r="D1041" s="78"/>
      <c r="E1041" s="78"/>
      <c r="F1041" s="78"/>
    </row>
    <row r="1042" spans="1:6">
      <c r="A1042" s="90" t="s">
        <v>2106</v>
      </c>
      <c r="B1042" s="91" t="s">
        <v>2138</v>
      </c>
      <c r="C1042" s="106">
        <v>135.40610000000001</v>
      </c>
      <c r="D1042" s="78"/>
      <c r="E1042" s="78"/>
      <c r="F1042" s="78"/>
    </row>
    <row r="1043" spans="1:6">
      <c r="A1043" s="90" t="s">
        <v>2107</v>
      </c>
      <c r="B1043" s="91" t="s">
        <v>2138</v>
      </c>
      <c r="C1043" s="106">
        <v>134.98670000000001</v>
      </c>
      <c r="D1043" s="78"/>
      <c r="E1043" s="78"/>
      <c r="F1043" s="78"/>
    </row>
    <row r="1044" spans="1:6">
      <c r="A1044" s="90" t="s">
        <v>2108</v>
      </c>
      <c r="B1044" s="91" t="s">
        <v>2138</v>
      </c>
      <c r="C1044" s="106">
        <v>134.5762</v>
      </c>
      <c r="D1044" s="78"/>
      <c r="E1044" s="78"/>
      <c r="F1044" s="78"/>
    </row>
    <row r="1045" spans="1:6">
      <c r="A1045" s="90" t="s">
        <v>2109</v>
      </c>
      <c r="B1045" s="91" t="s">
        <v>2138</v>
      </c>
      <c r="C1045" s="106">
        <v>134.17439999999999</v>
      </c>
      <c r="D1045" s="78"/>
      <c r="E1045" s="78"/>
      <c r="F1045" s="78"/>
    </row>
    <row r="1046" spans="1:6">
      <c r="A1046" s="90" t="s">
        <v>2110</v>
      </c>
      <c r="B1046" s="91" t="s">
        <v>2138</v>
      </c>
      <c r="C1046" s="106">
        <v>133.78100000000001</v>
      </c>
      <c r="D1046" s="78"/>
      <c r="E1046" s="78"/>
      <c r="F1046" s="78"/>
    </row>
    <row r="1047" spans="1:6">
      <c r="A1047" s="90" t="s">
        <v>2111</v>
      </c>
      <c r="B1047" s="91" t="s">
        <v>2138</v>
      </c>
      <c r="C1047" s="106">
        <v>133.39570000000001</v>
      </c>
      <c r="D1047" s="78"/>
      <c r="E1047" s="78"/>
      <c r="F1047" s="78"/>
    </row>
    <row r="1048" spans="1:6">
      <c r="A1048" s="90" t="s">
        <v>2112</v>
      </c>
      <c r="B1048" s="91" t="s">
        <v>2138</v>
      </c>
      <c r="C1048" s="106">
        <v>133.0181</v>
      </c>
      <c r="D1048" s="78"/>
      <c r="E1048" s="78"/>
      <c r="F1048" s="78"/>
    </row>
    <row r="1049" spans="1:6">
      <c r="A1049" s="90" t="s">
        <v>2113</v>
      </c>
      <c r="B1049" s="91" t="s">
        <v>2138</v>
      </c>
      <c r="C1049" s="106">
        <v>132.648</v>
      </c>
      <c r="D1049" s="78"/>
      <c r="E1049" s="78"/>
      <c r="F1049" s="78"/>
    </row>
    <row r="1050" spans="1:6">
      <c r="A1050" s="90" t="s">
        <v>2114</v>
      </c>
      <c r="B1050" s="91" t="s">
        <v>2138</v>
      </c>
      <c r="C1050" s="106">
        <v>132.2852</v>
      </c>
      <c r="D1050" s="78"/>
      <c r="E1050" s="78"/>
      <c r="F1050" s="78"/>
    </row>
    <row r="1051" spans="1:6">
      <c r="A1051" s="90" t="s">
        <v>2115</v>
      </c>
      <c r="B1051" s="91" t="s">
        <v>2138</v>
      </c>
      <c r="C1051" s="106">
        <v>131.92939999999999</v>
      </c>
      <c r="D1051" s="78"/>
      <c r="E1051" s="78"/>
      <c r="F1051" s="78"/>
    </row>
    <row r="1052" spans="1:6">
      <c r="A1052" s="90" t="s">
        <v>2116</v>
      </c>
      <c r="B1052" s="91" t="s">
        <v>2138</v>
      </c>
      <c r="C1052" s="106">
        <v>131.58029999999999</v>
      </c>
      <c r="D1052" s="78"/>
      <c r="E1052" s="78"/>
      <c r="F1052" s="78"/>
    </row>
    <row r="1053" spans="1:6">
      <c r="A1053" s="90" t="s">
        <v>2117</v>
      </c>
      <c r="B1053" s="91" t="s">
        <v>2138</v>
      </c>
      <c r="C1053" s="106">
        <v>131.23779999999999</v>
      </c>
      <c r="D1053" s="78"/>
      <c r="E1053" s="78"/>
      <c r="F1053" s="78"/>
    </row>
    <row r="1054" spans="1:6">
      <c r="A1054" s="90" t="s">
        <v>2118</v>
      </c>
      <c r="B1054" s="91" t="s">
        <v>2138</v>
      </c>
      <c r="C1054" s="106">
        <v>130.90170000000001</v>
      </c>
      <c r="D1054" s="78"/>
      <c r="E1054" s="78"/>
      <c r="F1054" s="78"/>
    </row>
    <row r="1055" spans="1:6">
      <c r="A1055" s="90" t="s">
        <v>2119</v>
      </c>
      <c r="B1055" s="91" t="s">
        <v>2138</v>
      </c>
      <c r="C1055" s="106">
        <v>130.57169999999999</v>
      </c>
      <c r="D1055" s="78"/>
      <c r="E1055" s="78"/>
      <c r="F1055" s="78"/>
    </row>
    <row r="1056" spans="1:6">
      <c r="A1056" s="90" t="s">
        <v>2120</v>
      </c>
      <c r="B1056" s="91" t="s">
        <v>2138</v>
      </c>
      <c r="C1056" s="106">
        <v>130.24760000000001</v>
      </c>
      <c r="D1056" s="78"/>
      <c r="E1056" s="78"/>
      <c r="F1056" s="78"/>
    </row>
    <row r="1057" spans="1:6">
      <c r="A1057" s="90" t="s">
        <v>2121</v>
      </c>
      <c r="B1057" s="91" t="s">
        <v>2138</v>
      </c>
      <c r="C1057" s="106">
        <v>129.92939999999999</v>
      </c>
      <c r="D1057" s="78"/>
      <c r="E1057" s="78"/>
      <c r="F1057" s="78"/>
    </row>
    <row r="1058" spans="1:6">
      <c r="A1058" s="90" t="s">
        <v>2122</v>
      </c>
      <c r="B1058" s="91" t="s">
        <v>2138</v>
      </c>
      <c r="C1058" s="106">
        <v>129.61670000000001</v>
      </c>
      <c r="D1058" s="78"/>
      <c r="E1058" s="78"/>
      <c r="F1058" s="78"/>
    </row>
    <row r="1059" spans="1:6">
      <c r="A1059" s="90" t="s">
        <v>2123</v>
      </c>
      <c r="B1059" s="91" t="s">
        <v>2138</v>
      </c>
      <c r="C1059" s="106">
        <v>129.30950000000001</v>
      </c>
      <c r="D1059" s="78"/>
      <c r="E1059" s="78"/>
      <c r="F1059" s="78"/>
    </row>
    <row r="1060" spans="1:6">
      <c r="A1060" s="90" t="s">
        <v>2124</v>
      </c>
      <c r="B1060" s="91" t="s">
        <v>2138</v>
      </c>
      <c r="C1060" s="106">
        <v>129.00749999999999</v>
      </c>
      <c r="D1060" s="78"/>
      <c r="E1060" s="78"/>
      <c r="F1060" s="78"/>
    </row>
    <row r="1061" spans="1:6">
      <c r="A1061" s="90" t="s">
        <v>2125</v>
      </c>
      <c r="B1061" s="91" t="s">
        <v>2138</v>
      </c>
      <c r="C1061" s="106">
        <v>128.7107</v>
      </c>
      <c r="D1061" s="78"/>
      <c r="E1061" s="78"/>
      <c r="F1061" s="78"/>
    </row>
    <row r="1062" spans="1:6">
      <c r="A1062" s="90" t="s">
        <v>2126</v>
      </c>
      <c r="B1062" s="91" t="s">
        <v>2138</v>
      </c>
      <c r="C1062" s="106">
        <v>128.41890000000001</v>
      </c>
      <c r="D1062" s="78"/>
      <c r="E1062" s="78"/>
      <c r="F1062" s="78"/>
    </row>
    <row r="1063" spans="1:6">
      <c r="A1063" s="90" t="s">
        <v>2127</v>
      </c>
      <c r="B1063" s="91" t="s">
        <v>2138</v>
      </c>
      <c r="C1063" s="106">
        <v>128.1319</v>
      </c>
      <c r="D1063" s="78"/>
      <c r="E1063" s="78"/>
      <c r="F1063" s="78"/>
    </row>
    <row r="1064" spans="1:6">
      <c r="A1064" s="90" t="s">
        <v>2128</v>
      </c>
      <c r="B1064" s="91" t="s">
        <v>2138</v>
      </c>
      <c r="C1064" s="106">
        <v>127.8496</v>
      </c>
      <c r="D1064" s="78"/>
      <c r="E1064" s="78"/>
      <c r="F1064" s="78"/>
    </row>
    <row r="1065" spans="1:6">
      <c r="A1065" s="90" t="s">
        <v>2129</v>
      </c>
      <c r="B1065" s="91" t="s">
        <v>2138</v>
      </c>
      <c r="C1065" s="106">
        <v>127.5719</v>
      </c>
      <c r="D1065" s="78"/>
      <c r="E1065" s="78"/>
      <c r="F1065" s="78"/>
    </row>
    <row r="1066" spans="1:6">
      <c r="A1066" s="90" t="s">
        <v>2130</v>
      </c>
      <c r="B1066" s="91" t="s">
        <v>2138</v>
      </c>
      <c r="C1066" s="106">
        <v>127.2987</v>
      </c>
      <c r="D1066" s="78"/>
      <c r="E1066" s="78"/>
      <c r="F1066" s="78"/>
    </row>
    <row r="1067" spans="1:6">
      <c r="A1067" s="90" t="s">
        <v>2131</v>
      </c>
      <c r="B1067" s="91" t="s">
        <v>2138</v>
      </c>
      <c r="C1067" s="106">
        <v>127.02979999999999</v>
      </c>
      <c r="D1067" s="78"/>
      <c r="E1067" s="78"/>
      <c r="F1067" s="78"/>
    </row>
    <row r="1068" spans="1:6">
      <c r="A1068" s="90" t="s">
        <v>2132</v>
      </c>
      <c r="B1068" s="91" t="s">
        <v>2138</v>
      </c>
      <c r="C1068" s="106">
        <v>126.76519999999999</v>
      </c>
      <c r="D1068" s="78"/>
      <c r="E1068" s="78"/>
      <c r="F1068" s="78"/>
    </row>
    <row r="1069" spans="1:6">
      <c r="A1069" s="90" t="s">
        <v>2133</v>
      </c>
      <c r="B1069" s="91" t="s">
        <v>2138</v>
      </c>
      <c r="C1069" s="106">
        <v>126.5046</v>
      </c>
      <c r="D1069" s="78"/>
      <c r="E1069" s="78"/>
      <c r="F1069" s="78"/>
    </row>
    <row r="1070" spans="1:6">
      <c r="A1070" s="90" t="s">
        <v>2134</v>
      </c>
      <c r="B1070" s="91" t="s">
        <v>2138</v>
      </c>
      <c r="C1070" s="106">
        <v>126.24809999999999</v>
      </c>
      <c r="D1070" s="78"/>
      <c r="E1070" s="78"/>
      <c r="F1070" s="78"/>
    </row>
    <row r="1071" spans="1:6">
      <c r="A1071" s="90" t="s">
        <v>2135</v>
      </c>
      <c r="B1071" s="91" t="s">
        <v>2138</v>
      </c>
      <c r="C1071" s="106">
        <v>125.99550000000001</v>
      </c>
      <c r="D1071" s="78"/>
      <c r="E1071" s="78"/>
      <c r="F1071" s="78"/>
    </row>
    <row r="1072" spans="1:6">
      <c r="A1072" s="90" t="s">
        <v>2136</v>
      </c>
      <c r="B1072" s="91" t="s">
        <v>2138</v>
      </c>
      <c r="C1072" s="106">
        <v>125.7467</v>
      </c>
      <c r="D1072" s="78"/>
      <c r="E1072" s="78"/>
      <c r="F1072" s="78"/>
    </row>
    <row r="1073" spans="1:6">
      <c r="A1073" s="90" t="s">
        <v>2137</v>
      </c>
      <c r="B1073" s="91" t="s">
        <v>2138</v>
      </c>
      <c r="C1073" s="106">
        <v>125.5017</v>
      </c>
      <c r="D1073" s="78"/>
      <c r="E1073" s="78"/>
      <c r="F1073" s="78"/>
    </row>
  </sheetData>
  <mergeCells count="18">
    <mergeCell ref="A217:F217"/>
    <mergeCell ref="A357:F357"/>
    <mergeCell ref="A1:F1"/>
    <mergeCell ref="A42:F42"/>
    <mergeCell ref="A141:F141"/>
    <mergeCell ref="A172:F172"/>
    <mergeCell ref="A192:F192"/>
    <mergeCell ref="A6:F6"/>
    <mergeCell ref="A16:F16"/>
    <mergeCell ref="A24:F24"/>
    <mergeCell ref="A26:F26"/>
    <mergeCell ref="A32:F32"/>
    <mergeCell ref="A365:F365"/>
    <mergeCell ref="A376:F376"/>
    <mergeCell ref="A384:F384"/>
    <mergeCell ref="A424:F424"/>
    <mergeCell ref="A589:F589"/>
    <mergeCell ref="A418:F418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2"/>
  <dimension ref="A1:Z44"/>
  <sheetViews>
    <sheetView zoomScale="85" zoomScaleNormal="85" workbookViewId="0">
      <pane ySplit="5" topLeftCell="A6" activePane="bottomLeft" state="frozen"/>
      <selection activeCell="A285" sqref="A285"/>
      <selection pane="bottomLeft" activeCell="F22" sqref="F22"/>
    </sheetView>
  </sheetViews>
  <sheetFormatPr defaultRowHeight="15"/>
  <cols>
    <col min="1" max="1" width="10.28515625" style="9" bestFit="1" customWidth="1"/>
    <col min="2" max="2" width="6" hidden="1" customWidth="1"/>
    <col min="3" max="3" width="68.42578125" style="42" customWidth="1"/>
    <col min="4" max="4" width="8" bestFit="1" customWidth="1"/>
    <col min="5" max="5" width="14.28515625" customWidth="1"/>
    <col min="6" max="6" width="92.7109375" customWidth="1"/>
    <col min="7" max="7" width="12.140625" customWidth="1"/>
    <col min="8" max="8" width="11.7109375" bestFit="1" customWidth="1"/>
    <col min="9" max="10" width="23.5703125" style="11" customWidth="1"/>
    <col min="11" max="11" width="20.42578125" style="11" customWidth="1"/>
    <col min="12" max="26" width="9.140625" style="11"/>
  </cols>
  <sheetData>
    <row r="1" spans="1:26" ht="28.5" customHeight="1">
      <c r="C1" s="114" t="s">
        <v>1092</v>
      </c>
      <c r="D1" s="114"/>
      <c r="E1" s="114"/>
      <c r="F1" s="114"/>
      <c r="G1" s="114"/>
      <c r="H1" s="114"/>
      <c r="I1" s="114"/>
      <c r="J1" s="10"/>
      <c r="K1" s="10"/>
      <c r="L1" s="10"/>
      <c r="M1" s="10"/>
      <c r="N1" s="10"/>
      <c r="O1" s="10"/>
      <c r="P1" s="10"/>
      <c r="Q1" s="10"/>
    </row>
    <row r="2" spans="1:26" s="9" customFormat="1" ht="12.75" customHeight="1">
      <c r="C2" s="40"/>
      <c r="D2" s="16"/>
      <c r="E2" s="16"/>
      <c r="F2" s="16"/>
      <c r="G2" s="16"/>
      <c r="H2" s="16"/>
      <c r="I2" s="13"/>
      <c r="J2" s="16"/>
      <c r="K2" s="16"/>
      <c r="L2" s="16"/>
      <c r="M2" s="16"/>
      <c r="N2" s="16"/>
      <c r="O2" s="16"/>
      <c r="P2" s="16"/>
      <c r="Q2" s="16"/>
      <c r="R2" s="13"/>
      <c r="S2" s="13"/>
      <c r="T2" s="13"/>
      <c r="U2" s="13"/>
      <c r="V2" s="13"/>
      <c r="W2" s="13"/>
      <c r="X2" s="13"/>
      <c r="Y2" s="13"/>
      <c r="Z2" s="13"/>
    </row>
    <row r="3" spans="1:26" s="9" customFormat="1" ht="19.5" customHeight="1">
      <c r="A3" s="23"/>
      <c r="B3" s="23"/>
      <c r="C3" s="115" t="s">
        <v>194</v>
      </c>
      <c r="D3" s="115"/>
      <c r="E3" s="24">
        <f>SUM(E6:E1542)</f>
        <v>2</v>
      </c>
      <c r="F3" s="24"/>
      <c r="G3" s="24"/>
      <c r="H3" s="24"/>
      <c r="I3" s="25"/>
      <c r="J3" s="16"/>
      <c r="K3" s="16"/>
      <c r="L3" s="16"/>
      <c r="M3" s="16"/>
      <c r="N3" s="16"/>
      <c r="O3" s="16"/>
      <c r="P3" s="16"/>
      <c r="Q3" s="16"/>
      <c r="R3" s="13"/>
      <c r="S3" s="13"/>
      <c r="T3" s="13"/>
      <c r="U3" s="13"/>
      <c r="V3" s="13"/>
      <c r="W3" s="13"/>
      <c r="X3" s="13"/>
      <c r="Y3" s="13"/>
      <c r="Z3" s="13"/>
    </row>
    <row r="4" spans="1:26" s="9" customFormat="1" ht="12.75" customHeight="1">
      <c r="A4" s="23"/>
      <c r="B4" s="23"/>
      <c r="C4" s="41"/>
      <c r="D4" s="24"/>
      <c r="E4" s="24"/>
      <c r="F4" s="26"/>
      <c r="G4" s="27"/>
      <c r="H4" s="27"/>
      <c r="I4" s="27"/>
      <c r="J4" s="16"/>
      <c r="K4" s="16"/>
      <c r="L4" s="16"/>
      <c r="M4" s="16"/>
      <c r="N4" s="16"/>
      <c r="O4" s="16"/>
      <c r="P4" s="16"/>
      <c r="Q4" s="16"/>
      <c r="R4" s="13"/>
      <c r="S4" s="13"/>
      <c r="T4" s="13"/>
      <c r="U4" s="13"/>
      <c r="V4" s="13"/>
      <c r="W4" s="13"/>
      <c r="X4" s="13"/>
      <c r="Y4" s="13"/>
      <c r="Z4" s="13"/>
    </row>
    <row r="5" spans="1:26" s="9" customFormat="1" ht="18.75" customHeight="1">
      <c r="A5" s="24" t="s">
        <v>196</v>
      </c>
      <c r="B5" s="23"/>
      <c r="C5" s="41" t="s">
        <v>16</v>
      </c>
      <c r="D5" s="24" t="s">
        <v>193</v>
      </c>
      <c r="E5" s="24" t="s">
        <v>192</v>
      </c>
      <c r="F5" s="24" t="s">
        <v>17</v>
      </c>
      <c r="G5" s="27"/>
      <c r="H5" s="27" t="s">
        <v>1094</v>
      </c>
      <c r="I5" s="27"/>
      <c r="J5" s="27"/>
      <c r="K5" s="16"/>
      <c r="L5" s="16"/>
      <c r="M5" s="16"/>
      <c r="N5" s="16"/>
      <c r="O5" s="16"/>
      <c r="P5" s="16"/>
      <c r="Q5" s="16"/>
      <c r="R5" s="13"/>
      <c r="S5" s="13"/>
      <c r="T5" s="13"/>
      <c r="U5" s="13"/>
      <c r="V5" s="13"/>
      <c r="W5" s="13"/>
      <c r="X5" s="13"/>
      <c r="Y5" s="13"/>
      <c r="Z5" s="13"/>
    </row>
    <row r="6" spans="1:26" s="9" customFormat="1" ht="20.25" customHeight="1">
      <c r="A6" s="22" t="str">
        <f>IF(B6&lt;&gt;B5,B6,"")</f>
        <v/>
      </c>
      <c r="C6" s="44" t="s">
        <v>1091</v>
      </c>
      <c r="D6" s="21"/>
      <c r="E6" s="21"/>
      <c r="F6" s="21"/>
      <c r="G6" s="21"/>
      <c r="H6" s="21" t="str">
        <f>IF(G6&lt;&gt;"",DEC2HEX(G6,4),"")</f>
        <v/>
      </c>
      <c r="I6" s="21"/>
      <c r="J6" s="21"/>
      <c r="K6" s="16"/>
      <c r="L6" s="16"/>
      <c r="M6" s="16"/>
      <c r="N6" s="16"/>
      <c r="O6" s="16"/>
      <c r="P6" s="16"/>
      <c r="Q6" s="16"/>
      <c r="R6" s="13"/>
      <c r="S6" s="13"/>
      <c r="T6" s="13"/>
      <c r="U6" s="13"/>
      <c r="V6" s="13"/>
      <c r="W6" s="13"/>
      <c r="X6" s="13"/>
      <c r="Y6" s="13"/>
      <c r="Z6" s="13"/>
    </row>
    <row r="7" spans="1:26" ht="15" customHeight="1">
      <c r="A7" s="22">
        <v>0</v>
      </c>
      <c r="B7" s="9">
        <v>0</v>
      </c>
      <c r="C7" s="45" t="s">
        <v>1093</v>
      </c>
      <c r="D7" t="s">
        <v>58</v>
      </c>
      <c r="E7">
        <f>IF(OR(D7="sint64",D7="uint64",D7="double64"), 8, IF(OR(D7="sint32",D7="uint32",D7="float32"),4,IF(OR(D7="sint16",D7="uint16"),2,  IF(OR(D7="sint8",D7="uint8"),1,""))))</f>
        <v>1</v>
      </c>
      <c r="F7" s="2" t="s">
        <v>1095</v>
      </c>
      <c r="H7" s="11">
        <v>1</v>
      </c>
      <c r="I7" s="9"/>
    </row>
    <row r="8" spans="1:26" ht="15" customHeight="1">
      <c r="A8" s="22">
        <v>1</v>
      </c>
      <c r="B8" s="9">
        <f>IF(H8&lt;&gt;"",B7+1,B7)</f>
        <v>1</v>
      </c>
      <c r="C8" s="45" t="s">
        <v>1091</v>
      </c>
      <c r="D8" t="s">
        <v>58</v>
      </c>
      <c r="E8">
        <f>IF(OR(D8="sint64",D8="uint64",D8="double64"), 8, IF(OR(D8="sint32",D8="uint32",D8="float32"),4,IF(OR(D8="sint16",D8="uint16"),2,  IF(OR(D8="sint8",D8="uint8"),1,""))))</f>
        <v>1</v>
      </c>
      <c r="F8" s="2" t="s">
        <v>1095</v>
      </c>
      <c r="H8" s="11">
        <v>1</v>
      </c>
      <c r="I8" s="9"/>
    </row>
    <row r="9" spans="1:26" ht="15" customHeight="1">
      <c r="A9" s="22"/>
      <c r="B9" s="9"/>
      <c r="C9" s="45"/>
      <c r="F9" s="2"/>
      <c r="H9" s="11"/>
      <c r="I9" s="9"/>
    </row>
    <row r="10" spans="1:26" ht="15" customHeight="1">
      <c r="A10" s="22"/>
      <c r="B10" s="9"/>
      <c r="C10" s="45"/>
      <c r="F10" s="2"/>
      <c r="H10" s="11"/>
      <c r="I10" s="9"/>
    </row>
    <row r="11" spans="1:26" ht="15" customHeight="1">
      <c r="A11" s="22"/>
      <c r="B11" s="9"/>
      <c r="C11" s="45"/>
      <c r="F11" s="2"/>
      <c r="H11" s="11"/>
      <c r="I11" s="9"/>
    </row>
    <row r="12" spans="1:26" ht="15" customHeight="1">
      <c r="A12" s="22"/>
      <c r="B12" s="9"/>
      <c r="C12" s="45"/>
      <c r="F12" s="2"/>
      <c r="H12" s="11"/>
      <c r="I12" s="9"/>
    </row>
    <row r="13" spans="1:26" ht="15" customHeight="1">
      <c r="A13" s="22"/>
      <c r="B13" s="9"/>
      <c r="C13" s="45"/>
      <c r="F13" s="2"/>
      <c r="H13" s="11"/>
      <c r="I13" s="9"/>
    </row>
    <row r="14" spans="1:26" ht="15" customHeight="1">
      <c r="A14" s="22"/>
      <c r="B14" s="9"/>
      <c r="C14" s="45"/>
      <c r="F14" s="2"/>
      <c r="H14" s="11"/>
      <c r="I14" s="9"/>
    </row>
    <row r="15" spans="1:26" ht="15" customHeight="1">
      <c r="A15" s="22"/>
      <c r="B15" s="9"/>
      <c r="C15" s="45"/>
      <c r="F15" s="2"/>
      <c r="H15" s="11"/>
      <c r="I15" s="9"/>
    </row>
    <row r="16" spans="1:26" ht="15" customHeight="1">
      <c r="A16" s="22"/>
      <c r="B16" s="9"/>
      <c r="C16" s="45"/>
      <c r="F16" s="2"/>
      <c r="H16" s="11"/>
      <c r="I16" s="9"/>
    </row>
    <row r="17" spans="1:9" ht="15" customHeight="1">
      <c r="A17" s="22"/>
      <c r="B17" s="9"/>
      <c r="C17" s="45"/>
      <c r="F17" s="2"/>
      <c r="H17" s="11"/>
      <c r="I17" s="9"/>
    </row>
    <row r="18" spans="1:9" ht="15" customHeight="1">
      <c r="A18" s="22"/>
      <c r="B18" s="9"/>
      <c r="C18" s="45"/>
      <c r="F18" s="2"/>
      <c r="H18" s="11"/>
      <c r="I18" s="9"/>
    </row>
    <row r="19" spans="1:9" ht="15" customHeight="1">
      <c r="A19" s="22"/>
      <c r="B19" s="9"/>
      <c r="C19" s="45"/>
      <c r="F19" s="2"/>
      <c r="H19" s="11"/>
      <c r="I19" s="9"/>
    </row>
    <row r="20" spans="1:9" ht="15" customHeight="1">
      <c r="A20" s="22"/>
      <c r="B20" s="9"/>
      <c r="C20" s="45"/>
      <c r="F20" s="2"/>
      <c r="H20" s="11"/>
      <c r="I20" s="9"/>
    </row>
    <row r="21" spans="1:9" ht="15" customHeight="1">
      <c r="A21" s="22"/>
      <c r="B21" s="9"/>
      <c r="C21" s="45"/>
      <c r="F21" s="2"/>
      <c r="H21" s="11"/>
      <c r="I21" s="9"/>
    </row>
    <row r="22" spans="1:9" ht="15" customHeight="1">
      <c r="A22" s="22"/>
      <c r="B22" s="9"/>
      <c r="C22" s="45"/>
      <c r="F22" s="2"/>
      <c r="H22" s="11"/>
      <c r="I22" s="9"/>
    </row>
    <row r="23" spans="1:9" ht="15" customHeight="1">
      <c r="A23" s="22"/>
      <c r="B23" s="9"/>
      <c r="C23" s="45"/>
      <c r="F23" s="2"/>
      <c r="H23" s="11"/>
      <c r="I23" s="9"/>
    </row>
    <row r="24" spans="1:9" ht="15" customHeight="1">
      <c r="A24" s="22"/>
      <c r="B24" s="9"/>
      <c r="C24" s="45"/>
      <c r="F24" s="2"/>
      <c r="H24" s="11"/>
      <c r="I24" s="9"/>
    </row>
    <row r="25" spans="1:9" ht="15" customHeight="1">
      <c r="A25" s="22"/>
      <c r="B25" s="9"/>
      <c r="C25" s="45"/>
      <c r="F25" s="2"/>
      <c r="H25" s="11"/>
      <c r="I25" s="9"/>
    </row>
    <row r="26" spans="1:9" ht="15" customHeight="1">
      <c r="A26" s="22"/>
      <c r="B26" s="9"/>
      <c r="C26" s="45"/>
      <c r="F26" s="2"/>
      <c r="H26" s="11"/>
      <c r="I26" s="9"/>
    </row>
    <row r="27" spans="1:9" ht="15" customHeight="1">
      <c r="A27" s="22"/>
      <c r="B27" s="9"/>
      <c r="C27" s="45"/>
      <c r="F27" s="2"/>
      <c r="H27" s="11"/>
      <c r="I27" s="9"/>
    </row>
    <row r="28" spans="1:9" ht="15" customHeight="1">
      <c r="A28" s="22"/>
      <c r="B28" s="9"/>
      <c r="C28" s="45"/>
      <c r="F28" s="2"/>
      <c r="H28" s="11"/>
      <c r="I28" s="9"/>
    </row>
    <row r="29" spans="1:9" ht="15" customHeight="1">
      <c r="A29" s="22"/>
      <c r="B29" s="9"/>
      <c r="C29" s="45"/>
      <c r="F29" s="2"/>
      <c r="H29" s="11"/>
      <c r="I29" s="9"/>
    </row>
    <row r="30" spans="1:9" ht="15" customHeight="1">
      <c r="A30" s="22"/>
      <c r="B30" s="9"/>
      <c r="C30" s="45"/>
      <c r="F30" s="2"/>
      <c r="H30" s="11"/>
      <c r="I30" s="9"/>
    </row>
    <row r="31" spans="1:9" ht="15" customHeight="1">
      <c r="A31" s="22"/>
      <c r="B31" s="9"/>
      <c r="C31" s="45"/>
      <c r="F31" s="2"/>
      <c r="H31" s="11"/>
      <c r="I31" s="9"/>
    </row>
    <row r="32" spans="1:9" ht="15" customHeight="1">
      <c r="A32" s="22"/>
      <c r="B32" s="9"/>
      <c r="C32" s="45"/>
      <c r="F32" s="2"/>
      <c r="H32" s="11"/>
      <c r="I32" s="9"/>
    </row>
    <row r="33" spans="1:9" ht="15" customHeight="1">
      <c r="A33" s="22"/>
      <c r="B33" s="9"/>
      <c r="C33" s="45"/>
      <c r="F33" s="2"/>
      <c r="H33" s="11"/>
      <c r="I33" s="9"/>
    </row>
    <row r="34" spans="1:9" ht="15" customHeight="1">
      <c r="A34" s="22"/>
      <c r="B34" s="9"/>
      <c r="C34" s="45"/>
      <c r="F34" s="2"/>
      <c r="H34" s="11"/>
      <c r="I34" s="9"/>
    </row>
    <row r="35" spans="1:9" ht="15" customHeight="1">
      <c r="A35" s="22"/>
      <c r="B35" s="9"/>
      <c r="C35" s="45"/>
      <c r="F35" s="2"/>
      <c r="H35" s="11"/>
      <c r="I35" s="9"/>
    </row>
    <row r="36" spans="1:9" ht="15" customHeight="1">
      <c r="A36" s="22"/>
      <c r="B36" s="9"/>
      <c r="C36" s="45"/>
      <c r="F36" s="2"/>
      <c r="H36" s="11"/>
      <c r="I36" s="9"/>
    </row>
    <row r="37" spans="1:9" ht="15" customHeight="1">
      <c r="A37" s="22"/>
      <c r="B37" s="9"/>
      <c r="C37" s="45"/>
      <c r="F37" s="2"/>
      <c r="H37" s="11"/>
      <c r="I37" s="9"/>
    </row>
    <row r="38" spans="1:9" ht="15" customHeight="1">
      <c r="A38" s="22"/>
      <c r="B38" s="9"/>
      <c r="C38" s="45"/>
      <c r="F38" s="2"/>
      <c r="H38" s="11"/>
      <c r="I38" s="9"/>
    </row>
    <row r="39" spans="1:9" ht="15" customHeight="1">
      <c r="A39" s="22"/>
      <c r="B39" s="9"/>
      <c r="C39" s="45"/>
      <c r="F39" s="2"/>
      <c r="H39" s="11"/>
      <c r="I39" s="9"/>
    </row>
    <row r="40" spans="1:9" ht="15" customHeight="1">
      <c r="A40" s="22"/>
      <c r="B40" s="9"/>
      <c r="C40" s="45"/>
      <c r="F40" s="2"/>
      <c r="H40" s="11"/>
      <c r="I40" s="9"/>
    </row>
    <row r="41" spans="1:9" ht="15" customHeight="1">
      <c r="A41" s="22"/>
      <c r="B41" s="9"/>
      <c r="C41" s="45"/>
      <c r="F41" s="2"/>
      <c r="H41" s="11"/>
      <c r="I41" s="9"/>
    </row>
    <row r="42" spans="1:9" ht="15" customHeight="1">
      <c r="A42" s="22"/>
      <c r="B42" s="9"/>
      <c r="C42" s="45"/>
      <c r="F42" s="2"/>
      <c r="H42" s="11"/>
      <c r="I42" s="9"/>
    </row>
    <row r="43" spans="1:9" ht="15" customHeight="1">
      <c r="A43" s="22"/>
      <c r="B43" s="9"/>
      <c r="C43" s="45"/>
      <c r="F43" s="2"/>
      <c r="H43" s="11"/>
      <c r="I43" s="9"/>
    </row>
    <row r="44" spans="1:9" ht="15" customHeight="1">
      <c r="A44" s="22"/>
      <c r="B44" s="9"/>
      <c r="C44" s="45"/>
      <c r="F44" s="2"/>
      <c r="H44" s="11"/>
      <c r="I44" s="9"/>
    </row>
  </sheetData>
  <mergeCells count="2">
    <mergeCell ref="C1:I1"/>
    <mergeCell ref="C3:D3"/>
  </mergeCells>
  <dataValidations count="1">
    <dataValidation type="list" allowBlank="1" showInputMessage="1" showErrorMessage="1" sqref="D7:D44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8"/>
  <dimension ref="A1:U198"/>
  <sheetViews>
    <sheetView tabSelected="1" zoomScale="85" zoomScaleNormal="85" workbookViewId="0">
      <pane ySplit="5" topLeftCell="A105" activePane="bottomLeft" state="frozen"/>
      <selection activeCell="A285" sqref="A285"/>
      <selection pane="bottomLeft" activeCell="A6" sqref="A6"/>
    </sheetView>
  </sheetViews>
  <sheetFormatPr defaultRowHeight="1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1" width="9.140625" style="11"/>
  </cols>
  <sheetData>
    <row r="1" spans="1:21" ht="28.5" customHeight="1">
      <c r="B1" s="114" t="s">
        <v>744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" customFormat="1" ht="12.75" customHeight="1">
      <c r="B2" s="40"/>
      <c r="C2" s="16"/>
      <c r="D2" s="16"/>
      <c r="E2" s="12"/>
      <c r="F2" s="12"/>
      <c r="G2" s="14"/>
      <c r="H2" s="13"/>
      <c r="I2" s="12"/>
      <c r="J2" s="12"/>
      <c r="K2" s="12"/>
      <c r="L2" s="12"/>
      <c r="M2" s="13"/>
      <c r="N2" s="13"/>
      <c r="O2" s="13"/>
      <c r="P2" s="13"/>
      <c r="Q2" s="13"/>
      <c r="R2" s="13"/>
      <c r="S2" s="13"/>
      <c r="T2" s="13"/>
      <c r="U2" s="13"/>
    </row>
    <row r="3" spans="1:21" s="9" customFormat="1" ht="19.5" customHeight="1">
      <c r="A3" s="23"/>
      <c r="B3" s="115" t="s">
        <v>194</v>
      </c>
      <c r="C3" s="115"/>
      <c r="D3" s="24">
        <f>SUM(D7:D1608)</f>
        <v>536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" customFormat="1" ht="12.75" customHeight="1">
      <c r="A4" s="23"/>
      <c r="B4" s="41"/>
      <c r="C4" s="24"/>
      <c r="D4" s="24"/>
      <c r="E4" s="26"/>
      <c r="F4" s="27"/>
      <c r="G4" s="27"/>
      <c r="H4" s="27"/>
      <c r="I4" s="12"/>
      <c r="J4" s="12"/>
      <c r="K4" s="12"/>
      <c r="L4" s="12"/>
      <c r="M4" s="13"/>
      <c r="N4" s="13"/>
      <c r="O4" s="13"/>
      <c r="P4" s="13"/>
      <c r="Q4" s="13"/>
      <c r="R4" s="13"/>
      <c r="S4" s="13"/>
      <c r="T4" s="13"/>
      <c r="U4" s="13"/>
    </row>
    <row r="5" spans="1:21" s="9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2"/>
      <c r="K5" s="12"/>
      <c r="L5" s="12"/>
      <c r="M5" s="13"/>
      <c r="N5" s="13"/>
      <c r="O5" s="13"/>
      <c r="P5" s="13"/>
      <c r="Q5" s="13"/>
      <c r="R5" s="13"/>
      <c r="S5" s="13"/>
      <c r="T5" s="13"/>
      <c r="U5" s="13"/>
    </row>
    <row r="6" spans="1:21" s="9" customFormat="1" ht="20.100000000000001" customHeight="1">
      <c r="A6" s="22"/>
      <c r="B6" s="44" t="s">
        <v>71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2"/>
      <c r="K6" s="12"/>
      <c r="L6" s="12"/>
      <c r="M6" s="13"/>
      <c r="N6" s="13"/>
      <c r="O6" s="13"/>
      <c r="P6" s="13"/>
      <c r="Q6" s="13"/>
      <c r="R6" s="13"/>
      <c r="S6" s="13"/>
      <c r="T6" s="13"/>
      <c r="U6" s="13"/>
    </row>
    <row r="7" spans="1:21" s="9" customFormat="1" ht="15" customHeight="1">
      <c r="A7" s="22">
        <v>0</v>
      </c>
      <c r="B7" s="45" t="s">
        <v>18</v>
      </c>
      <c r="C7" t="s">
        <v>57</v>
      </c>
      <c r="D7">
        <f>IF(OR(C7="sint64",C7="uint64",C7="double64"), 8, IF(OR(C7="sint32",C7="uint32",C7="float32"),4,IF(OR(C7="sint16",C7="uint16"),2,  IF(OR(C7="sint8",C7="uint8"),1,""))))</f>
        <v>4</v>
      </c>
      <c r="E7" s="89" t="s">
        <v>206</v>
      </c>
      <c r="G7" s="9">
        <f>ROUND((Max_Available_Voltage_Factor/100)*32768,0)</f>
        <v>32767</v>
      </c>
      <c r="H7" s="9" t="str">
        <f>IF(G7&lt;&gt;"",IF(C7="float32",FLOAT2HEX(G7),DEC2HEX(G7,8)),"")</f>
        <v>00007FFF</v>
      </c>
      <c r="I7" s="9">
        <f>IF(G7&lt;&gt;"",HEX2DEC(H7),"")</f>
        <v>32767</v>
      </c>
      <c r="J7" s="15"/>
      <c r="K7" s="15"/>
      <c r="L7" s="15"/>
      <c r="M7" s="13"/>
      <c r="N7" s="13"/>
      <c r="O7" s="13"/>
      <c r="P7" s="13"/>
      <c r="Q7" s="13"/>
      <c r="R7" s="13"/>
      <c r="S7" s="13"/>
      <c r="T7" s="13"/>
      <c r="U7" s="13"/>
    </row>
    <row r="8" spans="1:21" s="9" customFormat="1" ht="15" customHeight="1">
      <c r="A8" s="22">
        <f>IF(I8&lt;&gt;"",MAX(A$1:A7)+1,"")</f>
        <v>1</v>
      </c>
      <c r="B8" s="70" t="s">
        <v>1109</v>
      </c>
      <c r="C8" t="s">
        <v>63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207</v>
      </c>
      <c r="G8" s="9">
        <f>MCL_INPUT_CALL_RATE_HZ</f>
        <v>8000</v>
      </c>
      <c r="H8" s="9" t="str">
        <f>IF(G8&lt;&gt;"",IF(C8="float32",FLOAT2HEX(G8),DEC2HEX(G8,8)),"")</f>
        <v>00001F40</v>
      </c>
      <c r="I8" s="9">
        <f t="shared" ref="I8:I90" si="0">IF(G8&lt;&gt;"",HEX2DEC(H8),"")</f>
        <v>8000</v>
      </c>
      <c r="J8" s="15"/>
      <c r="K8" s="15"/>
      <c r="L8" s="15"/>
      <c r="M8" s="13"/>
      <c r="N8" s="13"/>
      <c r="O8" s="13"/>
      <c r="P8" s="13"/>
      <c r="Q8" s="13"/>
      <c r="R8" s="13"/>
      <c r="S8" s="13"/>
      <c r="T8" s="13"/>
      <c r="U8" s="13"/>
    </row>
    <row r="9" spans="1:21" ht="15" customHeight="1">
      <c r="A9" s="81" t="str">
        <f>IF(I9&lt;&gt;"",MAX(A$1:A8)+1,"")</f>
        <v/>
      </c>
      <c r="B9" s="45"/>
      <c r="D9" t="str">
        <f>IF(OR(C9="sint64",C9="uint64",C9="double64"), 8, IF(OR(C9="sint32",C9="uint32",C9="float32"),4,IF(OR(C9="sint16",C9="uint16"),2,  IF(OR(C9="sint8",C9="uint8"),1,""))))</f>
        <v/>
      </c>
      <c r="F9" s="9"/>
      <c r="G9" s="9"/>
      <c r="H9" s="9" t="str">
        <f>IF(G9&lt;&gt;"",IF(C9="float32",FLOAT2HEX(G9),DEC2HEX(G9,8)),"")</f>
        <v/>
      </c>
      <c r="I9" s="9" t="str">
        <f t="shared" si="0"/>
        <v/>
      </c>
    </row>
    <row r="10" spans="1:21" s="9" customFormat="1" ht="20.100000000000001" customHeight="1">
      <c r="A10" s="81" t="str">
        <f>IF(I10&lt;&gt;"",MAX(A$1:A9)+1,"")</f>
        <v/>
      </c>
      <c r="B10" s="44" t="s">
        <v>70</v>
      </c>
      <c r="C10" s="21"/>
      <c r="D10" s="21"/>
      <c r="E10" s="21"/>
      <c r="F10" s="21"/>
      <c r="G10" s="21"/>
      <c r="H10" s="21" t="str">
        <f>IF(G10&lt;&gt;"",DEC2HEX(G10,4),"")</f>
        <v/>
      </c>
      <c r="I10" s="21"/>
      <c r="J10" s="16"/>
      <c r="K10" s="16"/>
      <c r="L10" s="16"/>
      <c r="M10" s="13"/>
      <c r="N10" s="13"/>
      <c r="O10" s="13"/>
      <c r="P10" s="13"/>
      <c r="Q10" s="13"/>
      <c r="R10" s="13"/>
      <c r="S10" s="13"/>
      <c r="T10" s="13"/>
      <c r="U10" s="13"/>
    </row>
    <row r="11" spans="1:21" s="9" customFormat="1" ht="15" customHeight="1">
      <c r="A11" s="81">
        <f>IF(I11&lt;&gt;"",MAX(A$1:A10)+1,"")</f>
        <v>2</v>
      </c>
      <c r="B11" s="97" t="s">
        <v>27</v>
      </c>
      <c r="C11" t="s">
        <v>57</v>
      </c>
      <c r="D11">
        <f t="shared" ref="D11:D26" si="1">IF(OR(C11="sint64",C11="uint64",C11="double64"), 8, IF(OR(C11="sint32",C11="uint32",C11="float32"),4,IF(OR(C11="sint16",C11="uint16"),2,  IF(OR(C11="sint8",C11="uint8"),1,""))))</f>
        <v>4</v>
      </c>
      <c r="E11" s="89" t="s">
        <v>604</v>
      </c>
      <c r="G11" s="9">
        <f>ROUND(( (32768 * STATOR_RESISTANCE)/BASE_Z),0)</f>
        <v>3156</v>
      </c>
      <c r="H11" s="9" t="str">
        <f>IF(G11&lt;&gt;"",IF(C11="float32",FLOAT2HEX(G11),DEC2HEX(G11,8)),"")</f>
        <v>00000C54</v>
      </c>
      <c r="I11" s="9">
        <f t="shared" si="0"/>
        <v>3156</v>
      </c>
      <c r="J11" s="15"/>
      <c r="K11" s="15"/>
      <c r="L11" s="15"/>
      <c r="M11" s="13"/>
      <c r="N11" s="13"/>
      <c r="O11" s="13"/>
      <c r="P11" s="13"/>
      <c r="Q11" s="13"/>
      <c r="R11" s="13"/>
      <c r="S11" s="13"/>
      <c r="T11" s="13"/>
      <c r="U11" s="13"/>
    </row>
    <row r="12" spans="1:21" s="9" customFormat="1" ht="15" customHeight="1">
      <c r="A12" s="81">
        <f>IF(I12&lt;&gt;"",MAX(A$1:A11)+1,"")</f>
        <v>3</v>
      </c>
      <c r="B12" s="47" t="s">
        <v>1105</v>
      </c>
      <c r="C12" t="s">
        <v>57</v>
      </c>
      <c r="D12">
        <f t="shared" si="1"/>
        <v>4</v>
      </c>
      <c r="E12" s="59" t="s">
        <v>1106</v>
      </c>
      <c r="G12" s="9">
        <v>0</v>
      </c>
      <c r="H12" s="9" t="str">
        <f>IF(G12&lt;&gt;"",IF(C12="float32",FLOAT2HEX(G12),DEC2HEX(G12,8)),"")</f>
        <v>00000000</v>
      </c>
      <c r="I12" s="9">
        <f>IF(G12&lt;&gt;"",HEX2DEC(H12),"")</f>
        <v>0</v>
      </c>
      <c r="J12" s="15"/>
      <c r="K12" s="15"/>
      <c r="L12" s="15"/>
      <c r="M12" s="13"/>
      <c r="N12" s="13"/>
      <c r="O12" s="13"/>
      <c r="P12" s="13"/>
      <c r="Q12" s="13"/>
      <c r="R12" s="13"/>
      <c r="S12" s="13"/>
      <c r="T12" s="13"/>
      <c r="U12" s="13"/>
    </row>
    <row r="13" spans="1:21" ht="15" customHeight="1">
      <c r="A13" s="81">
        <f>IF(I13&lt;&gt;"",MAX(A$1:A12)+1,"")</f>
        <v>4</v>
      </c>
      <c r="B13" s="45" t="s">
        <v>28</v>
      </c>
      <c r="C13" t="s">
        <v>57</v>
      </c>
      <c r="D13">
        <f t="shared" si="1"/>
        <v>4</v>
      </c>
      <c r="E13" s="2" t="s">
        <v>605</v>
      </c>
      <c r="F13" s="9"/>
      <c r="G13" s="9">
        <f>( ((OBSERVER_G_INTEG_GAIN * BASE_Z * OBSERVER_TS * (2^30)) / BASE_FLUX))</f>
        <v>0</v>
      </c>
      <c r="H13" s="9" t="str">
        <f>IF(G13&lt;&gt;"",IF(C13="float32",FLOAT2HEX(G13),DEC2HEX(G13,8)),"")</f>
        <v>00000000</v>
      </c>
      <c r="I13" s="9">
        <f t="shared" si="0"/>
        <v>0</v>
      </c>
    </row>
    <row r="14" spans="1:21" ht="15" customHeight="1">
      <c r="A14" s="81">
        <f>IF(I14&lt;&gt;"",MAX(A$1:A13)+1,"")</f>
        <v>5</v>
      </c>
      <c r="B14" s="45" t="s">
        <v>29</v>
      </c>
      <c r="C14" t="s">
        <v>57</v>
      </c>
      <c r="D14">
        <f t="shared" si="1"/>
        <v>4</v>
      </c>
      <c r="E14" s="2" t="s">
        <v>606</v>
      </c>
      <c r="F14" s="9"/>
      <c r="G14" s="9">
        <f>ROUND((OBS_RESIS_ADAPT_CURRENT_THRES * 32768 / BASE_CURRENT),0)</f>
        <v>2790</v>
      </c>
      <c r="H14" s="9" t="str">
        <f>IF(G14&lt;&gt;"",IF(C14="float32",FLOAT2HEX(G14),DEC2HEX(G14,8)),"")</f>
        <v>00000AE6</v>
      </c>
      <c r="I14" s="9">
        <f t="shared" si="0"/>
        <v>2790</v>
      </c>
    </row>
    <row r="15" spans="1:21" ht="15" customHeight="1">
      <c r="A15" s="81">
        <f>IF(I15&lt;&gt;"",MAX(A$1:A14)+1,"")</f>
        <v>6</v>
      </c>
      <c r="B15" s="45" t="s">
        <v>30</v>
      </c>
      <c r="C15" t="s">
        <v>57</v>
      </c>
      <c r="D15">
        <f t="shared" si="1"/>
        <v>4</v>
      </c>
      <c r="E15" s="2" t="s">
        <v>607</v>
      </c>
      <c r="F15" s="9"/>
      <c r="G15" s="9">
        <f>ROUND((OBS_RESIS_ADAPT_SPEED_THRES*32768/BASE_SPEED_RPM),0)</f>
        <v>1162</v>
      </c>
      <c r="H15" s="9" t="str">
        <f>IF(G15&lt;&gt;"",IF(C15="float32",FLOAT2HEX(G15),DEC2HEX(G15,8)),"")</f>
        <v>0000048A</v>
      </c>
      <c r="I15" s="9">
        <f t="shared" si="0"/>
        <v>1162</v>
      </c>
    </row>
    <row r="16" spans="1:21" ht="15" customHeight="1">
      <c r="A16" s="81">
        <f>IF(I16&lt;&gt;"",MAX(A$1:A15)+1,"")</f>
        <v>7</v>
      </c>
      <c r="B16" s="45" t="s">
        <v>31</v>
      </c>
      <c r="C16" t="s">
        <v>57</v>
      </c>
      <c r="D16">
        <f t="shared" si="1"/>
        <v>4</v>
      </c>
      <c r="E16" s="2" t="s">
        <v>608</v>
      </c>
      <c r="F16" s="9"/>
      <c r="G16" s="9">
        <f>ROUND(((ROTOR_LAMBDAM * 32768)/BASE_FLUX),0)</f>
        <v>8749</v>
      </c>
      <c r="H16" s="9" t="str">
        <f>IF(G16&lt;&gt;"",IF(C16="float32",FLOAT2HEX(G16),DEC2HEX(G16,8)),"")</f>
        <v>0000222D</v>
      </c>
      <c r="I16" s="9">
        <f t="shared" si="0"/>
        <v>8749</v>
      </c>
    </row>
    <row r="17" spans="1:21" ht="15" customHeight="1">
      <c r="A17" s="81">
        <f>IF(I17&lt;&gt;"",MAX(A$1:A16)+1,"")</f>
        <v>8</v>
      </c>
      <c r="B17" s="97" t="s">
        <v>32</v>
      </c>
      <c r="C17" t="s">
        <v>57</v>
      </c>
      <c r="D17">
        <f t="shared" si="1"/>
        <v>4</v>
      </c>
      <c r="E17" s="61" t="s">
        <v>609</v>
      </c>
      <c r="F17" s="9"/>
      <c r="G17" s="50">
        <f>ROUND(((OBSERVER_G_GAIN * BASE_FLUX * 32768) / BASE_VOLTAGE),0)</f>
        <v>2080</v>
      </c>
      <c r="H17" s="9" t="str">
        <f>IF(G17&lt;&gt;"",IF(C17="float32",FLOAT2HEX(G17),DEC2HEX(G17,8)),"")</f>
        <v>00000820</v>
      </c>
      <c r="I17" s="9">
        <f t="shared" si="0"/>
        <v>2080</v>
      </c>
    </row>
    <row r="18" spans="1:21" ht="15" customHeight="1">
      <c r="A18" s="81">
        <f>IF(I18&lt;&gt;"",MAX(A$1:A17)+1,"")</f>
        <v>9</v>
      </c>
      <c r="B18" s="45" t="s">
        <v>33</v>
      </c>
      <c r="C18" t="s">
        <v>57</v>
      </c>
      <c r="D18">
        <f t="shared" si="1"/>
        <v>4</v>
      </c>
      <c r="E18" s="2" t="s">
        <v>610</v>
      </c>
      <c r="F18" s="9"/>
      <c r="G18" s="9">
        <f>ROUND(((0.5 * BASE_VOLTAGE * OBSERVER_TS * (2^30)) / BASE_FLUX),0)</f>
        <v>63441171</v>
      </c>
      <c r="H18" s="9" t="str">
        <f>IF(G18&lt;&gt;"",IF(C18="float32",FLOAT2HEX(G18),DEC2HEX(G18,8)),"")</f>
        <v>03C80913</v>
      </c>
      <c r="I18" s="9">
        <f t="shared" si="0"/>
        <v>63441171</v>
      </c>
    </row>
    <row r="19" spans="1:21" ht="15" customHeight="1">
      <c r="A19" s="81">
        <f>IF(I19&lt;&gt;"",MAX(A$1:A18)+1,"")</f>
        <v>10</v>
      </c>
      <c r="B19" s="45" t="s">
        <v>34</v>
      </c>
      <c r="C19" t="s">
        <v>57</v>
      </c>
      <c r="D19">
        <f t="shared" si="1"/>
        <v>4</v>
      </c>
      <c r="E19" s="2" t="s">
        <v>611</v>
      </c>
      <c r="F19" s="9"/>
      <c r="G19" s="9">
        <f>ROUND(((OBSERVER_MIN_FLUX_ZERO_SPEED * 32768)/BASE_FLUX),0)</f>
        <v>1210</v>
      </c>
      <c r="H19" s="9" t="str">
        <f>IF(G19&lt;&gt;"",IF(C19="float32",FLOAT2HEX(G19),DEC2HEX(G19,8)),"")</f>
        <v>000004BA</v>
      </c>
      <c r="I19" s="9">
        <f t="shared" si="0"/>
        <v>1210</v>
      </c>
    </row>
    <row r="20" spans="1:21" ht="15" customHeight="1">
      <c r="A20" s="81">
        <f>IF(I20&lt;&gt;"",MAX(A$1:A19)+1,"")</f>
        <v>11</v>
      </c>
      <c r="B20" s="45" t="s">
        <v>35</v>
      </c>
      <c r="C20" t="s">
        <v>63</v>
      </c>
      <c r="D20">
        <f t="shared" si="1"/>
        <v>4</v>
      </c>
      <c r="E20" s="2" t="s">
        <v>612</v>
      </c>
      <c r="F20" s="9"/>
      <c r="G20" s="9">
        <f>(POLE_PAIRS)</f>
        <v>4</v>
      </c>
      <c r="H20" s="9" t="str">
        <f>IF(G20&lt;&gt;"",IF(C20="float32",FLOAT2HEX(G20),DEC2HEX(G20,8)),"")</f>
        <v>00000004</v>
      </c>
      <c r="I20" s="9">
        <f t="shared" si="0"/>
        <v>4</v>
      </c>
    </row>
    <row r="21" spans="1:21" ht="15" customHeight="1">
      <c r="A21" s="81">
        <f>IF(I21&lt;&gt;"",MAX(A$1:A20)+1,"")</f>
        <v>12</v>
      </c>
      <c r="B21" s="45" t="s">
        <v>36</v>
      </c>
      <c r="C21" t="s">
        <v>57</v>
      </c>
      <c r="D21">
        <f t="shared" si="1"/>
        <v>4</v>
      </c>
      <c r="E21" s="2" t="s">
        <v>613</v>
      </c>
      <c r="G21" s="11">
        <f>ROUND((  (1/OBSERVER_TS) * (2^15))/BASE_OMEGA,0)</f>
        <v>277299</v>
      </c>
      <c r="H21" s="9" t="str">
        <f>IF(G21&lt;&gt;"",IF(C21="float32",FLOAT2HEX(G21),DEC2HEX(G21,8)),"")</f>
        <v>00043B33</v>
      </c>
      <c r="I21" s="9">
        <f t="shared" si="0"/>
        <v>277299</v>
      </c>
    </row>
    <row r="22" spans="1:21" ht="15" customHeight="1">
      <c r="A22" s="81">
        <f>IF(I22&lt;&gt;"",MAX(A$1:A21)+1,"")</f>
        <v>13</v>
      </c>
      <c r="B22" s="45" t="s">
        <v>37</v>
      </c>
      <c r="C22" t="s">
        <v>63</v>
      </c>
      <c r="D22">
        <f t="shared" si="1"/>
        <v>4</v>
      </c>
      <c r="E22" s="2" t="s">
        <v>614</v>
      </c>
      <c r="G22" s="11">
        <f>(OBSERVER_STARTING_THRESHOLD/OBSERVER_TS)</f>
        <v>4000</v>
      </c>
      <c r="H22" s="9" t="str">
        <f>IF(G22&lt;&gt;"",IF(C22="float32",FLOAT2HEX(G22),DEC2HEX(G22,8)),"")</f>
        <v>00000FA0</v>
      </c>
      <c r="I22" s="9">
        <f t="shared" si="0"/>
        <v>4000</v>
      </c>
    </row>
    <row r="23" spans="1:21" ht="15" customHeight="1">
      <c r="A23" s="81">
        <f>IF(I23&lt;&gt;"",MAX(A$1:A22)+1,"")</f>
        <v>14</v>
      </c>
      <c r="B23" s="45" t="s">
        <v>38</v>
      </c>
      <c r="C23" t="s">
        <v>65</v>
      </c>
      <c r="D23">
        <f t="shared" si="1"/>
        <v>4</v>
      </c>
      <c r="E23" s="2" t="s">
        <v>421</v>
      </c>
      <c r="G23" s="11">
        <f>OBSERVER_SPEED_PLL_KP</f>
        <v>118</v>
      </c>
      <c r="H23" s="9" t="str">
        <f>IF(G23&lt;&gt;"",IF(C23="float32",FLOAT2HEX(G23),DEC2HEX(G23,8)),"")</f>
        <v>42EC0000</v>
      </c>
      <c r="I23" s="9">
        <f t="shared" si="0"/>
        <v>1122762752</v>
      </c>
    </row>
    <row r="24" spans="1:21" ht="15" customHeight="1">
      <c r="A24" s="81">
        <f>IF(I24&lt;&gt;"",MAX(A$1:A23)+1,"")</f>
        <v>15</v>
      </c>
      <c r="B24" s="45" t="s">
        <v>39</v>
      </c>
      <c r="C24" t="s">
        <v>65</v>
      </c>
      <c r="D24">
        <f t="shared" si="1"/>
        <v>4</v>
      </c>
      <c r="E24" s="2" t="s">
        <v>615</v>
      </c>
      <c r="G24" s="11">
        <f>OBSERVER_SPEED_PLL_KI * (0.5*OBSERVER_TS)</f>
        <v>0.21312500000000001</v>
      </c>
      <c r="H24" s="9" t="str">
        <f>IF(G24&lt;&gt;"",IF(C24="float32",FLOAT2HEX(G24),DEC2HEX(G24,8)),"")</f>
        <v>3E5A3D71</v>
      </c>
      <c r="I24" s="9">
        <f t="shared" si="0"/>
        <v>1046101361</v>
      </c>
    </row>
    <row r="25" spans="1:21" ht="15" customHeight="1">
      <c r="A25" s="81">
        <f>IF(I25&lt;&gt;"",MAX(A$1:A24)+1,"")</f>
        <v>16</v>
      </c>
      <c r="B25" s="45" t="s">
        <v>40</v>
      </c>
      <c r="C25" t="s">
        <v>65</v>
      </c>
      <c r="D25">
        <f t="shared" si="1"/>
        <v>4</v>
      </c>
      <c r="E25" s="2" t="s">
        <v>422</v>
      </c>
      <c r="G25" s="43">
        <f>0.5*OBSERVER_TS</f>
        <v>6.2500000000000001E-5</v>
      </c>
      <c r="H25" s="9" t="str">
        <f>IF(G25&lt;&gt;"",IF(C25="float32",FLOAT2HEX(G25),DEC2HEX(G25,8)),"")</f>
        <v>3883126F</v>
      </c>
      <c r="I25" s="9">
        <f t="shared" si="0"/>
        <v>948114031</v>
      </c>
    </row>
    <row r="26" spans="1:21" ht="15" customHeight="1">
      <c r="A26" s="81">
        <f>IF(I26&lt;&gt;"",MAX(A$1:A25)+1,"")</f>
        <v>17</v>
      </c>
      <c r="B26" s="45" t="s">
        <v>41</v>
      </c>
      <c r="C26" t="s">
        <v>65</v>
      </c>
      <c r="D26">
        <f t="shared" si="1"/>
        <v>4</v>
      </c>
      <c r="E26" s="2" t="s">
        <v>423</v>
      </c>
      <c r="G26" s="11">
        <f>(32768 / (BASE_SPEED_RPM * POLE_PAIRS * 2 * PI() / 60))</f>
        <v>34.662400000000005</v>
      </c>
      <c r="H26" s="9" t="str">
        <f>IF(G26&lt;&gt;"",IF(C26="float32",FLOAT2HEX(G26),DEC2HEX(G26,8)),"")</f>
        <v>420AA64C</v>
      </c>
      <c r="I26" s="9">
        <f t="shared" si="0"/>
        <v>1107994188</v>
      </c>
    </row>
    <row r="27" spans="1:21" s="60" customFormat="1" ht="15" customHeight="1">
      <c r="A27" s="81" t="str">
        <f>IF(I27&lt;&gt;"",MAX(A$1:A26)+1,"")</f>
        <v/>
      </c>
      <c r="B27" s="70"/>
      <c r="E27" s="61"/>
      <c r="G27" s="66"/>
      <c r="H27" s="65"/>
      <c r="I27" s="65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</row>
    <row r="28" spans="1:21" s="9" customFormat="1" ht="20.100000000000001" customHeight="1">
      <c r="A28" s="81" t="str">
        <f>IF(I28&lt;&gt;"",MAX(A$1:A27)+1,"")</f>
        <v/>
      </c>
      <c r="B28" s="44" t="s">
        <v>75</v>
      </c>
      <c r="C28" s="21"/>
      <c r="D28" s="21"/>
      <c r="E28" s="21"/>
      <c r="F28" s="21"/>
      <c r="G28" s="21" t="str">
        <f>IF(F28&lt;&gt;"",DEC2HEX(F28,4),"")</f>
        <v/>
      </c>
      <c r="H28" s="21"/>
      <c r="I28" s="21"/>
      <c r="J28" s="16"/>
      <c r="K28" s="16"/>
      <c r="L28" s="16"/>
      <c r="M28" s="13"/>
      <c r="N28" s="13"/>
      <c r="O28" s="13"/>
      <c r="P28" s="13"/>
      <c r="Q28" s="13"/>
      <c r="R28" s="13"/>
      <c r="S28" s="13"/>
      <c r="T28" s="13"/>
      <c r="U28" s="13"/>
    </row>
    <row r="29" spans="1:21" ht="15" customHeight="1">
      <c r="A29" s="81">
        <f>IF(I29&lt;&gt;"",MAX(A$1:A28)+1,"")</f>
        <v>18</v>
      </c>
      <c r="B29" s="97" t="s">
        <v>92</v>
      </c>
      <c r="C29" t="s">
        <v>57</v>
      </c>
      <c r="D29">
        <f t="shared" ref="D29:D50" si="2">IF(OR(C29="sint64",C29="uint64",C29="double64"), 8, IF(OR(C29="sint32",C29="uint32",C29="float32"),4,IF(OR(C29="sint16",C29="uint16"),2,  IF(OR(C29="sint8",C29="uint8"),1,""))))</f>
        <v>4</v>
      </c>
      <c r="E29" s="100" t="s">
        <v>1162</v>
      </c>
      <c r="F29" s="104"/>
      <c r="G29" s="101">
        <f>ROUND((((STATOR_RESISTANCE * 1.5) * MAX_PHASE_CURR + PI_VOLT_MARGIN) * 32768/BASE_VOLTAGE),0)</f>
        <v>21952</v>
      </c>
      <c r="H29" s="9" t="str">
        <f>IF(G29&lt;&gt;"",IF(C29="float32",FLOAT2HEX(G29),DEC2HEX(G29,8)),"")</f>
        <v>000055C0</v>
      </c>
      <c r="I29" s="9">
        <f t="shared" si="0"/>
        <v>21952</v>
      </c>
    </row>
    <row r="30" spans="1:21" ht="15" customHeight="1">
      <c r="A30" s="81">
        <f>IF(I30&lt;&gt;"",MAX(A$1:A29)+1,"")</f>
        <v>19</v>
      </c>
      <c r="B30" s="45" t="s">
        <v>91</v>
      </c>
      <c r="C30" t="s">
        <v>63</v>
      </c>
      <c r="D30">
        <f t="shared" si="2"/>
        <v>4</v>
      </c>
      <c r="E30" s="61" t="s">
        <v>680</v>
      </c>
      <c r="G30" s="55">
        <f>(((1/OBSERVER_TS) * TIME_DQ_FORCE_GAINS_STARTING))</f>
        <v>8000</v>
      </c>
      <c r="H30" s="9" t="str">
        <f>IF(G30&lt;&gt;"",IF(C30="float32",FLOAT2HEX(G30),DEC2HEX(G30,8)),"")</f>
        <v>00001F40</v>
      </c>
      <c r="I30" s="9">
        <f t="shared" si="0"/>
        <v>8000</v>
      </c>
    </row>
    <row r="31" spans="1:21" ht="15" customHeight="1">
      <c r="A31" s="81">
        <f>IF(I31&lt;&gt;"",MAX(A$1:A30)+1,"")</f>
        <v>20</v>
      </c>
      <c r="B31" s="45" t="s">
        <v>93</v>
      </c>
      <c r="C31" t="s">
        <v>57</v>
      </c>
      <c r="D31">
        <f t="shared" si="2"/>
        <v>4</v>
      </c>
      <c r="E31" s="100" t="s">
        <v>1164</v>
      </c>
      <c r="F31" s="104"/>
      <c r="G31" s="101">
        <f>ROUND(PHASE_ADVANCE_COEFF * (OBSERVER_TS*32768)/BASE_TIME,0)</f>
        <v>1233</v>
      </c>
      <c r="H31" s="9" t="str">
        <f>IF(G31&lt;&gt;"",IF(C31="float32",FLOAT2HEX(G31),DEC2HEX(G31,8)),"")</f>
        <v>000004D1</v>
      </c>
      <c r="I31" s="9">
        <f t="shared" si="0"/>
        <v>1233</v>
      </c>
    </row>
    <row r="32" spans="1:21" s="103" customFormat="1" ht="15" customHeight="1">
      <c r="A32" s="96">
        <f>IF(I32&lt;&gt;"",MAX(A$1:A31)+1,"")</f>
        <v>21</v>
      </c>
      <c r="B32" s="98" t="s">
        <v>3131</v>
      </c>
      <c r="C32" s="103" t="s">
        <v>57</v>
      </c>
      <c r="D32" s="84">
        <f>IF(OR(C32="sint64",C32="uint64",C32="double64"), 8, IF(OR(C32="sint32",C32="uint32",C32="float32"),4,IF(OR(C32="sint16",C32="uint16"),2,  IF(OR(C32="sint8",C32="uint8"),1,""))))</f>
        <v>4</v>
      </c>
      <c r="E32" s="89" t="s">
        <v>3133</v>
      </c>
      <c r="G32" s="95">
        <f>ROUND((M_INDEX_CTRL/100 * 32768),0)</f>
        <v>37683</v>
      </c>
      <c r="H32" s="94" t="str">
        <f>IF(G32&lt;&gt;"",IF(C32="float32",FLOAT2HEX(G32),DEC2HEX(G32,8)),"")</f>
        <v>00009333</v>
      </c>
      <c r="I32" s="94">
        <f t="shared" si="0"/>
        <v>37683</v>
      </c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</row>
    <row r="33" spans="1:9" ht="15" customHeight="1">
      <c r="A33" s="81">
        <f>IF(I33&lt;&gt;"",MAX(A$1:A32)+1,"")</f>
        <v>22</v>
      </c>
      <c r="B33" s="45" t="s">
        <v>76</v>
      </c>
      <c r="C33" t="s">
        <v>57</v>
      </c>
      <c r="D33">
        <f t="shared" si="2"/>
        <v>4</v>
      </c>
      <c r="E33" s="2" t="s">
        <v>681</v>
      </c>
      <c r="G33" s="55">
        <f>ROUND(((DQ_TORQUE_KP_REGION_0 * BASE_TORQ * (2^15)) / BASE_VOLTAGE),0)</f>
        <v>17095</v>
      </c>
      <c r="H33" s="9" t="str">
        <f>IF(G33&lt;&gt;"",IF(C33="float32",FLOAT2HEX(G33),DEC2HEX(G33,8)),"")</f>
        <v>000042C7</v>
      </c>
      <c r="I33" s="9">
        <f t="shared" si="0"/>
        <v>17095</v>
      </c>
    </row>
    <row r="34" spans="1:9" ht="15" customHeight="1">
      <c r="A34" s="81">
        <f>IF(I34&lt;&gt;"",MAX(A$1:A33)+1,"")</f>
        <v>23</v>
      </c>
      <c r="B34" s="45" t="s">
        <v>77</v>
      </c>
      <c r="C34" t="s">
        <v>57</v>
      </c>
      <c r="D34">
        <f t="shared" si="2"/>
        <v>4</v>
      </c>
      <c r="E34" s="2" t="s">
        <v>682</v>
      </c>
      <c r="G34" s="55">
        <f>ROUND(((DQ_TORQUE_KI_REGION_0 * BASE_TORQ * OBSERVER_TS * (2^15)) / BASE_VOLTAGE),0)</f>
        <v>427</v>
      </c>
      <c r="H34" s="9" t="str">
        <f>IF(G34&lt;&gt;"",IF(C34="float32",FLOAT2HEX(G34),DEC2HEX(G34,8)),"")</f>
        <v>000001AB</v>
      </c>
      <c r="I34" s="9">
        <f t="shared" si="0"/>
        <v>427</v>
      </c>
    </row>
    <row r="35" spans="1:9" ht="15" customHeight="1">
      <c r="A35" s="81">
        <f>IF(I35&lt;&gt;"",MAX(A$1:A34)+1,"")</f>
        <v>24</v>
      </c>
      <c r="B35" s="45" t="s">
        <v>78</v>
      </c>
      <c r="C35" t="s">
        <v>57</v>
      </c>
      <c r="D35">
        <f t="shared" si="2"/>
        <v>4</v>
      </c>
      <c r="E35" s="2" t="s">
        <v>683</v>
      </c>
      <c r="G35" s="55">
        <f>ROUND(((DQ_FLUX_KP_REGION_0 * BASE_FLUX * (2^15)) / BASE_VOLTAGE),0)</f>
        <v>5199</v>
      </c>
      <c r="H35" s="9" t="str">
        <f>IF(G35&lt;&gt;"",IF(C35="float32",FLOAT2HEX(G35),DEC2HEX(G35,8)),"")</f>
        <v>0000144F</v>
      </c>
      <c r="I35" s="9">
        <f t="shared" si="0"/>
        <v>5199</v>
      </c>
    </row>
    <row r="36" spans="1:9" ht="15" customHeight="1">
      <c r="A36" s="81">
        <f>IF(I36&lt;&gt;"",MAX(A$1:A35)+1,"")</f>
        <v>25</v>
      </c>
      <c r="B36" s="45" t="s">
        <v>79</v>
      </c>
      <c r="C36" t="s">
        <v>57</v>
      </c>
      <c r="D36">
        <f t="shared" si="2"/>
        <v>4</v>
      </c>
      <c r="E36" s="2" t="s">
        <v>684</v>
      </c>
      <c r="G36" s="55">
        <f>ROUND(((DQ_FLUX_KI_REGION_0  * BASE_FLUX * OBSERVER_TS * (2^15)) / BASE_VOLTAGE),0)</f>
        <v>65</v>
      </c>
      <c r="H36" s="9" t="str">
        <f>IF(G36&lt;&gt;"",IF(C36="float32",FLOAT2HEX(G36),DEC2HEX(G36,8)),"")</f>
        <v>00000041</v>
      </c>
      <c r="I36" s="9">
        <f t="shared" si="0"/>
        <v>65</v>
      </c>
    </row>
    <row r="37" spans="1:9" ht="15" customHeight="1">
      <c r="A37" s="81">
        <f>IF(I37&lt;&gt;"",MAX(A$1:A36)+1,"")</f>
        <v>26</v>
      </c>
      <c r="B37" s="45" t="s">
        <v>80</v>
      </c>
      <c r="C37" t="s">
        <v>57</v>
      </c>
      <c r="D37">
        <f t="shared" si="2"/>
        <v>4</v>
      </c>
      <c r="E37" s="2" t="s">
        <v>685</v>
      </c>
      <c r="G37" s="55">
        <f>ROUND((DQ_SPEED_THRESHOLD_REGION_0 * (32768/BASE_SPEED_RPM)),0)</f>
        <v>27659</v>
      </c>
      <c r="H37" s="9" t="str">
        <f>IF(G37&lt;&gt;"",IF(C37="float32",FLOAT2HEX(G37),DEC2HEX(G37,8)),"")</f>
        <v>00006C0B</v>
      </c>
      <c r="I37" s="9">
        <f t="shared" si="0"/>
        <v>27659</v>
      </c>
    </row>
    <row r="38" spans="1:9" ht="15" customHeight="1">
      <c r="A38" s="81">
        <f>IF(I38&lt;&gt;"",MAX(A$1:A37)+1,"")</f>
        <v>27</v>
      </c>
      <c r="B38" s="45" t="s">
        <v>72</v>
      </c>
      <c r="C38" t="s">
        <v>57</v>
      </c>
      <c r="D38">
        <f t="shared" si="2"/>
        <v>4</v>
      </c>
      <c r="E38" s="2" t="s">
        <v>686</v>
      </c>
      <c r="G38" s="55">
        <f>(DQ_GAINS_SWTICHING_TIME_REGION_0/0.025)</f>
        <v>80</v>
      </c>
      <c r="H38" s="9" t="str">
        <f>IF(G38&lt;&gt;"",IF(C38="float32",FLOAT2HEX(G38),DEC2HEX(G38,8)),"")</f>
        <v>00000050</v>
      </c>
      <c r="I38" s="9">
        <f t="shared" si="0"/>
        <v>80</v>
      </c>
    </row>
    <row r="39" spans="1:9" ht="15" customHeight="1">
      <c r="A39" s="81">
        <f>IF(I39&lt;&gt;"",MAX(A$1:A38)+1,"")</f>
        <v>28</v>
      </c>
      <c r="B39" s="45" t="s">
        <v>81</v>
      </c>
      <c r="C39" t="s">
        <v>57</v>
      </c>
      <c r="D39">
        <f t="shared" si="2"/>
        <v>4</v>
      </c>
      <c r="E39" s="2" t="s">
        <v>687</v>
      </c>
      <c r="G39" s="55">
        <f>ROUND(((DQ_TORQUE_KP_REGION_1 * BASE_TORQ * (2^15)) / BASE_VOLTAGE),0)</f>
        <v>256432</v>
      </c>
      <c r="H39" s="9" t="str">
        <f>IF(G39&lt;&gt;"",IF(C39="float32",FLOAT2HEX(G39),DEC2HEX(G39,8)),"")</f>
        <v>0003E9B0</v>
      </c>
      <c r="I39" s="9">
        <f t="shared" si="0"/>
        <v>256432</v>
      </c>
    </row>
    <row r="40" spans="1:9" ht="15" customHeight="1">
      <c r="A40" s="81">
        <f>IF(I40&lt;&gt;"",MAX(A$1:A39)+1,"")</f>
        <v>29</v>
      </c>
      <c r="B40" s="45" t="s">
        <v>82</v>
      </c>
      <c r="C40" t="s">
        <v>57</v>
      </c>
      <c r="D40">
        <f t="shared" si="2"/>
        <v>4</v>
      </c>
      <c r="E40" s="2" t="s">
        <v>688</v>
      </c>
      <c r="G40" s="55">
        <f>ROUND(((DQ_TORQUE_KI_REGION_1 * BASE_TORQ * OBSERVER_TS * (2^15)) / BASE_VOLTAGE),0)</f>
        <v>2564</v>
      </c>
      <c r="H40" s="9" t="str">
        <f>IF(G40&lt;&gt;"",IF(C40="float32",FLOAT2HEX(G40),DEC2HEX(G40,8)),"")</f>
        <v>00000A04</v>
      </c>
      <c r="I40" s="9">
        <f t="shared" si="0"/>
        <v>2564</v>
      </c>
    </row>
    <row r="41" spans="1:9" ht="15" customHeight="1">
      <c r="A41" s="81">
        <f>IF(I41&lt;&gt;"",MAX(A$1:A40)+1,"")</f>
        <v>30</v>
      </c>
      <c r="B41" s="45" t="s">
        <v>83</v>
      </c>
      <c r="C41" t="s">
        <v>57</v>
      </c>
      <c r="D41">
        <f t="shared" si="2"/>
        <v>4</v>
      </c>
      <c r="E41" s="2" t="s">
        <v>689</v>
      </c>
      <c r="G41" s="55">
        <f>ROUND(((DQ_FLUX_KP_REGION_1 * BASE_FLUX * (2^15)) / BASE_VOLTAGE),0)</f>
        <v>277299</v>
      </c>
      <c r="H41" s="9" t="str">
        <f>IF(G41&lt;&gt;"",IF(C41="float32",FLOAT2HEX(G41),DEC2HEX(G41,8)),"")</f>
        <v>00043B33</v>
      </c>
      <c r="I41" s="9">
        <f t="shared" si="0"/>
        <v>277299</v>
      </c>
    </row>
    <row r="42" spans="1:9" ht="15" customHeight="1">
      <c r="A42" s="81">
        <f>IF(I42&lt;&gt;"",MAX(A$1:A41)+1,"")</f>
        <v>31</v>
      </c>
      <c r="B42" s="45" t="s">
        <v>84</v>
      </c>
      <c r="C42" t="s">
        <v>57</v>
      </c>
      <c r="D42">
        <f t="shared" si="2"/>
        <v>4</v>
      </c>
      <c r="E42" s="2" t="s">
        <v>690</v>
      </c>
      <c r="G42" s="55">
        <f>ROUND(((DQ_FLUX_KI_REGION_1  * BASE_FLUX * OBSERVER_TS * (2^15)) / BASE_VOLTAGE),0)</f>
        <v>3900</v>
      </c>
      <c r="H42" s="9" t="str">
        <f>IF(G42&lt;&gt;"",IF(C42="float32",FLOAT2HEX(G42),DEC2HEX(G42,8)),"")</f>
        <v>00000F3C</v>
      </c>
      <c r="I42" s="9">
        <f t="shared" si="0"/>
        <v>3900</v>
      </c>
    </row>
    <row r="43" spans="1:9" ht="15" customHeight="1">
      <c r="A43" s="81">
        <f>IF(I43&lt;&gt;"",MAX(A$1:A42)+1,"")</f>
        <v>32</v>
      </c>
      <c r="B43" s="45" t="s">
        <v>85</v>
      </c>
      <c r="C43" t="s">
        <v>57</v>
      </c>
      <c r="D43">
        <f t="shared" si="2"/>
        <v>4</v>
      </c>
      <c r="E43" s="2" t="s">
        <v>691</v>
      </c>
      <c r="G43" s="55">
        <f>ROUND((DQ_SPEED_THRESHOLD_REGION_1 * (32768/BASE_SPEED_RPM)),0)</f>
        <v>203271</v>
      </c>
      <c r="H43" s="9" t="str">
        <f>IF(G43&lt;&gt;"",IF(C43="float32",FLOAT2HEX(G43),DEC2HEX(G43,8)),"")</f>
        <v>00031A07</v>
      </c>
      <c r="I43" s="9">
        <f t="shared" si="0"/>
        <v>203271</v>
      </c>
    </row>
    <row r="44" spans="1:9" ht="15" customHeight="1">
      <c r="A44" s="81">
        <f>IF(I44&lt;&gt;"",MAX(A$1:A43)+1,"")</f>
        <v>33</v>
      </c>
      <c r="B44" s="45" t="s">
        <v>73</v>
      </c>
      <c r="C44" t="s">
        <v>57</v>
      </c>
      <c r="D44">
        <f t="shared" si="2"/>
        <v>4</v>
      </c>
      <c r="E44" s="2" t="s">
        <v>692</v>
      </c>
      <c r="G44" s="55">
        <f>(DQ_GAINS_SWTICHING_TIME_REGION_1/0.025)</f>
        <v>120</v>
      </c>
      <c r="H44" s="9" t="str">
        <f>IF(G44&lt;&gt;"",IF(C44="float32",FLOAT2HEX(G44),DEC2HEX(G44,8)),"")</f>
        <v>00000078</v>
      </c>
      <c r="I44" s="9">
        <f t="shared" si="0"/>
        <v>120</v>
      </c>
    </row>
    <row r="45" spans="1:9" ht="15" customHeight="1">
      <c r="A45" s="81">
        <f>IF(I45&lt;&gt;"",MAX(A$1:A44)+1,"")</f>
        <v>34</v>
      </c>
      <c r="B45" s="45" t="s">
        <v>86</v>
      </c>
      <c r="C45" t="s">
        <v>57</v>
      </c>
      <c r="D45">
        <f t="shared" si="2"/>
        <v>4</v>
      </c>
      <c r="E45" s="61" t="s">
        <v>693</v>
      </c>
      <c r="G45" s="55">
        <f>ROUND(((DQ_TORQUE_KP_REGION_2 * BASE_TORQ * (2^15)) / BASE_VOLTAGE),0)</f>
        <v>256432</v>
      </c>
      <c r="H45" s="9" t="str">
        <f>IF(G45&lt;&gt;"",IF(C45="float32",FLOAT2HEX(G45),DEC2HEX(G45,8)),"")</f>
        <v>0003E9B0</v>
      </c>
      <c r="I45" s="9">
        <f t="shared" si="0"/>
        <v>256432</v>
      </c>
    </row>
    <row r="46" spans="1:9" ht="15" customHeight="1">
      <c r="A46" s="81">
        <f>IF(I46&lt;&gt;"",MAX(A$1:A45)+1,"")</f>
        <v>35</v>
      </c>
      <c r="B46" s="45" t="s">
        <v>87</v>
      </c>
      <c r="C46" t="s">
        <v>57</v>
      </c>
      <c r="D46">
        <f t="shared" si="2"/>
        <v>4</v>
      </c>
      <c r="E46" s="2" t="s">
        <v>694</v>
      </c>
      <c r="G46" s="55">
        <f>ROUND(((DQ_TORQUE_KI_REGION_2 * BASE_TORQ * OBSERVER_TS * (2^15)) / BASE_VOLTAGE),0)</f>
        <v>2564</v>
      </c>
      <c r="H46" s="9" t="str">
        <f>IF(G46&lt;&gt;"",IF(C46="float32",FLOAT2HEX(G46),DEC2HEX(G46,8)),"")</f>
        <v>00000A04</v>
      </c>
      <c r="I46" s="9">
        <f t="shared" si="0"/>
        <v>2564</v>
      </c>
    </row>
    <row r="47" spans="1:9" ht="15" customHeight="1">
      <c r="A47" s="81">
        <f>IF(I47&lt;&gt;"",MAX(A$1:A46)+1,"")</f>
        <v>36</v>
      </c>
      <c r="B47" s="45" t="s">
        <v>88</v>
      </c>
      <c r="C47" t="s">
        <v>57</v>
      </c>
      <c r="D47">
        <f t="shared" si="2"/>
        <v>4</v>
      </c>
      <c r="E47" s="2" t="s">
        <v>695</v>
      </c>
      <c r="G47" s="55">
        <f>ROUND(((DQ_FLUX_KP_REGION_2 * BASE_FLUX * (2^15)) / BASE_VOLTAGE),0)</f>
        <v>277299</v>
      </c>
      <c r="H47" s="9" t="str">
        <f>IF(G47&lt;&gt;"",IF(C47="float32",FLOAT2HEX(G47),DEC2HEX(G47,8)),"")</f>
        <v>00043B33</v>
      </c>
      <c r="I47" s="9">
        <f t="shared" si="0"/>
        <v>277299</v>
      </c>
    </row>
    <row r="48" spans="1:9" ht="15" customHeight="1">
      <c r="A48" s="81">
        <f>IF(I48&lt;&gt;"",MAX(A$1:A47)+1,"")</f>
        <v>37</v>
      </c>
      <c r="B48" s="45" t="s">
        <v>89</v>
      </c>
      <c r="C48" t="s">
        <v>57</v>
      </c>
      <c r="D48">
        <f t="shared" si="2"/>
        <v>4</v>
      </c>
      <c r="E48" s="2" t="s">
        <v>696</v>
      </c>
      <c r="G48" s="55">
        <f>ROUND(((DQ_FLUX_KI_REGION_2  * BASE_FLUX * OBSERVER_TS * (2^15)) / BASE_VOLTAGE),0)</f>
        <v>3900</v>
      </c>
      <c r="H48" s="9" t="str">
        <f>IF(G48&lt;&gt;"",IF(C48="float32",FLOAT2HEX(G48),DEC2HEX(G48,8)),"")</f>
        <v>00000F3C</v>
      </c>
      <c r="I48" s="9">
        <f t="shared" si="0"/>
        <v>3900</v>
      </c>
    </row>
    <row r="49" spans="1:21" ht="15" customHeight="1">
      <c r="A49" s="81">
        <f>IF(I49&lt;&gt;"",MAX(A$1:A48)+1,"")</f>
        <v>38</v>
      </c>
      <c r="B49" s="45" t="s">
        <v>90</v>
      </c>
      <c r="C49" t="s">
        <v>57</v>
      </c>
      <c r="D49">
        <f t="shared" si="2"/>
        <v>4</v>
      </c>
      <c r="E49" s="2" t="s">
        <v>697</v>
      </c>
      <c r="G49" s="55">
        <f>ROUND((DQ_SPEED_THRESHOLD_REGION_2 * (32768/BASE_SPEED_RPM)),0)</f>
        <v>290387</v>
      </c>
      <c r="H49" s="9" t="str">
        <f>IF(G49&lt;&gt;"",IF(C49="float32",FLOAT2HEX(G49),DEC2HEX(G49,8)),"")</f>
        <v>00046E53</v>
      </c>
      <c r="I49" s="9">
        <f t="shared" si="0"/>
        <v>290387</v>
      </c>
    </row>
    <row r="50" spans="1:21" ht="15" customHeight="1">
      <c r="A50" s="81">
        <f>IF(I50&lt;&gt;"",MAX(A$1:A49)+1,"")</f>
        <v>39</v>
      </c>
      <c r="B50" s="45" t="s">
        <v>74</v>
      </c>
      <c r="C50" t="s">
        <v>57</v>
      </c>
      <c r="D50">
        <f t="shared" si="2"/>
        <v>4</v>
      </c>
      <c r="E50" s="2" t="s">
        <v>698</v>
      </c>
      <c r="G50" s="55">
        <f>(DQ_GAINS_SWTICHING_TIME_REGION_2/0.025)</f>
        <v>120</v>
      </c>
      <c r="H50" s="9" t="str">
        <f>IF(G50&lt;&gt;"",IF(C50="float32",FLOAT2HEX(G50),DEC2HEX(G50,8)),"")</f>
        <v>00000078</v>
      </c>
      <c r="I50" s="9">
        <f t="shared" si="0"/>
        <v>120</v>
      </c>
    </row>
    <row r="51" spans="1:21" ht="15" customHeight="1">
      <c r="A51" s="81" t="str">
        <f>IF(I51&lt;&gt;"",MAX(A$1:A50)+1,"")</f>
        <v/>
      </c>
      <c r="B51" s="45"/>
      <c r="G51" s="11"/>
      <c r="H51" s="9" t="str">
        <f>IF(G51&lt;&gt;"",IF(C51="float32",FLOAT2HEX(G51),DEC2HEX(G51,8)),"")</f>
        <v/>
      </c>
      <c r="I51" s="9" t="str">
        <f t="shared" si="0"/>
        <v/>
      </c>
    </row>
    <row r="52" spans="1:21" s="9" customFormat="1" ht="20.100000000000001" customHeight="1">
      <c r="A52" s="81" t="str">
        <f>IF(I52&lt;&gt;"",MAX(A$1:A51)+1,"")</f>
        <v/>
      </c>
      <c r="B52" s="44" t="s">
        <v>94</v>
      </c>
      <c r="C52" s="21"/>
      <c r="D52" s="21"/>
      <c r="E52" s="21"/>
      <c r="F52" s="21"/>
      <c r="G52" s="21" t="str">
        <f>IF(F52&lt;&gt;"",DEC2HEX(F52,4),"")</f>
        <v/>
      </c>
      <c r="H52" s="21" t="str">
        <f>IF(G52&lt;&gt;"",DEC2HEX(G52,4),"")</f>
        <v/>
      </c>
      <c r="I52" s="21"/>
      <c r="J52" s="16"/>
      <c r="K52" s="16"/>
      <c r="L52" s="16"/>
      <c r="M52" s="13"/>
      <c r="N52" s="13"/>
      <c r="O52" s="13"/>
      <c r="P52" s="13"/>
      <c r="Q52" s="13"/>
      <c r="R52" s="13"/>
      <c r="S52" s="13"/>
      <c r="T52" s="13"/>
      <c r="U52" s="13"/>
    </row>
    <row r="53" spans="1:21" ht="15" customHeight="1">
      <c r="A53" s="81">
        <f>IF(I53&lt;&gt;"",MAX(A$1:A52)+1,"")</f>
        <v>40</v>
      </c>
      <c r="B53" s="45" t="s">
        <v>96</v>
      </c>
      <c r="C53" t="s">
        <v>57</v>
      </c>
      <c r="D53">
        <f t="shared" ref="D53:D63" si="3">IF(OR(C53="sint64",C53="uint64",C53="double64"), 8, IF(OR(C53="sint32",C53="uint32",C53="float32"),4,IF(OR(C53="sint16",C53="uint16"),2,  IF(OR(C53="sint8",C53="uint8"),1,""))))</f>
        <v>4</v>
      </c>
      <c r="E53" s="2" t="s">
        <v>608</v>
      </c>
      <c r="G53" s="11">
        <f>ROUND(((ROTOR_LAMBDAM * 32768)/BASE_FLUX),0)</f>
        <v>8749</v>
      </c>
      <c r="H53" s="9" t="str">
        <f>IF(G53&lt;&gt;"",IF(C53="float32",FLOAT2HEX(G53),DEC2HEX(G53,8)),"")</f>
        <v>0000222D</v>
      </c>
      <c r="I53" s="9">
        <f t="shared" si="0"/>
        <v>8749</v>
      </c>
    </row>
    <row r="54" spans="1:21" ht="15" customHeight="1">
      <c r="A54" s="96">
        <f>IF(I54&lt;&gt;"",MAX(A$1:A53)+1,"")</f>
        <v>41</v>
      </c>
      <c r="B54" s="45" t="s">
        <v>97</v>
      </c>
      <c r="C54" t="s">
        <v>57</v>
      </c>
      <c r="D54">
        <f t="shared" si="3"/>
        <v>4</v>
      </c>
      <c r="E54" s="2" t="s">
        <v>699</v>
      </c>
      <c r="G54" s="11">
        <f>ROUND((DQ_CONTROLLER_MAX_FLUX/100*32768),0)</f>
        <v>31130</v>
      </c>
      <c r="H54" s="94" t="str">
        <f>IF(G54&lt;&gt;"",IF(C54="float32",FLOAT2HEX(G54),DEC2HEX(G54,8)),"")</f>
        <v>0000799A</v>
      </c>
      <c r="I54" s="94">
        <f t="shared" si="0"/>
        <v>31130</v>
      </c>
    </row>
    <row r="55" spans="1:21" ht="15" customHeight="1">
      <c r="A55" s="96">
        <f>IF(I55&lt;&gt;"",MAX(A$1:A54)+1,"")</f>
        <v>42</v>
      </c>
      <c r="B55" s="45" t="s">
        <v>98</v>
      </c>
      <c r="C55" t="s">
        <v>63</v>
      </c>
      <c r="D55">
        <f t="shared" si="3"/>
        <v>4</v>
      </c>
      <c r="E55" s="2" t="s">
        <v>700</v>
      </c>
      <c r="G55" s="11">
        <f>((DQ_STARTING_TIME / DQ_CONTROLLER_TS))</f>
        <v>8000</v>
      </c>
      <c r="H55" s="94" t="str">
        <f>IF(G55&lt;&gt;"",IF(C55="float32",FLOAT2HEX(G55),DEC2HEX(G55,8)),"")</f>
        <v>00001F40</v>
      </c>
      <c r="I55" s="94">
        <f t="shared" si="0"/>
        <v>8000</v>
      </c>
    </row>
    <row r="56" spans="1:21" ht="15" customHeight="1">
      <c r="A56" s="96">
        <f>IF(I56&lt;&gt;"",MAX(A$1:A55)+1,"")</f>
        <v>43</v>
      </c>
      <c r="B56" s="45" t="s">
        <v>95</v>
      </c>
      <c r="C56" s="60" t="s">
        <v>63</v>
      </c>
      <c r="D56">
        <f t="shared" si="3"/>
        <v>4</v>
      </c>
      <c r="E56" s="89" t="s">
        <v>701</v>
      </c>
      <c r="G56" s="11">
        <f>(DQ_CONTROLLER_OVER_FLUX_DECREMENT/BASE_FLUX*32768)</f>
        <v>2</v>
      </c>
      <c r="H56" s="94" t="str">
        <f>IF(G56&lt;&gt;"",IF(C56="float32",FLOAT2HEX(G56),DEC2HEX(G56,8)),"")</f>
        <v>00000002</v>
      </c>
      <c r="I56" s="94">
        <f t="shared" si="0"/>
        <v>2</v>
      </c>
    </row>
    <row r="57" spans="1:21" s="75" customFormat="1" ht="15" customHeight="1">
      <c r="A57" s="96">
        <f>IF(I57&lt;&gt;"",MAX(A$1:A56)+1,"")</f>
        <v>44</v>
      </c>
      <c r="B57" s="85" t="s">
        <v>1136</v>
      </c>
      <c r="C57" s="83" t="s">
        <v>57</v>
      </c>
      <c r="D57" s="75">
        <f t="shared" si="3"/>
        <v>4</v>
      </c>
      <c r="E57" s="89" t="s">
        <v>1142</v>
      </c>
      <c r="G57" s="77">
        <f>ROUND(SPEED_OVERFLUX_THRESHOLD * 32768/BASE_SPEED_RPM,0)</f>
        <v>508</v>
      </c>
      <c r="H57" s="94" t="str">
        <f>IF(G57&lt;&gt;"",IF(C57="float32",FLOAT2HEX(G57),DEC2HEX(G57,8)),"")</f>
        <v>000001FC</v>
      </c>
      <c r="I57" s="94">
        <f t="shared" si="0"/>
        <v>508</v>
      </c>
      <c r="J57" s="77"/>
      <c r="K57" s="77"/>
      <c r="L57" s="77"/>
      <c r="M57" s="77"/>
      <c r="N57" s="77"/>
      <c r="O57" s="77"/>
      <c r="P57" s="77"/>
      <c r="Q57" s="77"/>
      <c r="R57" s="77"/>
      <c r="S57" s="77"/>
      <c r="T57" s="77"/>
      <c r="U57" s="77"/>
    </row>
    <row r="58" spans="1:21" s="75" customFormat="1" ht="15" customHeight="1">
      <c r="A58" s="96">
        <f>IF(I58&lt;&gt;"",MAX(A$1:A57)+1,"")</f>
        <v>45</v>
      </c>
      <c r="B58" s="86" t="s">
        <v>1137</v>
      </c>
      <c r="C58" s="83" t="s">
        <v>57</v>
      </c>
      <c r="D58" s="75">
        <f t="shared" si="3"/>
        <v>4</v>
      </c>
      <c r="E58" s="89" t="s">
        <v>1145</v>
      </c>
      <c r="G58" s="77">
        <f>ROUND(OVERFLUX_FACTOR/100 * 32768,0)</f>
        <v>36700</v>
      </c>
      <c r="H58" s="94" t="str">
        <f>IF(G58&lt;&gt;"",IF(C58="float32",FLOAT2HEX(G58),DEC2HEX(G58,8)),"")</f>
        <v>00008F5C</v>
      </c>
      <c r="I58" s="94">
        <f t="shared" si="0"/>
        <v>36700</v>
      </c>
      <c r="J58" s="77"/>
      <c r="K58" s="77"/>
      <c r="L58" s="77"/>
      <c r="M58" s="77"/>
      <c r="N58" s="77"/>
      <c r="O58" s="77"/>
      <c r="P58" s="77"/>
      <c r="Q58" s="77"/>
      <c r="R58" s="77"/>
      <c r="S58" s="77"/>
      <c r="T58" s="77"/>
      <c r="U58" s="77"/>
    </row>
    <row r="59" spans="1:21" ht="15" customHeight="1">
      <c r="A59" s="96">
        <f>IF(I59&lt;&gt;"",MAX(A$1:A58)+1,"")</f>
        <v>46</v>
      </c>
      <c r="B59" s="73" t="s">
        <v>99</v>
      </c>
      <c r="C59" t="s">
        <v>57</v>
      </c>
      <c r="D59">
        <f t="shared" si="3"/>
        <v>4</v>
      </c>
      <c r="E59" s="61" t="s">
        <v>702</v>
      </c>
      <c r="G59" s="11">
        <f>ROUND((DQ_CONTROLLER_MAX_INPUT_VOLT_FACTOR/100*32768),0)</f>
        <v>30802</v>
      </c>
      <c r="H59" s="94" t="str">
        <f>IF(G59&lt;&gt;"",IF(C59="float32",FLOAT2HEX(G59),DEC2HEX(G59,8)),"")</f>
        <v>00007852</v>
      </c>
      <c r="I59" s="94">
        <f t="shared" si="0"/>
        <v>30802</v>
      </c>
    </row>
    <row r="60" spans="1:21" s="88" customFormat="1" ht="15" customHeight="1">
      <c r="A60" s="96">
        <f>IF(I60&lt;&gt;"",MAX(A$1:A59)+1,"")</f>
        <v>47</v>
      </c>
      <c r="B60" s="97" t="s">
        <v>1149</v>
      </c>
      <c r="C60" s="88" t="s">
        <v>57</v>
      </c>
      <c r="D60" s="88">
        <f t="shared" si="3"/>
        <v>4</v>
      </c>
      <c r="E60" s="89" t="s">
        <v>1151</v>
      </c>
      <c r="G60" s="95">
        <f>ROUND(DQREF_MAX_SPEED_DROP_FACTOR,0)</f>
        <v>15490</v>
      </c>
      <c r="H60" s="94" t="str">
        <f>IF(G60&lt;&gt;"",IF(C60="float32",FLOAT2HEX(G60),DEC2HEX(G60,8)),"")</f>
        <v>00003C82</v>
      </c>
      <c r="I60" s="94">
        <f t="shared" ref="I60:I71" si="4">IF(G60&lt;&gt;"",HEX2DEC(H60),"")</f>
        <v>15490</v>
      </c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</row>
    <row r="61" spans="1:21" s="88" customFormat="1" ht="15" customHeight="1">
      <c r="A61" s="96">
        <f>IF(I61&lt;&gt;"",MAX(A$1:A60)+1,"")</f>
        <v>48</v>
      </c>
      <c r="B61" s="97" t="s">
        <v>1150</v>
      </c>
      <c r="C61" s="88" t="s">
        <v>57</v>
      </c>
      <c r="D61" s="88">
        <f t="shared" si="3"/>
        <v>4</v>
      </c>
      <c r="E61" s="89" t="s">
        <v>1155</v>
      </c>
      <c r="G61" s="95">
        <f>ROUND(DQREF_MIN_AVAILABLE_VOLT_FACTOR/100*32768,0)</f>
        <v>30802</v>
      </c>
      <c r="H61" s="94" t="str">
        <f>IF(G61&lt;&gt;"",IF(C61="float32",FLOAT2HEX(G61),DEC2HEX(G61,8)),"")</f>
        <v>00007852</v>
      </c>
      <c r="I61" s="94">
        <f t="shared" si="4"/>
        <v>30802</v>
      </c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</row>
    <row r="62" spans="1:21" s="75" customFormat="1" ht="15" customHeight="1">
      <c r="A62" s="96">
        <f>IF(I62&lt;&gt;"",MAX(A$1:A61)+1,"")</f>
        <v>49</v>
      </c>
      <c r="B62" s="87" t="s">
        <v>1138</v>
      </c>
      <c r="C62" s="83" t="s">
        <v>57</v>
      </c>
      <c r="D62" s="75">
        <f t="shared" si="3"/>
        <v>4</v>
      </c>
      <c r="E62" s="89" t="s">
        <v>1156</v>
      </c>
      <c r="G62" s="77">
        <f>ROUND(DQREF_SPEED_DROP_FACTOR,0)</f>
        <v>15488</v>
      </c>
      <c r="H62" s="94" t="str">
        <f>IF(G62&lt;&gt;"",IF(C62="float32",FLOAT2HEX(G62),DEC2HEX(G62,8)),"")</f>
        <v>00003C80</v>
      </c>
      <c r="I62" s="94">
        <f t="shared" si="4"/>
        <v>15488</v>
      </c>
      <c r="J62" s="77"/>
      <c r="K62" s="77"/>
      <c r="L62" s="77"/>
      <c r="M62" s="77"/>
      <c r="N62" s="77"/>
      <c r="O62" s="77"/>
      <c r="P62" s="77"/>
      <c r="Q62" s="77"/>
      <c r="R62" s="77"/>
      <c r="S62" s="77"/>
      <c r="T62" s="77"/>
      <c r="U62" s="77"/>
    </row>
    <row r="63" spans="1:21" ht="15" customHeight="1">
      <c r="A63" s="96">
        <f>IF(I63&lt;&gt;"",MAX(A$1:A62)+1,"")</f>
        <v>50</v>
      </c>
      <c r="B63" s="73" t="s">
        <v>1110</v>
      </c>
      <c r="C63" t="s">
        <v>57</v>
      </c>
      <c r="D63" s="20">
        <f t="shared" si="3"/>
        <v>4</v>
      </c>
      <c r="E63" s="2" t="s">
        <v>608</v>
      </c>
      <c r="G63" s="11">
        <f>ROUND((((ROTOR_LAMBDAM * 32768)/BASE_FLUX)),0)</f>
        <v>8749</v>
      </c>
      <c r="H63" s="94" t="str">
        <f>IF(G63&lt;&gt;"",IF(C63="float32",FLOAT2HEX(G63),DEC2HEX(G63,8)),"")</f>
        <v>0000222D</v>
      </c>
      <c r="I63" s="94">
        <f t="shared" si="4"/>
        <v>8749</v>
      </c>
    </row>
    <row r="64" spans="1:21" s="60" customFormat="1" ht="15" customHeight="1">
      <c r="A64" s="96">
        <f>IF(I64&lt;&gt;"",MAX(A$1:A63)+1,"")</f>
        <v>51</v>
      </c>
      <c r="B64" s="73" t="s">
        <v>1113</v>
      </c>
      <c r="C64" s="60" t="s">
        <v>57</v>
      </c>
      <c r="D64" s="68">
        <f t="shared" ref="D64:D70" si="5">IF(OR(C64="sint64",C64="uint64",C64="double64"), 8, IF(OR(C64="sint32",C64="uint32",C64="float32"),4,IF(OR(C64="sint16",C64="uint16"),2,  IF(OR(C64="sint8",C64="uint8"),1,""))))</f>
        <v>4</v>
      </c>
      <c r="E64" s="61" t="s">
        <v>1114</v>
      </c>
      <c r="G64" s="66">
        <f>ROUND((1/OBSERVER_TS)*FLUX_REF_SCALE_TIME,0)</f>
        <v>12000</v>
      </c>
      <c r="H64" s="94" t="str">
        <f>IF(G64&lt;&gt;"",IF(C64="float32",FLOAT2HEX(G64),DEC2HEX(G64,8)),"")</f>
        <v>00002EE0</v>
      </c>
      <c r="I64" s="94">
        <f t="shared" si="4"/>
        <v>12000</v>
      </c>
      <c r="J64" s="66"/>
      <c r="K64" s="66"/>
      <c r="L64" s="66"/>
      <c r="M64" s="66"/>
      <c r="N64" s="66"/>
      <c r="O64" s="66"/>
      <c r="P64" s="66"/>
      <c r="Q64" s="66"/>
      <c r="R64" s="66"/>
      <c r="S64" s="66"/>
      <c r="T64" s="66"/>
      <c r="U64" s="66"/>
    </row>
    <row r="65" spans="1:21" s="75" customFormat="1" ht="15" customHeight="1">
      <c r="A65" s="96">
        <f>IF(I65&lt;&gt;"",MAX(A$1:A64)+1,"")</f>
        <v>52</v>
      </c>
      <c r="B65" s="98" t="s">
        <v>1139</v>
      </c>
      <c r="C65" s="83" t="s">
        <v>57</v>
      </c>
      <c r="D65" s="84">
        <f t="shared" si="5"/>
        <v>4</v>
      </c>
      <c r="E65" s="89" t="s">
        <v>1146</v>
      </c>
      <c r="F65" s="88"/>
      <c r="G65" s="95">
        <f>ROUND(SBPM_SPEED_OVERFULX_THRESHOLD * 32768 / BASE_SPEED_RPM,0)</f>
        <v>5445</v>
      </c>
      <c r="H65" s="94" t="str">
        <f>IF(G65&lt;&gt;"",IF(C65="float32",FLOAT2HEX(G65),DEC2HEX(G65,8)),"")</f>
        <v>00001545</v>
      </c>
      <c r="I65" s="94">
        <f t="shared" si="4"/>
        <v>5445</v>
      </c>
      <c r="J65" s="77"/>
      <c r="K65" s="77"/>
      <c r="L65" s="77"/>
      <c r="M65" s="77"/>
      <c r="N65" s="77"/>
      <c r="O65" s="77"/>
      <c r="P65" s="77"/>
      <c r="Q65" s="77"/>
      <c r="R65" s="77"/>
      <c r="S65" s="77"/>
      <c r="T65" s="77"/>
      <c r="U65" s="77"/>
    </row>
    <row r="66" spans="1:21" s="75" customFormat="1" ht="15" customHeight="1">
      <c r="A66" s="96">
        <f>IF(I66&lt;&gt;"",MAX(A$1:A65)+1,"")</f>
        <v>53</v>
      </c>
      <c r="B66" s="98" t="s">
        <v>1140</v>
      </c>
      <c r="C66" s="83" t="s">
        <v>57</v>
      </c>
      <c r="D66" s="84">
        <f t="shared" si="5"/>
        <v>4</v>
      </c>
      <c r="E66" s="89" t="s">
        <v>1147</v>
      </c>
      <c r="F66" s="88"/>
      <c r="G66" s="95">
        <f>ROUND(SBPM_OVERFLUX_FACTOR/100 * 32768,0)</f>
        <v>3277</v>
      </c>
      <c r="H66" s="94" t="str">
        <f>IF(G66&lt;&gt;"",IF(C66="float32",FLOAT2HEX(G66),DEC2HEX(G66,8)),"")</f>
        <v>00000CCD</v>
      </c>
      <c r="I66" s="94">
        <f t="shared" si="4"/>
        <v>3277</v>
      </c>
      <c r="J66" s="77"/>
      <c r="K66" s="77"/>
      <c r="L66" s="77"/>
      <c r="M66" s="77"/>
      <c r="N66" s="77"/>
      <c r="O66" s="77"/>
      <c r="P66" s="77"/>
      <c r="Q66" s="77"/>
      <c r="R66" s="77"/>
      <c r="S66" s="77"/>
      <c r="T66" s="77"/>
      <c r="U66" s="77"/>
    </row>
    <row r="67" spans="1:21" s="75" customFormat="1" ht="15" customHeight="1">
      <c r="A67" s="96">
        <f>IF(I67&lt;&gt;"",MAX(A$1:A66)+1,"")</f>
        <v>54</v>
      </c>
      <c r="B67" s="98" t="s">
        <v>1141</v>
      </c>
      <c r="C67" s="83" t="s">
        <v>57</v>
      </c>
      <c r="D67" s="84">
        <f t="shared" si="5"/>
        <v>4</v>
      </c>
      <c r="E67" s="89" t="s">
        <v>1148</v>
      </c>
      <c r="G67" s="77">
        <f>ROUND((SBPM_MIN_OVERFLUX_FACTOR/100 * 32768),0)</f>
        <v>3277</v>
      </c>
      <c r="H67" s="94" t="str">
        <f>IF(G67&lt;&gt;"",IF(C67="float32",FLOAT2HEX(G67),DEC2HEX(G67,8)),"")</f>
        <v>00000CCD</v>
      </c>
      <c r="I67" s="94">
        <f t="shared" si="4"/>
        <v>3277</v>
      </c>
      <c r="J67" s="77"/>
      <c r="K67" s="77"/>
      <c r="L67" s="77"/>
      <c r="M67" s="77"/>
      <c r="N67" s="77"/>
      <c r="O67" s="77"/>
      <c r="P67" s="77"/>
      <c r="Q67" s="77"/>
      <c r="R67" s="77"/>
      <c r="S67" s="77"/>
      <c r="T67" s="77"/>
      <c r="U67" s="77"/>
    </row>
    <row r="68" spans="1:21" s="103" customFormat="1" ht="15" customHeight="1">
      <c r="A68" s="96">
        <f>IF(I68&lt;&gt;"",MAX(A$1:A67)+1,"")</f>
        <v>55</v>
      </c>
      <c r="B68" s="98" t="s">
        <v>3138</v>
      </c>
      <c r="C68" s="103" t="s">
        <v>57</v>
      </c>
      <c r="D68" s="84">
        <f t="shared" si="5"/>
        <v>4</v>
      </c>
      <c r="E68" s="89" t="s">
        <v>3141</v>
      </c>
      <c r="G68" s="95">
        <f>ROUND((K_TORQUE_ERROR * BASE_TORQ * 32768),0)</f>
        <v>253834</v>
      </c>
      <c r="H68" s="94" t="str">
        <f>IF(G68&lt;&gt;"",IF(C68="float32",FLOAT2HEX(G68),DEC2HEX(G68,8)),"")</f>
        <v>0003DF8A</v>
      </c>
      <c r="I68" s="94">
        <f t="shared" ref="I68" si="6">IF(G68&lt;&gt;"",HEX2DEC(H68),"")</f>
        <v>253834</v>
      </c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</row>
    <row r="69" spans="1:21" s="103" customFormat="1" ht="15" customHeight="1">
      <c r="A69" s="96">
        <f>IF(I69&lt;&gt;"",MAX(A$1:A68)+1,"")</f>
        <v>56</v>
      </c>
      <c r="B69" s="98" t="s">
        <v>3139</v>
      </c>
      <c r="C69" s="103" t="s">
        <v>57</v>
      </c>
      <c r="D69" s="84">
        <f t="shared" si="5"/>
        <v>4</v>
      </c>
      <c r="E69" s="89" t="s">
        <v>3140</v>
      </c>
      <c r="G69" s="95">
        <f>ROUND((TORQUE_ERROR_SAT * 32768),0)</f>
        <v>16384</v>
      </c>
      <c r="H69" s="94" t="str">
        <f>IF(G69&lt;&gt;"",IF(C69="float32",FLOAT2HEX(G69),DEC2HEX(G69,8)),"")</f>
        <v>00004000</v>
      </c>
      <c r="I69" s="94">
        <f t="shared" ref="I69:I70" si="7">IF(G69&lt;&gt;"",HEX2DEC(H69),"")</f>
        <v>16384</v>
      </c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</row>
    <row r="70" spans="1:21" s="103" customFormat="1" ht="15" customHeight="1">
      <c r="A70" s="96">
        <f>IF(I70&lt;&gt;"",MAX(A$1:A69)+1,"")</f>
        <v>57</v>
      </c>
      <c r="B70" s="98" t="s">
        <v>3131</v>
      </c>
      <c r="C70" s="103" t="s">
        <v>57</v>
      </c>
      <c r="D70" s="84">
        <f t="shared" si="5"/>
        <v>4</v>
      </c>
      <c r="E70" s="89" t="s">
        <v>3132</v>
      </c>
      <c r="G70" s="95">
        <f>ROUND((M_INDEX_REF/100 * 32768),0)</f>
        <v>32113</v>
      </c>
      <c r="H70" s="94" t="str">
        <f>IF(G70&lt;&gt;"",IF(C70="float32",FLOAT2HEX(G70),DEC2HEX(G70,8)),"")</f>
        <v>00007D71</v>
      </c>
      <c r="I70" s="94">
        <f t="shared" si="7"/>
        <v>32113</v>
      </c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</row>
    <row r="71" spans="1:21" ht="15" customHeight="1">
      <c r="A71" s="96" t="str">
        <f>IF(I71&lt;&gt;"",MAX(A$1:A70)+1,"")</f>
        <v/>
      </c>
      <c r="B71" s="45"/>
      <c r="G71" s="11"/>
      <c r="H71" s="94" t="str">
        <f>IF(G71&lt;&gt;"",IF(C71="float32",FLOAT2HEX(G71),DEC2HEX(G71,8)),"")</f>
        <v/>
      </c>
      <c r="I71" s="94" t="str">
        <f t="shared" si="4"/>
        <v/>
      </c>
    </row>
    <row r="72" spans="1:21" s="9" customFormat="1" ht="20.100000000000001" customHeight="1">
      <c r="A72" s="96" t="str">
        <f>IF(I72&lt;&gt;"",MAX(A$1:A71)+1,"")</f>
        <v/>
      </c>
      <c r="B72" s="44" t="s">
        <v>100</v>
      </c>
      <c r="C72" s="21"/>
      <c r="D72" s="21"/>
      <c r="E72" s="21" t="str">
        <f>IF(F72&lt;&gt;"",DEC2HEX(F72,4),"")</f>
        <v/>
      </c>
      <c r="F72" s="21"/>
      <c r="G72" s="21" t="str">
        <f>IF(F72&lt;&gt;"",DEC2HEX(F72,4),"")</f>
        <v/>
      </c>
      <c r="H72" s="21" t="str">
        <f>IF(G72&lt;&gt;"",DEC2HEX(G72,4),"")</f>
        <v/>
      </c>
      <c r="I72" s="21"/>
      <c r="J72" s="16"/>
      <c r="K72" s="16"/>
      <c r="L72" s="16"/>
      <c r="M72" s="13"/>
      <c r="N72" s="13"/>
      <c r="O72" s="13"/>
      <c r="P72" s="13"/>
      <c r="Q72" s="13"/>
      <c r="R72" s="13"/>
      <c r="S72" s="13"/>
      <c r="T72" s="13"/>
      <c r="U72" s="13"/>
    </row>
    <row r="73" spans="1:21" ht="15" customHeight="1">
      <c r="A73" s="96">
        <f>IF(I73&lt;&gt;"",MAX(A$1:A72)+1,"")</f>
        <v>58</v>
      </c>
      <c r="B73" s="46" t="s">
        <v>432</v>
      </c>
      <c r="C73" t="s">
        <v>57</v>
      </c>
      <c r="D73">
        <f t="shared" ref="D73:D80" si="8">IF(OR(C73="sint64",C73="uint64",C73="double64"), 8, IF(OR(C73="sint32",C73="uint32",C73="float32"),4,IF(OR(C73="sint16",C73="uint16"),2,  IF(OR(C73="sint8",C73="uint8"),1,""))))</f>
        <v>4</v>
      </c>
      <c r="E73" s="2" t="s">
        <v>703</v>
      </c>
      <c r="G73" s="11">
        <f>ROUND(((ALGO_RUNNING_MIN_SPEED_2_IGBTS_OFF * 32768)/BASE_SPEED_RPM),0)</f>
        <v>9931</v>
      </c>
      <c r="H73" s="9" t="str">
        <f>IF(G73&lt;&gt;"",IF(C73="float32",FLOAT2HEX(G73),DEC2HEX(G73,8)),"")</f>
        <v>000026CB</v>
      </c>
      <c r="I73" s="9">
        <f t="shared" si="0"/>
        <v>9931</v>
      </c>
    </row>
    <row r="74" spans="1:21" ht="15" customHeight="1">
      <c r="A74" s="96">
        <f>IF(I74&lt;&gt;"",MAX(A$1:A73)+1,"")</f>
        <v>59</v>
      </c>
      <c r="B74" s="46" t="s">
        <v>433</v>
      </c>
      <c r="C74" t="s">
        <v>57</v>
      </c>
      <c r="D74">
        <f t="shared" si="8"/>
        <v>4</v>
      </c>
      <c r="E74" s="2" t="s">
        <v>704</v>
      </c>
      <c r="G74" s="11">
        <f>ROUND(((ALGO_RUNNING_MIN_SPEED_BEFORE_STOPPING * 32768)/BASE_SPEED_RPM),0)</f>
        <v>3310</v>
      </c>
      <c r="H74" s="9" t="str">
        <f>IF(G74&lt;&gt;"",IF(C74="float32",FLOAT2HEX(G74),DEC2HEX(G74,8)),"")</f>
        <v>00000CEE</v>
      </c>
      <c r="I74" s="9">
        <f t="shared" si="0"/>
        <v>3310</v>
      </c>
    </row>
    <row r="75" spans="1:21" ht="15" customHeight="1">
      <c r="A75" s="96">
        <f>IF(I75&lt;&gt;"",MAX(A$1:A74)+1,"")</f>
        <v>60</v>
      </c>
      <c r="B75" s="45" t="s">
        <v>434</v>
      </c>
      <c r="C75" t="s">
        <v>63</v>
      </c>
      <c r="D75">
        <f t="shared" si="8"/>
        <v>4</v>
      </c>
      <c r="E75" s="2" t="s">
        <v>705</v>
      </c>
      <c r="G75" s="11">
        <f>(ALGO_RUNNING_DEBOUNCER_2_IGBTS_OFF)</f>
        <v>5</v>
      </c>
      <c r="H75" s="9" t="str">
        <f>IF(G75&lt;&gt;"",IF(C75="float32",FLOAT2HEX(G75),DEC2HEX(G75,8)),"")</f>
        <v>00000005</v>
      </c>
      <c r="I75" s="9">
        <f t="shared" si="0"/>
        <v>5</v>
      </c>
    </row>
    <row r="76" spans="1:21" ht="15" customHeight="1">
      <c r="A76" s="96">
        <f>IF(I76&lt;&gt;"",MAX(A$1:A75)+1,"")</f>
        <v>61</v>
      </c>
      <c r="B76" s="45" t="s">
        <v>435</v>
      </c>
      <c r="C76" t="s">
        <v>63</v>
      </c>
      <c r="D76">
        <f t="shared" si="8"/>
        <v>4</v>
      </c>
      <c r="E76" s="89" t="s">
        <v>706</v>
      </c>
      <c r="G76" s="11">
        <f>(ALGO_RUNNING_TIME_IGBTS_OFF_BELOW_MIN_SPEED/0.025)</f>
        <v>72</v>
      </c>
      <c r="H76" s="9" t="str">
        <f>IF(G76&lt;&gt;"",IF(C76="float32",FLOAT2HEX(G76),DEC2HEX(G76,8)),"")</f>
        <v>00000048</v>
      </c>
      <c r="I76" s="9">
        <f t="shared" si="0"/>
        <v>72</v>
      </c>
    </row>
    <row r="77" spans="1:21" s="60" customFormat="1" ht="15" customHeight="1">
      <c r="A77" s="96">
        <f>IF(I77&lt;&gt;"",MAX(A$1:A76)+1,"")</f>
        <v>62</v>
      </c>
      <c r="B77" s="70" t="s">
        <v>1116</v>
      </c>
      <c r="C77" s="60" t="s">
        <v>63</v>
      </c>
      <c r="D77" s="60">
        <f t="shared" si="8"/>
        <v>4</v>
      </c>
      <c r="E77" s="61" t="s">
        <v>1122</v>
      </c>
      <c r="G77" s="66">
        <f>ROUND((ALGO_RUNNING_LOCKED_ROTOR_START_OR_RUNNING * 2 * MCL_INPUT_CALL_RATE_HZ), 0)</f>
        <v>64000</v>
      </c>
      <c r="H77" s="65" t="str">
        <f>IF(G77&lt;&gt;"",IF(C77="float32",FLOAT2HEX(G77),DEC2HEX(G77,8)),"")</f>
        <v>0000FA00</v>
      </c>
      <c r="I77" s="65">
        <f t="shared" ref="I77:I80" si="9">IF(G77&lt;&gt;"",HEX2DEC(H77),"")</f>
        <v>64000</v>
      </c>
      <c r="J77" s="66"/>
      <c r="K77" s="66"/>
      <c r="L77" s="66"/>
      <c r="M77" s="66"/>
      <c r="N77" s="66"/>
      <c r="O77" s="66"/>
      <c r="P77" s="66"/>
      <c r="Q77" s="66"/>
      <c r="R77" s="66"/>
      <c r="S77" s="66"/>
      <c r="T77" s="66"/>
      <c r="U77" s="66"/>
    </row>
    <row r="78" spans="1:21" s="60" customFormat="1" ht="15" customHeight="1">
      <c r="A78" s="96">
        <f>IF(I78&lt;&gt;"",MAX(A$1:A77)+1,"")</f>
        <v>63</v>
      </c>
      <c r="B78" s="70" t="s">
        <v>1117</v>
      </c>
      <c r="C78" s="60" t="s">
        <v>63</v>
      </c>
      <c r="D78" s="60">
        <f t="shared" si="8"/>
        <v>4</v>
      </c>
      <c r="E78" s="61" t="s">
        <v>1129</v>
      </c>
      <c r="G78" s="66">
        <f>ROUND((ALGO_RUNNING_LOCKED_ROTOR_STARTING_THRESHOLD / 0.005), 0)</f>
        <v>600</v>
      </c>
      <c r="H78" s="65" t="str">
        <f>IF(G78&lt;&gt;"",IF(C78="float32",FLOAT2HEX(G78),DEC2HEX(G78,8)),"")</f>
        <v>00000258</v>
      </c>
      <c r="I78" s="65">
        <f t="shared" si="9"/>
        <v>600</v>
      </c>
      <c r="J78" s="66"/>
      <c r="K78" s="66"/>
      <c r="L78" s="66"/>
      <c r="M78" s="66"/>
      <c r="N78" s="66"/>
      <c r="O78" s="66"/>
      <c r="P78" s="66"/>
      <c r="Q78" s="66"/>
      <c r="R78" s="66"/>
      <c r="S78" s="66"/>
      <c r="T78" s="66"/>
      <c r="U78" s="66"/>
    </row>
    <row r="79" spans="1:21" s="60" customFormat="1" ht="15" customHeight="1">
      <c r="A79" s="96">
        <f>IF(I79&lt;&gt;"",MAX(A$1:A78)+1,"")</f>
        <v>64</v>
      </c>
      <c r="B79" s="70" t="s">
        <v>1118</v>
      </c>
      <c r="C79" s="60" t="s">
        <v>63</v>
      </c>
      <c r="D79" s="60">
        <f t="shared" si="8"/>
        <v>4</v>
      </c>
      <c r="E79" s="61" t="s">
        <v>1130</v>
      </c>
      <c r="G79" s="66">
        <f>ROUND((ALGO_RUNNING_LOCKED_ROTOR_RUNNING_THRESHOLD / 0.005), 0)</f>
        <v>2000</v>
      </c>
      <c r="H79" s="65" t="str">
        <f>IF(G79&lt;&gt;"",IF(C79="float32",FLOAT2HEX(G79),DEC2HEX(G79,8)),"")</f>
        <v>000007D0</v>
      </c>
      <c r="I79" s="65">
        <f t="shared" si="9"/>
        <v>2000</v>
      </c>
      <c r="J79" s="66"/>
      <c r="K79" s="66"/>
      <c r="L79" s="66"/>
      <c r="M79" s="66"/>
      <c r="N79" s="66"/>
      <c r="O79" s="66"/>
      <c r="P79" s="66"/>
      <c r="Q79" s="66"/>
      <c r="R79" s="66"/>
      <c r="S79" s="66"/>
      <c r="T79" s="66"/>
      <c r="U79" s="66"/>
    </row>
    <row r="80" spans="1:21" s="60" customFormat="1" ht="15" customHeight="1">
      <c r="A80" s="96">
        <f>IF(I80&lt;&gt;"",MAX(A$1:A79)+1,"")</f>
        <v>65</v>
      </c>
      <c r="B80" s="70" t="s">
        <v>1119</v>
      </c>
      <c r="C80" s="60" t="s">
        <v>57</v>
      </c>
      <c r="D80" s="60">
        <f t="shared" si="8"/>
        <v>4</v>
      </c>
      <c r="E80" s="89" t="s">
        <v>3123</v>
      </c>
      <c r="G80" s="66">
        <f>ROUND(((ALGO_RUNNING_LOCKED_ROTOR_CURRENT_THRESHOLD*ALGO_RUNNING_LOCKED_ROTOR_CURRENT_THRESHOLD*32768*32768)/(BASE_CURRENT*BASE_CURRENT))*3/2, 0)</f>
        <v>810185756</v>
      </c>
      <c r="H80" s="65" t="str">
        <f>IF(G80&lt;&gt;"",IF(C80="float32",FLOAT2HEX(G80),DEC2HEX(G80,8)),"")</f>
        <v>304A741C</v>
      </c>
      <c r="I80" s="65">
        <f t="shared" si="9"/>
        <v>810185756</v>
      </c>
      <c r="J80" s="66"/>
      <c r="K80" s="66"/>
      <c r="L80" s="66"/>
      <c r="M80" s="66"/>
      <c r="N80" s="66"/>
      <c r="O80" s="66"/>
      <c r="P80" s="66"/>
      <c r="Q80" s="66"/>
      <c r="R80" s="66"/>
      <c r="S80" s="66"/>
      <c r="T80" s="66"/>
      <c r="U80" s="66"/>
    </row>
    <row r="81" spans="1:21" ht="15" customHeight="1">
      <c r="A81" s="96" t="str">
        <f>IF(I81&lt;&gt;"",MAX(A$1:A80)+1,"")</f>
        <v/>
      </c>
      <c r="B81" s="45"/>
      <c r="G81" s="11"/>
      <c r="H81" s="9" t="str">
        <f>IF(G81&lt;&gt;"",IF(C81="float32",FLOAT2HEX(G81),DEC2HEX(G81,8)),"")</f>
        <v/>
      </c>
      <c r="I81" s="9" t="str">
        <f t="shared" si="0"/>
        <v/>
      </c>
    </row>
    <row r="82" spans="1:21" s="9" customFormat="1" ht="20.100000000000001" customHeight="1">
      <c r="A82" s="81" t="str">
        <f>IF(I82&lt;&gt;"",MAX(A$1:A81)+1,"")</f>
        <v/>
      </c>
      <c r="B82" s="44" t="s">
        <v>427</v>
      </c>
      <c r="C82" s="21"/>
      <c r="D82" s="21"/>
      <c r="E82" s="21" t="str">
        <f>IF(F82&lt;&gt;"",DEC2HEX(F82,4),"")</f>
        <v/>
      </c>
      <c r="F82" s="21"/>
      <c r="G82" s="21" t="str">
        <f>IF(F82&lt;&gt;"",DEC2HEX(F82,4),"")</f>
        <v/>
      </c>
      <c r="H82" s="21" t="str">
        <f>IF(G82&lt;&gt;"",DEC2HEX(G82,4),"")</f>
        <v/>
      </c>
      <c r="I82" s="21"/>
      <c r="J82" s="16"/>
      <c r="K82" s="16"/>
      <c r="L82" s="16"/>
      <c r="M82" s="13"/>
      <c r="N82" s="13"/>
      <c r="O82" s="13"/>
      <c r="P82" s="13"/>
      <c r="Q82" s="13"/>
      <c r="R82" s="13"/>
      <c r="S82" s="13"/>
      <c r="T82" s="13"/>
      <c r="U82" s="13"/>
    </row>
    <row r="83" spans="1:21" ht="15" customHeight="1">
      <c r="A83" s="81">
        <f>IF(I83&lt;&gt;"",MAX(A$1:A82)+1,"")</f>
        <v>66</v>
      </c>
      <c r="B83" s="45" t="s">
        <v>429</v>
      </c>
      <c r="C83" t="s">
        <v>63</v>
      </c>
      <c r="D83">
        <f>IF(OR(C83="sint64",C83="uint64",C83="double64"), 8, IF(OR(C83="sint32",C83="uint32",C83="float32"),4,IF(OR(C83="sint16",C83="uint16"),2,  IF(OR(C83="sint8",C83="uint8"),1,""))))</f>
        <v>4</v>
      </c>
      <c r="E83" s="89" t="s">
        <v>707</v>
      </c>
      <c r="G83">
        <f>ROUND((ALGO_BUILD_FLUX_STARTING_TIME/ALGO_BUILD_FLUX_TS),0)</f>
        <v>8000</v>
      </c>
      <c r="H83" s="9" t="str">
        <f>IF(G83&lt;&gt;"",IF(C83="float32",FLOAT2HEX(G83),DEC2HEX(G83,8)),"")</f>
        <v>00001F40</v>
      </c>
      <c r="I83" s="9">
        <f t="shared" si="0"/>
        <v>8000</v>
      </c>
      <c r="J83"/>
      <c r="K83"/>
      <c r="L83"/>
      <c r="M83"/>
      <c r="N83"/>
      <c r="O83"/>
      <c r="P83"/>
      <c r="Q83"/>
      <c r="R83"/>
      <c r="S83"/>
      <c r="T83"/>
      <c r="U83"/>
    </row>
    <row r="84" spans="1:21" ht="15" customHeight="1">
      <c r="A84" s="81">
        <f>IF(I84&lt;&gt;"",MAX(A$1:A83)+1,"")</f>
        <v>67</v>
      </c>
      <c r="B84" s="45" t="s">
        <v>430</v>
      </c>
      <c r="C84" t="s">
        <v>57</v>
      </c>
      <c r="D84">
        <f>IF(OR(C84="sint64",C84="uint64",C84="double64"), 8, IF(OR(C84="sint32",C84="uint32",C84="float32"),4,IF(OR(C84="sint16",C84="uint16"),2,  IF(OR(C84="sint8",C84="uint8"),1,""))))</f>
        <v>4</v>
      </c>
      <c r="E84" s="2" t="s">
        <v>708</v>
      </c>
      <c r="G84" s="49">
        <f>ROUND((ALGO_BUILD_FLUX_MIN_CURRENT*(32768/BASE_CURRENT)),0)</f>
        <v>2990</v>
      </c>
      <c r="H84" s="9" t="str">
        <f>IF(G84&lt;&gt;"",IF(C84="float32",FLOAT2HEX(G84),DEC2HEX(G84,8)),"")</f>
        <v>00000BAE</v>
      </c>
      <c r="I84" s="9">
        <f t="shared" si="0"/>
        <v>2990</v>
      </c>
      <c r="J84"/>
      <c r="K84"/>
      <c r="L84"/>
      <c r="M84"/>
      <c r="N84"/>
      <c r="O84"/>
      <c r="P84"/>
      <c r="Q84"/>
      <c r="R84"/>
      <c r="S84"/>
      <c r="T84"/>
      <c r="U84"/>
    </row>
    <row r="85" spans="1:21" ht="15" customHeight="1">
      <c r="A85" s="81">
        <f>IF(I85&lt;&gt;"",MAX(A$1:A84)+1,"")</f>
        <v>68</v>
      </c>
      <c r="B85" s="45" t="s">
        <v>428</v>
      </c>
      <c r="C85" t="s">
        <v>57</v>
      </c>
      <c r="D85">
        <f>IF(OR(C85="sint64",C85="uint64",C85="double64"), 8, IF(OR(C85="sint32",C85="uint32",C85="float32"),4,IF(OR(C85="sint16",C85="uint16"),2,  IF(OR(C85="sint8",C85="uint8"),1,""))))</f>
        <v>4</v>
      </c>
      <c r="E85" s="2" t="s">
        <v>709</v>
      </c>
      <c r="G85">
        <f>ROUND(((ALGO_BUILD_FLUX_RATIO_2_FORCE_FLUX/100)*ROTOR_LAMBDAM)*(32768/BASE_FLUX),0)</f>
        <v>9798</v>
      </c>
      <c r="H85" s="9" t="str">
        <f>IF(G85&lt;&gt;"",IF(C85="float32",FLOAT2HEX(G85),DEC2HEX(G85,8)),"")</f>
        <v>00002646</v>
      </c>
      <c r="I85" s="9">
        <f t="shared" si="0"/>
        <v>9798</v>
      </c>
      <c r="J85"/>
      <c r="K85"/>
      <c r="L85"/>
      <c r="M85"/>
      <c r="N85"/>
      <c r="O85"/>
      <c r="P85"/>
      <c r="Q85"/>
      <c r="R85"/>
      <c r="S85"/>
      <c r="T85"/>
      <c r="U85"/>
    </row>
    <row r="86" spans="1:21" ht="15" customHeight="1">
      <c r="A86" s="81">
        <f>IF(I86&lt;&gt;"",MAX(A$1:A85)+1,"")</f>
        <v>69</v>
      </c>
      <c r="B86" s="45" t="s">
        <v>431</v>
      </c>
      <c r="C86" t="s">
        <v>57</v>
      </c>
      <c r="D86">
        <f>IF(OR(C86="sint64",C86="uint64",C86="double64"), 8, IF(OR(C86="sint32",C86="uint32",C86="float32"),4,IF(OR(C86="sint16",C86="uint16"),2,  IF(OR(C86="sint8",C86="uint8"),1,""))))</f>
        <v>4</v>
      </c>
      <c r="E86" s="2" t="s">
        <v>710</v>
      </c>
      <c r="G86">
        <f>ROUND(ALGO_BUILD_FLUX_INCREMENT/BASE_FLUX*32768,0)</f>
        <v>2</v>
      </c>
      <c r="H86" s="9" t="str">
        <f>IF(G86&lt;&gt;"",IF(C86="float32",FLOAT2HEX(G86),DEC2HEX(G86,8)),"")</f>
        <v>00000002</v>
      </c>
      <c r="I86" s="9">
        <f t="shared" si="0"/>
        <v>2</v>
      </c>
      <c r="J86"/>
      <c r="K86"/>
      <c r="L86"/>
      <c r="M86"/>
      <c r="N86"/>
      <c r="O86"/>
      <c r="P86"/>
      <c r="Q86"/>
      <c r="R86"/>
      <c r="S86"/>
      <c r="T86"/>
      <c r="U86"/>
    </row>
    <row r="87" spans="1:21" ht="15" customHeight="1">
      <c r="A87" s="81" t="str">
        <f>IF(I87&lt;&gt;"",MAX(A$1:A86)+1,"")</f>
        <v/>
      </c>
      <c r="B87" s="45"/>
      <c r="D87" t="str">
        <f>IF(OR(C87="sint64",C87="uint64",C87="double64"), 8, IF(OR(C87="sint32",C87="uint32",C87="float32"),4,IF(OR(C87="sint16",C87="uint16"),2,  IF(OR(C87="sint8",C87="uint8"),1,""))))</f>
        <v/>
      </c>
      <c r="H87" s="9" t="str">
        <f>IF(G87&lt;&gt;"",IF(C87="float32",FLOAT2HEX(G87),DEC2HEX(G87,8)),"")</f>
        <v/>
      </c>
      <c r="I87" s="9" t="str">
        <f t="shared" si="0"/>
        <v/>
      </c>
      <c r="J87"/>
      <c r="K87"/>
      <c r="L87"/>
      <c r="M87"/>
      <c r="N87"/>
      <c r="O87"/>
      <c r="P87"/>
      <c r="Q87"/>
      <c r="R87"/>
      <c r="S87"/>
      <c r="T87"/>
      <c r="U87"/>
    </row>
    <row r="88" spans="1:21" s="9" customFormat="1" ht="20.100000000000001" customHeight="1">
      <c r="A88" s="81" t="str">
        <f>IF(I88&lt;&gt;"",MAX(A$1:A87)+1,"")</f>
        <v/>
      </c>
      <c r="B88" s="44" t="s">
        <v>104</v>
      </c>
      <c r="C88" s="21"/>
      <c r="D88" s="21"/>
      <c r="E88" s="21"/>
      <c r="F88" s="21"/>
      <c r="G88" s="21"/>
      <c r="H88" s="21" t="str">
        <f>IF(G88&lt;&gt;"",DEC2HEX(G88,4),"")</f>
        <v/>
      </c>
      <c r="I88" s="21"/>
      <c r="J88" s="16"/>
      <c r="K88" s="16"/>
      <c r="L88" s="16"/>
      <c r="M88" s="13"/>
      <c r="N88" s="13"/>
      <c r="O88" s="13"/>
      <c r="P88" s="13"/>
      <c r="Q88" s="13"/>
      <c r="R88" s="13"/>
      <c r="S88" s="13"/>
      <c r="T88" s="13"/>
      <c r="U88" s="13"/>
    </row>
    <row r="89" spans="1:21" ht="15" customHeight="1">
      <c r="A89" s="81">
        <f>IF(I89&lt;&gt;"",MAX(A$1:A88)+1,"")</f>
        <v>70</v>
      </c>
      <c r="B89" s="45" t="s">
        <v>105</v>
      </c>
      <c r="C89" t="s">
        <v>57</v>
      </c>
      <c r="D89">
        <f t="shared" ref="D89:D118" si="10">IF(OR(C89="sint64",C89="uint64",C89="double64"), 8, IF(OR(C89="sint32",C89="uint32",C89="float32"),4,IF(OR(C89="sint16",C89="uint16"),2,  IF(OR(C89="sint8",C89="uint8"),1,""))))</f>
        <v>4</v>
      </c>
      <c r="E89" s="89" t="s">
        <v>711</v>
      </c>
      <c r="G89" s="11">
        <f>ROUND((ALGO_RES_EST_TIMEOUT_THRESHOLD * (1/ALGO_RES_EST_TS)),0)</f>
        <v>2500</v>
      </c>
      <c r="H89" s="9" t="str">
        <f>IF(G89&lt;&gt;"",IF(C89="float32",FLOAT2HEX(G89),DEC2HEX(G89,8)),"")</f>
        <v>000009C4</v>
      </c>
      <c r="I89" s="9">
        <f t="shared" si="0"/>
        <v>2500</v>
      </c>
    </row>
    <row r="90" spans="1:21" ht="15" customHeight="1">
      <c r="A90" s="81">
        <f>IF(I90&lt;&gt;"",MAX(A$1:A89)+1,"")</f>
        <v>71</v>
      </c>
      <c r="B90" s="45" t="s">
        <v>106</v>
      </c>
      <c r="C90" t="s">
        <v>57</v>
      </c>
      <c r="D90">
        <f t="shared" si="10"/>
        <v>4</v>
      </c>
      <c r="E90" s="2" t="s">
        <v>712</v>
      </c>
      <c r="G90" s="11">
        <f>ROUND((ALGO_RES_EST_CURR_1ST_PLATEAU/BASE_CURRENT)*32768,0)</f>
        <v>15945</v>
      </c>
      <c r="H90" s="9" t="str">
        <f>IF(G90&lt;&gt;"",IF(C90="float32",FLOAT2HEX(G90),DEC2HEX(G90,8)),"")</f>
        <v>00003E49</v>
      </c>
      <c r="I90" s="9">
        <f t="shared" si="0"/>
        <v>15945</v>
      </c>
    </row>
    <row r="91" spans="1:21" ht="15" customHeight="1">
      <c r="A91" s="81">
        <f>IF(I91&lt;&gt;"",MAX(A$1:A90)+1,"")</f>
        <v>72</v>
      </c>
      <c r="B91" s="45" t="s">
        <v>107</v>
      </c>
      <c r="C91" t="s">
        <v>57</v>
      </c>
      <c r="D91">
        <f t="shared" si="10"/>
        <v>4</v>
      </c>
      <c r="E91" s="2" t="s">
        <v>713</v>
      </c>
      <c r="G91" s="11">
        <f>ROUND((ALGO_RES_EST_CURR_2ND_PLATEAU/BASE_CURRENT)*32768,0)</f>
        <v>19932</v>
      </c>
      <c r="H91" s="9" t="str">
        <f>IF(G91&lt;&gt;"",IF(C91="float32",FLOAT2HEX(G91),DEC2HEX(G91,8)),"")</f>
        <v>00004DDC</v>
      </c>
      <c r="I91" s="9">
        <f t="shared" ref="I91:I131" si="11">IF(G91&lt;&gt;"",HEX2DEC(H91),"")</f>
        <v>19932</v>
      </c>
    </row>
    <row r="92" spans="1:21" ht="15" customHeight="1">
      <c r="A92" s="81">
        <f>IF(I92&lt;&gt;"",MAX(A$1:A91)+1,"")</f>
        <v>73</v>
      </c>
      <c r="B92" s="45" t="s">
        <v>108</v>
      </c>
      <c r="C92" t="s">
        <v>57</v>
      </c>
      <c r="D92">
        <f t="shared" si="10"/>
        <v>4</v>
      </c>
      <c r="E92" s="2" t="s">
        <v>714</v>
      </c>
      <c r="G92" s="11">
        <f>ROUND((ALGO_RES_EST_CURR_3RD_PLATEAU/BASE_CURRENT)*32768,0)</f>
        <v>3986</v>
      </c>
      <c r="H92" s="9" t="str">
        <f>IF(G92&lt;&gt;"",IF(C92="float32",FLOAT2HEX(G92),DEC2HEX(G92,8)),"")</f>
        <v>00000F92</v>
      </c>
      <c r="I92" s="9">
        <f t="shared" si="11"/>
        <v>3986</v>
      </c>
    </row>
    <row r="93" spans="1:21" ht="15" customHeight="1">
      <c r="A93" s="81">
        <f>IF(I93&lt;&gt;"",MAX(A$1:A92)+1,"")</f>
        <v>74</v>
      </c>
      <c r="B93" s="45" t="s">
        <v>109</v>
      </c>
      <c r="C93" t="s">
        <v>57</v>
      </c>
      <c r="D93">
        <f t="shared" si="10"/>
        <v>4</v>
      </c>
      <c r="E93" s="2" t="s">
        <v>715</v>
      </c>
      <c r="G93" s="11">
        <f>ROUND(ALGO_RES_EST_1ST_PLATEAU_TIME/ALGO_RES_EST_TS,0)</f>
        <v>600</v>
      </c>
      <c r="H93" s="9" t="str">
        <f>IF(G93&lt;&gt;"",IF(C93="float32",FLOAT2HEX(G93),DEC2HEX(G93,8)),"")</f>
        <v>00000258</v>
      </c>
      <c r="I93" s="9">
        <f t="shared" si="11"/>
        <v>600</v>
      </c>
    </row>
    <row r="94" spans="1:21" ht="15" customHeight="1">
      <c r="A94" s="81">
        <f>IF(I94&lt;&gt;"",MAX(A$1:A93)+1,"")</f>
        <v>75</v>
      </c>
      <c r="B94" s="45" t="s">
        <v>110</v>
      </c>
      <c r="C94" t="s">
        <v>57</v>
      </c>
      <c r="D94">
        <f t="shared" si="10"/>
        <v>4</v>
      </c>
      <c r="E94" s="2" t="s">
        <v>716</v>
      </c>
      <c r="G94" s="11">
        <f>ROUND(ALGO_RES_EST_2ND_PLATEAU_TIME/ALGO_RES_EST_TS,0)</f>
        <v>600</v>
      </c>
      <c r="H94" s="9" t="str">
        <f>IF(G94&lt;&gt;"",IF(C94="float32",FLOAT2HEX(G94),DEC2HEX(G94,8)),"")</f>
        <v>00000258</v>
      </c>
      <c r="I94" s="9">
        <f t="shared" si="11"/>
        <v>600</v>
      </c>
    </row>
    <row r="95" spans="1:21" ht="15" customHeight="1">
      <c r="A95" s="81">
        <f>IF(I95&lt;&gt;"",MAX(A$1:A94)+1,"")</f>
        <v>76</v>
      </c>
      <c r="B95" s="45" t="s">
        <v>111</v>
      </c>
      <c r="C95" t="s">
        <v>57</v>
      </c>
      <c r="D95">
        <f t="shared" si="10"/>
        <v>4</v>
      </c>
      <c r="E95" s="2" t="s">
        <v>717</v>
      </c>
      <c r="G95" s="11">
        <f>ROUND(ALGO_RES_EST_3RD_PLATEAU_TIME/ALGO_RES_EST_TS,0)</f>
        <v>400</v>
      </c>
      <c r="H95" s="9" t="str">
        <f>IF(G95&lt;&gt;"",IF(C95="float32",FLOAT2HEX(G95),DEC2HEX(G95,8)),"")</f>
        <v>00000190</v>
      </c>
      <c r="I95" s="9">
        <f t="shared" si="11"/>
        <v>400</v>
      </c>
    </row>
    <row r="96" spans="1:21" ht="15" customHeight="1">
      <c r="A96" s="81">
        <f>IF(I96&lt;&gt;"",MAX(A$1:A95)+1,"")</f>
        <v>77</v>
      </c>
      <c r="B96" s="45" t="s">
        <v>112</v>
      </c>
      <c r="C96" t="s">
        <v>57</v>
      </c>
      <c r="D96">
        <f t="shared" si="10"/>
        <v>4</v>
      </c>
      <c r="E96" s="2" t="s">
        <v>718</v>
      </c>
      <c r="G96" s="11">
        <f>ROUND((ALGO_RES_EST_VOLTAGE_STEP_1ST_PLATEAU/BASE_VOLTAGE)*32768,0)</f>
        <v>10</v>
      </c>
      <c r="H96" s="9" t="str">
        <f>IF(G96&lt;&gt;"",IF(C96="float32",FLOAT2HEX(G96),DEC2HEX(G96,8)),"")</f>
        <v>0000000A</v>
      </c>
      <c r="I96" s="9">
        <f t="shared" si="11"/>
        <v>10</v>
      </c>
    </row>
    <row r="97" spans="1:21" ht="15" customHeight="1">
      <c r="A97" s="81">
        <f>IF(I97&lt;&gt;"",MAX(A$1:A96)+1,"")</f>
        <v>78</v>
      </c>
      <c r="B97" s="45" t="s">
        <v>113</v>
      </c>
      <c r="C97" t="s">
        <v>57</v>
      </c>
      <c r="D97">
        <f t="shared" si="10"/>
        <v>4</v>
      </c>
      <c r="E97" s="2" t="s">
        <v>719</v>
      </c>
      <c r="G97" s="11">
        <f>ROUND((ALGO_RES_EST_VOLTAGE_STEP_2ND_PLATEAU/BASE_VOLTAGE)*32768,0)</f>
        <v>10</v>
      </c>
      <c r="H97" s="9" t="str">
        <f>IF(G97&lt;&gt;"",IF(C97="float32",FLOAT2HEX(G97),DEC2HEX(G97,8)),"")</f>
        <v>0000000A</v>
      </c>
      <c r="I97" s="9">
        <f t="shared" si="11"/>
        <v>10</v>
      </c>
    </row>
    <row r="98" spans="1:21" ht="15" customHeight="1">
      <c r="A98" s="81">
        <f>IF(I98&lt;&gt;"",MAX(A$1:A97)+1,"")</f>
        <v>79</v>
      </c>
      <c r="B98" s="45" t="s">
        <v>114</v>
      </c>
      <c r="C98" t="s">
        <v>57</v>
      </c>
      <c r="D98">
        <f t="shared" si="10"/>
        <v>4</v>
      </c>
      <c r="E98" s="2" t="s">
        <v>720</v>
      </c>
      <c r="G98">
        <f>ROUND((ALGO_RES_EST_VOLTAGE_STEP_3RD_PLATEAU/BASE_VOLTAGE)*32768,0)</f>
        <v>10</v>
      </c>
      <c r="H98" s="9" t="str">
        <f>IF(G98&lt;&gt;"",IF(C98="float32",FLOAT2HEX(G98),DEC2HEX(G98,8)),"")</f>
        <v>0000000A</v>
      </c>
      <c r="I98" s="9">
        <f t="shared" si="11"/>
        <v>10</v>
      </c>
      <c r="J98"/>
      <c r="K98"/>
      <c r="L98"/>
      <c r="M98"/>
      <c r="N98"/>
      <c r="O98"/>
      <c r="P98"/>
      <c r="Q98"/>
      <c r="R98"/>
      <c r="S98"/>
      <c r="T98"/>
      <c r="U98"/>
    </row>
    <row r="99" spans="1:21" ht="15" customHeight="1">
      <c r="A99" s="81">
        <f>IF(I99&lt;&gt;"",MAX(A$1:A98)+1,"")</f>
        <v>80</v>
      </c>
      <c r="B99" s="45" t="s">
        <v>115</v>
      </c>
      <c r="C99" t="s">
        <v>57</v>
      </c>
      <c r="D99">
        <f t="shared" si="10"/>
        <v>4</v>
      </c>
      <c r="E99" s="2" t="s">
        <v>721</v>
      </c>
      <c r="G99">
        <f>ROUND(ALGO_RES_EST_OSCILLATION_CHECK_TIME/ALGO_RES_EST_TS,0)</f>
        <v>100</v>
      </c>
      <c r="H99" s="9" t="str">
        <f>IF(G99&lt;&gt;"",IF(C99="float32",FLOAT2HEX(G99),DEC2HEX(G99,8)),"")</f>
        <v>00000064</v>
      </c>
      <c r="I99" s="9">
        <f t="shared" si="11"/>
        <v>100</v>
      </c>
      <c r="J99"/>
      <c r="K99"/>
      <c r="L99"/>
      <c r="M99"/>
      <c r="N99"/>
      <c r="O99"/>
      <c r="P99"/>
      <c r="Q99"/>
      <c r="R99"/>
      <c r="S99"/>
      <c r="T99"/>
      <c r="U99"/>
    </row>
    <row r="100" spans="1:21" ht="15" customHeight="1">
      <c r="A100" s="81">
        <f>IF(I100&lt;&gt;"",MAX(A$1:A99)+1,"")</f>
        <v>81</v>
      </c>
      <c r="B100" s="45" t="s">
        <v>116</v>
      </c>
      <c r="C100" t="s">
        <v>57</v>
      </c>
      <c r="D100">
        <f t="shared" si="10"/>
        <v>4</v>
      </c>
      <c r="E100" s="2" t="s">
        <v>722</v>
      </c>
      <c r="G100">
        <f>ROUND(ALGO_RES_EST_NUMBER_OF_SAMPLES,0)</f>
        <v>300</v>
      </c>
      <c r="H100" s="9" t="str">
        <f>IF(G100&lt;&gt;"",IF(C100="float32",FLOAT2HEX(G100),DEC2HEX(G100,8)),"")</f>
        <v>0000012C</v>
      </c>
      <c r="I100" s="9">
        <f t="shared" si="11"/>
        <v>300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ht="15" customHeight="1">
      <c r="A101" s="81">
        <f>IF(I101&lt;&gt;"",MAX(A$1:A100)+1,"")</f>
        <v>82</v>
      </c>
      <c r="B101" s="45" t="s">
        <v>117</v>
      </c>
      <c r="C101" t="s">
        <v>57</v>
      </c>
      <c r="D101">
        <f t="shared" si="10"/>
        <v>4</v>
      </c>
      <c r="E101" s="2" t="s">
        <v>723</v>
      </c>
      <c r="G101">
        <f>ROUND((ALGO_RES_EST_STATOR_RESISTANCE/BASE_Z)*32768,0)</f>
        <v>3156</v>
      </c>
      <c r="H101" s="9" t="str">
        <f>IF(G101&lt;&gt;"",IF(C101="float32",FLOAT2HEX(G101),DEC2HEX(G101,8)),"")</f>
        <v>00000C54</v>
      </c>
      <c r="I101" s="9">
        <f t="shared" si="11"/>
        <v>3156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ht="15" customHeight="1">
      <c r="A102" s="81">
        <f>IF(I102&lt;&gt;"",MAX(A$1:A101)+1,"")</f>
        <v>83</v>
      </c>
      <c r="B102" s="45" t="s">
        <v>118</v>
      </c>
      <c r="C102" t="s">
        <v>63</v>
      </c>
      <c r="D102">
        <f t="shared" si="10"/>
        <v>4</v>
      </c>
      <c r="E102" s="2" t="s">
        <v>724</v>
      </c>
      <c r="G102">
        <f>ROUND(((4 - ALGO_RES_EST_TIMEOUT_1ST_PLATEAU) / ALGO_RES_EST_TS),0)</f>
        <v>1000</v>
      </c>
      <c r="H102" s="9" t="str">
        <f>IF(G102&lt;&gt;"",IF(C102="float32",FLOAT2HEX(G102),DEC2HEX(G102,8)),"")</f>
        <v>000003E8</v>
      </c>
      <c r="I102" s="9">
        <f t="shared" si="11"/>
        <v>1000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ht="15" customHeight="1">
      <c r="A103" s="81">
        <f>IF(I103&lt;&gt;"",MAX(A$1:A102)+1,"")</f>
        <v>84</v>
      </c>
      <c r="B103" s="45" t="s">
        <v>119</v>
      </c>
      <c r="C103" t="s">
        <v>63</v>
      </c>
      <c r="D103">
        <f t="shared" si="10"/>
        <v>4</v>
      </c>
      <c r="E103" s="2" t="s">
        <v>725</v>
      </c>
      <c r="G103">
        <f>ROUND(((4 - ALGO_RES_EST_TIMEOUT_2ND_PLATEAU) / ALGO_RES_EST_TS),0)</f>
        <v>500</v>
      </c>
      <c r="H103" s="9" t="str">
        <f>IF(G103&lt;&gt;"",IF(C103="float32",FLOAT2HEX(G103),DEC2HEX(G103,8)),"")</f>
        <v>000001F4</v>
      </c>
      <c r="I103" s="9">
        <f t="shared" si="11"/>
        <v>500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ht="15" customHeight="1">
      <c r="A104" s="81">
        <f>IF(I104&lt;&gt;"",MAX(A$1:A103)+1,"")</f>
        <v>85</v>
      </c>
      <c r="B104" s="45" t="s">
        <v>120</v>
      </c>
      <c r="C104" t="s">
        <v>57</v>
      </c>
      <c r="D104">
        <f t="shared" si="10"/>
        <v>4</v>
      </c>
      <c r="E104" s="2" t="s">
        <v>726</v>
      </c>
      <c r="G104">
        <f>ROUND((ALGO_RES_EST_OSCILLATION_SPEED_THRESHOLD/BASE_SPEED_RPM)*32768,0)</f>
        <v>4</v>
      </c>
      <c r="H104" s="9" t="str">
        <f>IF(G104&lt;&gt;"",IF(C104="float32",FLOAT2HEX(G104),DEC2HEX(G104,8)),"")</f>
        <v>00000004</v>
      </c>
      <c r="I104" s="9">
        <f t="shared" si="11"/>
        <v>4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ht="15" customHeight="1">
      <c r="A105" s="81">
        <f>IF(I105&lt;&gt;"",MAX(A$1:A104)+1,"")</f>
        <v>86</v>
      </c>
      <c r="B105" s="45" t="s">
        <v>121</v>
      </c>
      <c r="C105" t="s">
        <v>63</v>
      </c>
      <c r="D105">
        <f t="shared" si="10"/>
        <v>4</v>
      </c>
      <c r="E105" s="2" t="s">
        <v>727</v>
      </c>
      <c r="G105">
        <f>ROUND((4 / ALGO_RES_EST_TS),0)</f>
        <v>4000</v>
      </c>
      <c r="H105" s="9" t="str">
        <f>IF(G105&lt;&gt;"",IF(C105="float32",FLOAT2HEX(G105),DEC2HEX(G105,8)),"")</f>
        <v>00000FA0</v>
      </c>
      <c r="I105" s="9">
        <f t="shared" si="11"/>
        <v>4000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ht="15" customHeight="1">
      <c r="A106" s="81">
        <f>IF(I106&lt;&gt;"",MAX(A$1:A105)+1,"")</f>
        <v>87</v>
      </c>
      <c r="B106" s="45" t="s">
        <v>122</v>
      </c>
      <c r="C106" t="s">
        <v>63</v>
      </c>
      <c r="D106">
        <f t="shared" si="10"/>
        <v>4</v>
      </c>
      <c r="E106" s="89" t="s">
        <v>728</v>
      </c>
      <c r="G106">
        <f>ROUND(ALGO_RES_EST_TS/ALGO_RES_EST_HANDLER_TS,0)-1</f>
        <v>7</v>
      </c>
      <c r="H106" s="9" t="str">
        <f>IF(G106&lt;&gt;"",IF(C106="float32",FLOAT2HEX(G106),DEC2HEX(G106,8)),"")</f>
        <v>00000007</v>
      </c>
      <c r="I106" s="9">
        <f t="shared" si="11"/>
        <v>7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ht="15" customHeight="1">
      <c r="A107" s="81">
        <f>IF(I107&lt;&gt;"",MAX(A$1:A106)+1,"")</f>
        <v>88</v>
      </c>
      <c r="B107" s="97" t="s">
        <v>123</v>
      </c>
      <c r="C107" t="s">
        <v>57</v>
      </c>
      <c r="D107">
        <f t="shared" si="10"/>
        <v>4</v>
      </c>
      <c r="E107" s="52" t="s">
        <v>1111</v>
      </c>
      <c r="G107">
        <f>ROUND((ALGO_RES_EST_SPEED_TO_MEAS_AGAIN),0)</f>
        <v>1710</v>
      </c>
      <c r="H107" s="9" t="str">
        <f>IF(G107&lt;&gt;"",IF(C107="float32",FLOAT2HEX(G107),DEC2HEX(G107,8)),"")</f>
        <v>000006AE</v>
      </c>
      <c r="I107" s="9">
        <f t="shared" si="11"/>
        <v>1710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ht="15" customHeight="1">
      <c r="A108" s="81">
        <f>IF(I108&lt;&gt;"",MAX(A$1:A107)+1,"")</f>
        <v>89</v>
      </c>
      <c r="B108" s="45" t="s">
        <v>124</v>
      </c>
      <c r="C108" t="s">
        <v>63</v>
      </c>
      <c r="D108">
        <f t="shared" si="10"/>
        <v>4</v>
      </c>
      <c r="E108" s="2" t="s">
        <v>729</v>
      </c>
      <c r="G108">
        <f>ROUND((ALGO_RES_EST_TIME_BETWEEN_MEAS_AFTER_RESET*60)/0.025,0)</f>
        <v>2400</v>
      </c>
      <c r="H108" s="9" t="str">
        <f>IF(G108&lt;&gt;"",IF(C108="float32",FLOAT2HEX(G108),DEC2HEX(G108,8)),"")</f>
        <v>00000960</v>
      </c>
      <c r="I108" s="9">
        <f t="shared" si="11"/>
        <v>2400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ht="15" customHeight="1">
      <c r="A109" s="81">
        <f>IF(I109&lt;&gt;"",MAX(A$1:A108)+1,"")</f>
        <v>90</v>
      </c>
      <c r="B109" s="45" t="s">
        <v>125</v>
      </c>
      <c r="C109" t="s">
        <v>63</v>
      </c>
      <c r="D109">
        <f t="shared" si="10"/>
        <v>4</v>
      </c>
      <c r="E109" s="2" t="s">
        <v>730</v>
      </c>
      <c r="G109">
        <f>ROUND(ALGO_RES_EST_NR_OF_ESTIMATION_AFTER_RESET,0)</f>
        <v>3</v>
      </c>
      <c r="H109" s="9" t="str">
        <f>IF(G109&lt;&gt;"",IF(C109="float32",FLOAT2HEX(G109),DEC2HEX(G109,8)),"")</f>
        <v>00000003</v>
      </c>
      <c r="I109" s="9">
        <f t="shared" si="11"/>
        <v>3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ht="15" customHeight="1">
      <c r="A110" s="81">
        <f>IF(I110&lt;&gt;"",MAX(A$1:A109)+1,"")</f>
        <v>91</v>
      </c>
      <c r="B110" s="58" t="s">
        <v>1112</v>
      </c>
      <c r="C110" t="s">
        <v>63</v>
      </c>
      <c r="D110">
        <f t="shared" si="10"/>
        <v>4</v>
      </c>
      <c r="E110" s="89" t="s">
        <v>731</v>
      </c>
      <c r="G110">
        <f>ROUND((ALGO_RES_EST_TIME_BETWEEN_MEAS_NORMAL_OPERATION*60)/0.025,0)</f>
        <v>12000</v>
      </c>
      <c r="H110" s="9" t="str">
        <f>IF(G110&lt;&gt;"",IF(C110="float32",FLOAT2HEX(G110),DEC2HEX(G110,8)),"")</f>
        <v>00002EE0</v>
      </c>
      <c r="I110" s="9">
        <f t="shared" si="11"/>
        <v>12000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ht="15" customHeight="1">
      <c r="A111" s="81">
        <f>IF(I111&lt;&gt;"",MAX(A$1:A110)+1,"")</f>
        <v>92</v>
      </c>
      <c r="B111" s="45" t="s">
        <v>126</v>
      </c>
      <c r="C111" t="s">
        <v>63</v>
      </c>
      <c r="D111">
        <f t="shared" si="10"/>
        <v>4</v>
      </c>
      <c r="E111" s="2" t="s">
        <v>732</v>
      </c>
      <c r="G111">
        <f>ROUND(ALGO_RES_EST_NR_OF_ESTIMATION_IN_ROW_AFTER_SPIN,0)</f>
        <v>3</v>
      </c>
      <c r="H111" s="9" t="str">
        <f>IF(G111&lt;&gt;"",IF(C111="float32",FLOAT2HEX(G111),DEC2HEX(G111,8)),"")</f>
        <v>00000003</v>
      </c>
      <c r="I111" s="9">
        <f t="shared" si="11"/>
        <v>3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ht="15" customHeight="1">
      <c r="A112" s="81"/>
      <c r="B112" s="47"/>
      <c r="E112" s="59"/>
      <c r="H112" s="9"/>
      <c r="I112" s="9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ht="15" customHeight="1">
      <c r="A113" s="81" t="str">
        <f>IF(I113&lt;&gt;"",MAX(A$1:A112)+1,"")</f>
        <v/>
      </c>
      <c r="B113" s="45"/>
      <c r="H113" s="9" t="str">
        <f>IF(G113&lt;&gt;"",IF(C113="float32",FLOAT2HEX(G113),DEC2HEX(G113,8)),"")</f>
        <v/>
      </c>
      <c r="I113" s="9" t="str">
        <f>IF(G113&lt;&gt;"",HEX2DEC(H113),"")</f>
        <v/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ht="15" customHeight="1">
      <c r="A114" s="81">
        <f>IF(I114&lt;&gt;"",MAX(A$1:A113)+1,"")</f>
        <v>93</v>
      </c>
      <c r="B114" s="45" t="s">
        <v>437</v>
      </c>
      <c r="C114" t="s">
        <v>57</v>
      </c>
      <c r="D114">
        <f t="shared" si="10"/>
        <v>4</v>
      </c>
      <c r="E114" s="2" t="s">
        <v>733</v>
      </c>
      <c r="G114">
        <f>ROUND((32768*ALGO_RES_EST_RS_FROM_BASE_TEMP)/BASE_Z,0)</f>
        <v>2946</v>
      </c>
      <c r="H114" s="9" t="str">
        <f>IF(G114&lt;&gt;"",IF(C114="float32",FLOAT2HEX(G114),DEC2HEX(G114,8)),"")</f>
        <v>00000B82</v>
      </c>
      <c r="I114" s="9">
        <f>IF(G114&lt;&gt;"",HEX2DEC(H114),"")</f>
        <v>2946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ht="15" customHeight="1">
      <c r="A115" s="81">
        <f>IF(I115&lt;&gt;"",MAX(A$1:A114)+1,"")</f>
        <v>94</v>
      </c>
      <c r="B115" s="45" t="s">
        <v>438</v>
      </c>
      <c r="C115" t="s">
        <v>57</v>
      </c>
      <c r="D115">
        <f t="shared" si="10"/>
        <v>4</v>
      </c>
      <c r="E115" s="2" t="s">
        <v>734</v>
      </c>
      <c r="G115" s="11">
        <f>ROUND((ALGO_RES_EST_TEMP_COEFF * 32768) / ALGO_RES_EST_BASE_TEMP_COEFF,0)</f>
        <v>30422</v>
      </c>
      <c r="H115" s="9" t="str">
        <f>IF(G115&lt;&gt;"",IF(C115="float32",FLOAT2HEX(G115),DEC2HEX(G115,8)),"")</f>
        <v>000076D6</v>
      </c>
      <c r="I115" s="9">
        <f t="shared" si="11"/>
        <v>30422</v>
      </c>
    </row>
    <row r="116" spans="1:21" ht="15" customHeight="1">
      <c r="A116" s="81">
        <f>IF(I116&lt;&gt;"",MAX(A$1:A115)+1,"")</f>
        <v>95</v>
      </c>
      <c r="B116" s="45" t="s">
        <v>439</v>
      </c>
      <c r="C116" t="s">
        <v>57</v>
      </c>
      <c r="D116">
        <f t="shared" si="10"/>
        <v>4</v>
      </c>
      <c r="E116" s="2" t="s">
        <v>735</v>
      </c>
      <c r="G116" s="11">
        <f>ROUND(ALGO_RES_EST_BASE_TEMP_COEFF,0)</f>
        <v>250</v>
      </c>
      <c r="H116" s="9" t="str">
        <f>IF(G116&lt;&gt;"",IF(C116="float32",FLOAT2HEX(G116),DEC2HEX(G116,8)),"")</f>
        <v>000000FA</v>
      </c>
      <c r="I116" s="9">
        <f t="shared" si="11"/>
        <v>250</v>
      </c>
    </row>
    <row r="117" spans="1:21" ht="15" customHeight="1">
      <c r="A117" s="81">
        <f>IF(I117&lt;&gt;"",MAX(A$1:A116)+1,"")</f>
        <v>96</v>
      </c>
      <c r="B117" s="45" t="s">
        <v>440</v>
      </c>
      <c r="C117" t="s">
        <v>57</v>
      </c>
      <c r="D117">
        <f t="shared" si="10"/>
        <v>4</v>
      </c>
      <c r="E117" s="2" t="s">
        <v>736</v>
      </c>
      <c r="G117" s="11">
        <f>ROUND(ALGO_RES_EST_BASE_TEMP,0)</f>
        <v>25</v>
      </c>
      <c r="H117" s="9" t="str">
        <f>IF(G117&lt;&gt;"",IF(C117="float32",FLOAT2HEX(G117),DEC2HEX(G117,8)),"")</f>
        <v>00000019</v>
      </c>
      <c r="I117" s="9">
        <f t="shared" si="11"/>
        <v>25</v>
      </c>
    </row>
    <row r="118" spans="1:21" s="72" customFormat="1" ht="15" customHeight="1">
      <c r="A118" s="81">
        <f>IF(I118&lt;&gt;"",MAX(A$1:A117)+1,"")</f>
        <v>97</v>
      </c>
      <c r="B118" s="70" t="s">
        <v>1131</v>
      </c>
      <c r="C118" s="72" t="s">
        <v>57</v>
      </c>
      <c r="D118" s="72">
        <f t="shared" si="10"/>
        <v>4</v>
      </c>
      <c r="E118" s="61" t="s">
        <v>1133</v>
      </c>
      <c r="G118" s="66">
        <f>SAMPLES_NUMBER</f>
        <v>10</v>
      </c>
      <c r="H118" s="65" t="str">
        <f>IF(G118&lt;&gt;"",IF(C118="float32",FLOAT2HEX(G118),DEC2HEX(G118,8)),"")</f>
        <v>0000000A</v>
      </c>
      <c r="I118" s="65">
        <f t="shared" ref="I118" si="12">IF(G118&lt;&gt;"",HEX2DEC(H118),"")</f>
        <v>10</v>
      </c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</row>
    <row r="119" spans="1:21" ht="15" customHeight="1">
      <c r="A119" s="81" t="str">
        <f>IF(I119&lt;&gt;"",MAX(A$1:A118)+1,"")</f>
        <v/>
      </c>
      <c r="B119" s="45"/>
      <c r="G119" s="11"/>
      <c r="H119" s="9" t="str">
        <f>IF(G119&lt;&gt;"",IF(C119="float32",FLOAT2HEX(G119),DEC2HEX(G119,8)),"")</f>
        <v/>
      </c>
      <c r="I119" s="9" t="str">
        <f t="shared" si="11"/>
        <v/>
      </c>
    </row>
    <row r="120" spans="1:21" s="9" customFormat="1" ht="20.100000000000001" customHeight="1">
      <c r="A120" s="81" t="str">
        <f>IF(I120&lt;&gt;"",MAX(A$1:A119)+1,"")</f>
        <v/>
      </c>
      <c r="B120" s="44" t="s">
        <v>101</v>
      </c>
      <c r="C120" s="21"/>
      <c r="D120" s="21"/>
      <c r="E120" s="21"/>
      <c r="F120" s="21"/>
      <c r="G120" s="21"/>
      <c r="H120" s="21" t="str">
        <f>IF(G120&lt;&gt;"",DEC2HEX(G120,4),"")</f>
        <v/>
      </c>
      <c r="I120" s="21"/>
      <c r="J120" s="16"/>
      <c r="K120" s="16"/>
      <c r="L120" s="16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 ht="15" customHeight="1">
      <c r="A121" s="81">
        <f>IF(I121&lt;&gt;"",MAX(A$1:A120)+1,"")</f>
        <v>98</v>
      </c>
      <c r="B121" s="45" t="s">
        <v>102</v>
      </c>
      <c r="C121" t="s">
        <v>65</v>
      </c>
      <c r="D121">
        <f>IF(OR(C121="sint64",C121="uint64",C121="double64"), 8, IF(OR(C121="sint32",C121="uint32",C121="float32"),4,IF(OR(C121="sint16",C121="uint16"),2,  IF(OR(C121="sint8",C121="uint8"),1,""))))</f>
        <v>4</v>
      </c>
      <c r="E121" s="2" t="s">
        <v>737</v>
      </c>
      <c r="G121" s="11">
        <f>((2^25)/BASE_SPEED_RPM)</f>
        <v>14867.816611265313</v>
      </c>
      <c r="H121" s="9" t="str">
        <f>IF(G121&lt;&gt;"",IF(C121="float32",FLOAT2HEX(G121),DEC2HEX(G121,8)),"")</f>
        <v>46684F44</v>
      </c>
      <c r="I121" s="9">
        <f t="shared" si="11"/>
        <v>1181241156</v>
      </c>
    </row>
    <row r="122" spans="1:21" ht="15" customHeight="1">
      <c r="A122" s="81">
        <f>IF(I122&lt;&gt;"",MAX(A$1:A121)+1,"")</f>
        <v>99</v>
      </c>
      <c r="B122" s="45" t="s">
        <v>103</v>
      </c>
      <c r="C122" t="s">
        <v>65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738</v>
      </c>
      <c r="G122" s="11">
        <f>((2^25)/BASE_SPEED_RPM*OBSERVER_TS)</f>
        <v>1.8584770764081642</v>
      </c>
      <c r="H122" s="9" t="str">
        <f>IF(G122&lt;&gt;"",IF(C122="float32",FLOAT2HEX(G122),DEC2HEX(G122,8)),"")</f>
        <v>3FEDE294</v>
      </c>
      <c r="I122" s="9">
        <f t="shared" si="11"/>
        <v>1072554644</v>
      </c>
    </row>
    <row r="123" spans="1:21" ht="15" customHeight="1">
      <c r="A123" s="81">
        <f>IF(I123&lt;&gt;"",MAX(A$1:A122)+1,"")</f>
        <v>100</v>
      </c>
      <c r="B123" s="47" t="s">
        <v>1107</v>
      </c>
      <c r="C123" t="s">
        <v>57</v>
      </c>
      <c r="D123">
        <f>IF(OR(C123="sint64",C123="uint64",C123="double64"), 8, IF(OR(C123="sint32",C123="uint32",C123="float32"),4,IF(OR(C123="sint16",C123="uint16"),2,  IF(OR(C123="sint8",C123="uint8"),1,""))))</f>
        <v>4</v>
      </c>
      <c r="E123" s="61" t="s">
        <v>1127</v>
      </c>
      <c r="G123" s="11">
        <f>ROUND(((((2^25) / BASE_SPEED_RPM) * OBSERVER_TS) * SPEED_REF_DEFAULT_ACCEL),0)</f>
        <v>139</v>
      </c>
      <c r="H123" s="9" t="str">
        <f>IF(G123&lt;&gt;"",IF(C123="float32",FLOAT2HEX(G123),DEC2HEX(G123,8)),"")</f>
        <v>0000008B</v>
      </c>
      <c r="I123" s="9">
        <f t="shared" si="11"/>
        <v>139</v>
      </c>
    </row>
    <row r="124" spans="1:21" ht="15" customHeight="1">
      <c r="A124" s="81">
        <f>IF(I124&lt;&gt;"",MAX(A$1:A123)+1,"")</f>
        <v>101</v>
      </c>
      <c r="B124" s="47" t="s">
        <v>1108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59" t="s">
        <v>1128</v>
      </c>
      <c r="G124" s="11">
        <f>ROUND((SPEED_REF_MIN_SPEED_DEFAULT_ACCEL * 32768/BASE_SPEED_RPM),0)</f>
        <v>218</v>
      </c>
      <c r="H124" s="9" t="str">
        <f>IF(G124&lt;&gt;"",IF(C124="float32",FLOAT2HEX(G124),DEC2HEX(G124,8)),"")</f>
        <v>000000DA</v>
      </c>
      <c r="I124" s="9">
        <f t="shared" si="11"/>
        <v>218</v>
      </c>
    </row>
    <row r="125" spans="1:21" ht="15" customHeight="1">
      <c r="A125" s="81" t="str">
        <f>IF(I125&lt;&gt;"",MAX(A$1:A124)+1,"")</f>
        <v/>
      </c>
      <c r="B125" s="45"/>
      <c r="D125" t="str">
        <f>IF(OR(C125="sint64",C125="uint64",C125="double64"), 8, IF(OR(C125="sint32",C125="uint32",C125="float32"),4,IF(OR(C125="sint16",C125="uint16"),2,  IF(OR(C125="sint8",C125="uint8"),1,""))))</f>
        <v/>
      </c>
      <c r="G125" s="11"/>
      <c r="H125" s="9" t="str">
        <f>IF(G125&lt;&gt;"",IF(C125="float32",FLOAT2HEX(G125),DEC2HEX(G125,8)),"")</f>
        <v/>
      </c>
      <c r="I125" s="9" t="str">
        <f t="shared" si="11"/>
        <v/>
      </c>
    </row>
    <row r="126" spans="1:21" s="9" customFormat="1" ht="20.100000000000001" customHeight="1">
      <c r="A126" s="81" t="str">
        <f>IF(I126&lt;&gt;"",MAX(A$1:A125)+1,"")</f>
        <v/>
      </c>
      <c r="B126" s="44" t="s">
        <v>127</v>
      </c>
      <c r="C126" s="21"/>
      <c r="D126" s="21"/>
      <c r="E126" s="21" t="str">
        <f>IF(F126&lt;&gt;"",DEC2HEX(F126,4),"")</f>
        <v/>
      </c>
      <c r="F126" s="21"/>
      <c r="G126" s="21" t="str">
        <f>IF(F126&lt;&gt;"",DEC2HEX(F126,4),"")</f>
        <v/>
      </c>
      <c r="H126" s="21" t="str">
        <f>IF(G126&lt;&gt;"",DEC2HEX(G126,4),"")</f>
        <v/>
      </c>
      <c r="I126" s="21"/>
      <c r="J126" s="16"/>
      <c r="K126" s="16"/>
      <c r="L126" s="16"/>
      <c r="M126" s="13"/>
      <c r="N126" s="13"/>
      <c r="O126" s="13"/>
      <c r="P126" s="13"/>
      <c r="Q126" s="13"/>
      <c r="R126" s="13"/>
      <c r="S126" s="13"/>
      <c r="T126" s="13"/>
      <c r="U126" s="13"/>
    </row>
    <row r="127" spans="1:21" ht="15" customHeight="1">
      <c r="A127" s="81">
        <f>IF(I127&lt;&gt;"",MAX(A$1:A126)+1,"")</f>
        <v>102</v>
      </c>
      <c r="B127" s="45" t="s">
        <v>448</v>
      </c>
      <c r="C127" t="s">
        <v>65</v>
      </c>
      <c r="D127">
        <f>IF(OR(C127="sint64",C127="uint64",C127="double64"), 8, IF(OR(C127="sint32",C127="uint32",C127="float32"),4,IF(OR(C127="sint16",C127="uint16"),2,  IF(OR(C127="sint8",C127="uint8"),1,""))))</f>
        <v>4</v>
      </c>
      <c r="E127" s="2" t="s">
        <v>445</v>
      </c>
      <c r="G127" s="11">
        <f>BASE_SPEED_RPM</f>
        <v>2256.8500054389883</v>
      </c>
      <c r="H127" s="9" t="str">
        <f>IF(G127&lt;&gt;"",IF(C127="float32",FLOAT2HEX(G127),DEC2HEX(G127,8)),"")</f>
        <v>450D0D9A</v>
      </c>
      <c r="I127" s="9">
        <f t="shared" si="11"/>
        <v>1158483354</v>
      </c>
    </row>
    <row r="128" spans="1:21" ht="15" customHeight="1">
      <c r="A128" s="96">
        <f>IF(I128&lt;&gt;"",MAX(A$1:A127)+1,"")</f>
        <v>103</v>
      </c>
      <c r="B128" s="45" t="s">
        <v>449</v>
      </c>
      <c r="C128" t="s">
        <v>65</v>
      </c>
      <c r="D128">
        <f t="shared" ref="D128:D134" si="13">IF(OR(C128="sint64",C128="uint64",C128="double64"), 8, IF(OR(C128="sint32",C128="uint32",C128="float32"),4,IF(OR(C128="sint16",C128="uint16"),2,  IF(OR(C128="sint8",C128="uint8"),1,""))))</f>
        <v>4</v>
      </c>
      <c r="E128" s="2" t="s">
        <v>446</v>
      </c>
      <c r="G128" s="11">
        <f>BASE_RADIAL</f>
        <v>3.1415926535897931</v>
      </c>
      <c r="H128" s="9" t="str">
        <f>IF(G128&lt;&gt;"",IF(C128="float32",FLOAT2HEX(G128),DEC2HEX(G128,8)),"")</f>
        <v>40490FDB</v>
      </c>
      <c r="I128" s="9">
        <f t="shared" si="11"/>
        <v>1078530011</v>
      </c>
    </row>
    <row r="129" spans="1:21">
      <c r="A129" s="96">
        <f>IF(I129&lt;&gt;"",MAX(A$1:A128)+1,"")</f>
        <v>104</v>
      </c>
      <c r="B129" s="45" t="s">
        <v>447</v>
      </c>
      <c r="C129" t="s">
        <v>65</v>
      </c>
      <c r="D129">
        <f t="shared" si="13"/>
        <v>4</v>
      </c>
      <c r="E129" s="2" t="s">
        <v>450</v>
      </c>
      <c r="G129" s="11">
        <f>BASE_TORQ</f>
        <v>13.355856000000003</v>
      </c>
      <c r="H129" s="9" t="str">
        <f>IF(G129&lt;&gt;"",IF(C129="float32",FLOAT2HEX(G129),DEC2HEX(G129,8)),"")</f>
        <v>4155B196</v>
      </c>
      <c r="I129" s="9">
        <f t="shared" si="11"/>
        <v>1096135062</v>
      </c>
    </row>
    <row r="130" spans="1:21" s="103" customFormat="1">
      <c r="A130" s="96">
        <f>IF(I130&lt;&gt;"",MAX(A$1:A129)+1,"")</f>
        <v>105</v>
      </c>
      <c r="B130" s="97" t="s">
        <v>1165</v>
      </c>
      <c r="C130" s="103" t="s">
        <v>65</v>
      </c>
      <c r="D130" s="103">
        <f t="shared" si="13"/>
        <v>4</v>
      </c>
      <c r="E130" s="89" t="s">
        <v>1166</v>
      </c>
      <c r="G130" s="95">
        <f>BASE_FLUX</f>
        <v>0.27080000000000004</v>
      </c>
      <c r="H130" s="94" t="str">
        <f>IF(G130&lt;&gt;"",IF(C130="float32",FLOAT2HEX(G130),DEC2HEX(G130,8)),"")</f>
        <v>3E8AA64C</v>
      </c>
      <c r="I130" s="94">
        <f t="shared" ref="I130" si="14">IF(G130&lt;&gt;"",HEX2DEC(H130),"")</f>
        <v>1049273932</v>
      </c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</row>
    <row r="131" spans="1:21">
      <c r="A131" s="96">
        <f>IF(I131&lt;&gt;"",MAX(A$1:A130)+1,"")</f>
        <v>106</v>
      </c>
      <c r="B131" s="45" t="s">
        <v>453</v>
      </c>
      <c r="C131" t="s">
        <v>65</v>
      </c>
      <c r="D131">
        <f t="shared" si="13"/>
        <v>4</v>
      </c>
      <c r="E131" s="2" t="s">
        <v>451</v>
      </c>
      <c r="G131" s="11">
        <f>BASE_VOLTAGE_BUS</f>
        <v>443.40499999999997</v>
      </c>
      <c r="H131" s="9" t="str">
        <f>IF(G131&lt;&gt;"",IF(C131="float32",FLOAT2HEX(G131),DEC2HEX(G131,8)),"")</f>
        <v>43DDB3D7</v>
      </c>
      <c r="I131" s="9">
        <f t="shared" si="11"/>
        <v>1138602967</v>
      </c>
    </row>
    <row r="132" spans="1:21">
      <c r="A132" s="96">
        <f>IF(I132&lt;&gt;"",MAX(A$1:A131)+1,"")</f>
        <v>107</v>
      </c>
      <c r="B132" s="45" t="s">
        <v>452</v>
      </c>
      <c r="C132" t="s">
        <v>65</v>
      </c>
      <c r="D132">
        <f t="shared" si="13"/>
        <v>4</v>
      </c>
      <c r="E132" s="2" t="s">
        <v>454</v>
      </c>
      <c r="G132" s="11">
        <f>BASE_CURRENT</f>
        <v>8.2200000000000006</v>
      </c>
      <c r="H132" s="54" t="str">
        <f>IF(G132&lt;&gt;"",IF(C132="float32",FLOAT2HEX(G132),DEC2HEX(G132,8)),"")</f>
        <v>4103851F</v>
      </c>
      <c r="I132" s="54">
        <f>IF(G132&lt;&gt;"",HEX2DEC(H132),"")</f>
        <v>1090749727</v>
      </c>
    </row>
    <row r="133" spans="1:21" s="103" customFormat="1">
      <c r="A133" s="96">
        <f>IF(I133&lt;&gt;"",MAX(A$1:A132)+1,"")</f>
        <v>108</v>
      </c>
      <c r="B133" s="97" t="s">
        <v>3105</v>
      </c>
      <c r="C133" s="103" t="s">
        <v>65</v>
      </c>
      <c r="D133" s="103">
        <f t="shared" si="13"/>
        <v>4</v>
      </c>
      <c r="E133" s="89" t="s">
        <v>3106</v>
      </c>
      <c r="G133" s="95">
        <f>BASE_ANGLE</f>
        <v>180</v>
      </c>
      <c r="H133" s="94" t="str">
        <f>IF(G133&lt;&gt;"",IF(C133="float32",FLOAT2HEX(G133),DEC2HEX(G133,8)),"")</f>
        <v>43340000</v>
      </c>
      <c r="I133" s="94">
        <f>IF(G133&lt;&gt;"",HEX2DEC(H133),"")</f>
        <v>1127481344</v>
      </c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</row>
    <row r="134" spans="1:21" s="103" customFormat="1">
      <c r="A134" s="96">
        <f>IF(I134&lt;&gt;"",MAX(A$1:A133)+1,"")</f>
        <v>109</v>
      </c>
      <c r="B134" s="97" t="s">
        <v>3107</v>
      </c>
      <c r="C134" s="103" t="s">
        <v>65</v>
      </c>
      <c r="D134" s="103">
        <f t="shared" si="13"/>
        <v>4</v>
      </c>
      <c r="E134" s="89" t="s">
        <v>3108</v>
      </c>
      <c r="G134" s="95">
        <f>BASE_IND</f>
        <v>32.944038929440396</v>
      </c>
      <c r="H134" s="94" t="str">
        <f>IF(G134&lt;&gt;"",IF(C134="float32",FLOAT2HEX(G134),DEC2HEX(G134,8)),"")</f>
        <v>4203C6B2</v>
      </c>
      <c r="I134" s="94">
        <f>IF(G134&lt;&gt;"",HEX2DEC(H134),"")</f>
        <v>1107543730</v>
      </c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</row>
    <row r="135" spans="1:21">
      <c r="A135" s="96" t="str">
        <f>IF(I135&lt;&gt;"",MAX(A$1:A134)+1,"")</f>
        <v/>
      </c>
      <c r="B135" s="45"/>
      <c r="G135" s="11"/>
      <c r="H135" s="9" t="str">
        <f>IF(G135&lt;&gt;"",IF(C135="float32",FLOAT2HEX(G135),DEC2HEX(G135,8)),"")</f>
        <v/>
      </c>
      <c r="I135" s="9" t="str">
        <f t="shared" ref="I135:I162" si="15">IF(G135&lt;&gt;"",HEX2DEC(H135),"")</f>
        <v/>
      </c>
    </row>
    <row r="136" spans="1:21" ht="20.100000000000001" customHeight="1">
      <c r="A136" s="96" t="str">
        <f>IF(I136&lt;&gt;"",MAX(A$1:A135)+1,"")</f>
        <v/>
      </c>
      <c r="B136" s="44" t="s">
        <v>597</v>
      </c>
      <c r="C136" s="21"/>
      <c r="D136" s="21"/>
      <c r="E136" s="21" t="str">
        <f>IF(F136&lt;&gt;"",DEC2HEX(F136,4),"")</f>
        <v/>
      </c>
      <c r="F136" s="21"/>
      <c r="G136" s="21" t="str">
        <f>IF(F136&lt;&gt;"",DEC2HEX(F136,4),"")</f>
        <v/>
      </c>
      <c r="H136" s="21"/>
      <c r="I136" s="21"/>
    </row>
    <row r="137" spans="1:21" ht="15" customHeight="1">
      <c r="A137" s="96">
        <f>IF(I137&lt;&gt;"",MAX(A$1:A136)+1,"")</f>
        <v>110</v>
      </c>
      <c r="B137" s="48" t="s">
        <v>602</v>
      </c>
      <c r="C137" t="s">
        <v>57</v>
      </c>
      <c r="D137">
        <f>IF(OR(C137="sint64",C137="uint64",C137="double64"), 8, IF(OR(C137="sint32",C137="uint32",C137="float32"),4,IF(OR(C137="sint16",C137="uint16"),2,  IF(OR(C137="sint8",C137="uint8"),1,""))))</f>
        <v>4</v>
      </c>
      <c r="E137" s="100" t="s">
        <v>1162</v>
      </c>
      <c r="F137" s="104"/>
      <c r="G137" s="101">
        <f>ROUND((((STATOR_RESISTANCE * 1.5) * MAX_PHASE_CURR + PI_VOLT_MARGIN) * 32768/BASE_VOLTAGE),0)</f>
        <v>21952</v>
      </c>
      <c r="H137" s="9" t="str">
        <f>IF(G137&lt;&gt;"",IF(C137="float32",FLOAT2HEX(G137),DEC2HEX(G137,8)),"")</f>
        <v>000055C0</v>
      </c>
      <c r="I137" s="9">
        <f t="shared" si="15"/>
        <v>21952</v>
      </c>
    </row>
    <row r="138" spans="1:21" ht="15" customHeight="1">
      <c r="A138" s="96">
        <f>IF(I138&lt;&gt;"",MAX(A$1:A137)+1,"")</f>
        <v>111</v>
      </c>
      <c r="B138" s="45" t="s">
        <v>91</v>
      </c>
      <c r="C138" t="s">
        <v>63</v>
      </c>
      <c r="D138">
        <f t="shared" ref="D138:D158" si="16">IF(OR(C138="sint64",C138="uint64",C138="double64"), 8, IF(OR(C138="sint32",C138="uint32",C138="float32"),4,IF(OR(C138="sint16",C138="uint16"),2,  IF(OR(C138="sint8",C138="uint8"),1,""))))</f>
        <v>4</v>
      </c>
      <c r="E138" s="2" t="s">
        <v>1106</v>
      </c>
      <c r="G138" s="11">
        <v>0</v>
      </c>
      <c r="H138" s="9" t="str">
        <f>IF(G138&lt;&gt;"",IF(C138="float32",FLOAT2HEX(G138),DEC2HEX(G138,8)),"")</f>
        <v>00000000</v>
      </c>
      <c r="I138" s="9">
        <f t="shared" si="15"/>
        <v>0</v>
      </c>
    </row>
    <row r="139" spans="1:21" ht="15" customHeight="1">
      <c r="A139" s="96">
        <f>IF(I139&lt;&gt;"",MAX(A$1:A138)+1,"")</f>
        <v>112</v>
      </c>
      <c r="B139" s="45" t="s">
        <v>93</v>
      </c>
      <c r="C139" t="s">
        <v>57</v>
      </c>
      <c r="D139">
        <f t="shared" si="16"/>
        <v>4</v>
      </c>
      <c r="E139" s="2" t="s">
        <v>1106</v>
      </c>
      <c r="G139" s="11">
        <v>0</v>
      </c>
      <c r="H139" s="9" t="str">
        <f>IF(G139&lt;&gt;"",IF(C139="float32",FLOAT2HEX(G139),DEC2HEX(G139,8)),"")</f>
        <v>00000000</v>
      </c>
      <c r="I139" s="9">
        <f t="shared" si="15"/>
        <v>0</v>
      </c>
    </row>
    <row r="140" spans="1:21" s="103" customFormat="1" ht="15" customHeight="1">
      <c r="A140" s="96">
        <f>IF(I140&lt;&gt;"",MAX(A$1:A139)+1,"")</f>
        <v>113</v>
      </c>
      <c r="B140" s="98" t="s">
        <v>3131</v>
      </c>
      <c r="C140" s="103" t="s">
        <v>57</v>
      </c>
      <c r="D140" s="84">
        <f>IF(OR(C140="sint64",C140="uint64",C140="double64"), 8, IF(OR(C140="sint32",C140="uint32",C140="float32"),4,IF(OR(C140="sint16",C140="uint16"),2,  IF(OR(C140="sint8",C140="uint8"),1,""))))</f>
        <v>4</v>
      </c>
      <c r="E140" s="89" t="s">
        <v>3133</v>
      </c>
      <c r="G140" s="95">
        <f>ROUND((M_INDEX_CTRL/100 * 32768),0)</f>
        <v>37683</v>
      </c>
      <c r="H140" s="94" t="str">
        <f>IF(G140&lt;&gt;"",IF(C140="float32",FLOAT2HEX(G140),DEC2HEX(G140,8)),"")</f>
        <v>00009333</v>
      </c>
      <c r="I140" s="94">
        <f t="shared" ref="I140" si="17">IF(G140&lt;&gt;"",HEX2DEC(H140),"")</f>
        <v>37683</v>
      </c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</row>
    <row r="141" spans="1:21" ht="15" customHeight="1">
      <c r="A141" s="96">
        <f>IF(I141&lt;&gt;"",MAX(A$1:A140)+1,"")</f>
        <v>114</v>
      </c>
      <c r="B141" s="45" t="s">
        <v>598</v>
      </c>
      <c r="C141" t="s">
        <v>57</v>
      </c>
      <c r="D141">
        <f>IF(OR(C141="sint64",C141="uint64",C141="double64"), 8, IF(OR(C141="sint32",C141="uint32",C141="float32"),4,IF(OR(C141="sint16",C141="uint16"),2,  IF(OR(C141="sint8",C141="uint8"),1,""))))</f>
        <v>4</v>
      </c>
      <c r="E141" s="89" t="s">
        <v>741</v>
      </c>
      <c r="G141" s="11">
        <f>ROUND(Q_CURR_CONTROL_KP/BASE_VOLTAGE*BASE_CURRENT,0)</f>
        <v>200</v>
      </c>
      <c r="H141" s="9" t="str">
        <f>IF(G141&lt;&gt;"",IF(C141="float32",FLOAT2HEX(G141),DEC2HEX(G141,8)),"")</f>
        <v>000000C8</v>
      </c>
      <c r="I141" s="9">
        <f t="shared" si="15"/>
        <v>200</v>
      </c>
    </row>
    <row r="142" spans="1:21" ht="15" customHeight="1">
      <c r="A142" s="96">
        <f>IF(I142&lt;&gt;"",MAX(A$1:A141)+1,"")</f>
        <v>115</v>
      </c>
      <c r="B142" s="45" t="s">
        <v>599</v>
      </c>
      <c r="C142" t="s">
        <v>57</v>
      </c>
      <c r="D142">
        <f>IF(OR(C142="sint64",C142="uint64",C142="double64"), 8, IF(OR(C142="sint32",C142="uint32",C142="float32"),4,IF(OR(C142="sint16",C142="uint16"),2,  IF(OR(C142="sint8",C142="uint8"),1,""))))</f>
        <v>4</v>
      </c>
      <c r="E142" s="2" t="s">
        <v>742</v>
      </c>
      <c r="G142" s="11">
        <f>ROUND(Q_CURR_CONTROL_KI/BASE_VOLTAGE*BASE_CURRENT/DQ_CURRENT_CONTROL_TS,0)</f>
        <v>10</v>
      </c>
      <c r="H142" s="9" t="str">
        <f>IF(G142&lt;&gt;"",IF(C142="float32",FLOAT2HEX(G142),DEC2HEX(G142,8)),"")</f>
        <v>0000000A</v>
      </c>
      <c r="I142" s="9">
        <f t="shared" si="15"/>
        <v>10</v>
      </c>
    </row>
    <row r="143" spans="1:21" ht="15" customHeight="1">
      <c r="A143" s="96">
        <f>IF(I143&lt;&gt;"",MAX(A$1:A142)+1,"")</f>
        <v>116</v>
      </c>
      <c r="B143" s="45" t="s">
        <v>600</v>
      </c>
      <c r="C143" t="s">
        <v>57</v>
      </c>
      <c r="D143">
        <f>IF(OR(C143="sint64",C143="uint64",C143="double64"), 8, IF(OR(C143="sint32",C143="uint32",C143="float32"),4,IF(OR(C143="sint16",C143="uint16"),2,  IF(OR(C143="sint8",C143="uint8"),1,""))))</f>
        <v>4</v>
      </c>
      <c r="E143" s="2" t="s">
        <v>739</v>
      </c>
      <c r="G143" s="11">
        <f>ROUND(D_CURR_CONTROL_KP/BASE_VOLTAGE*BASE_CURRENT,0)</f>
        <v>200</v>
      </c>
      <c r="H143" s="9" t="str">
        <f>IF(G143&lt;&gt;"",IF(C143="float32",FLOAT2HEX(G143),DEC2HEX(G143,8)),"")</f>
        <v>000000C8</v>
      </c>
      <c r="I143" s="9">
        <f t="shared" si="15"/>
        <v>200</v>
      </c>
    </row>
    <row r="144" spans="1:21" ht="15" customHeight="1">
      <c r="A144" s="96">
        <f>IF(I144&lt;&gt;"",MAX(A$1:A143)+1,"")</f>
        <v>117</v>
      </c>
      <c r="B144" s="45" t="s">
        <v>601</v>
      </c>
      <c r="C144" t="s">
        <v>57</v>
      </c>
      <c r="D144">
        <f>IF(OR(C144="sint64",C144="uint64",C144="double64"), 8, IF(OR(C144="sint32",C144="uint32",C144="float32"),4,IF(OR(C144="sint16",C144="uint16"),2,  IF(OR(C144="sint8",C144="uint8"),1,""))))</f>
        <v>4</v>
      </c>
      <c r="E144" s="2" t="s">
        <v>740</v>
      </c>
      <c r="G144" s="11">
        <f>ROUND(D_CURR_CONTROL_KI/BASE_VOLTAGE*BASE_CURRENT/DQ_CURRENT_CONTROL_TS,0)</f>
        <v>10</v>
      </c>
      <c r="H144" s="9" t="str">
        <f>IF(G144&lt;&gt;"",IF(C144="float32",FLOAT2HEX(G144),DEC2HEX(G144,8)),"")</f>
        <v>0000000A</v>
      </c>
      <c r="I144" s="9">
        <f t="shared" si="15"/>
        <v>10</v>
      </c>
    </row>
    <row r="145" spans="1:9" ht="15" customHeight="1">
      <c r="A145" s="96">
        <f>IF(I145&lt;&gt;"",MAX(A$1:A144)+1,"")</f>
        <v>118</v>
      </c>
      <c r="B145" s="45" t="s">
        <v>80</v>
      </c>
      <c r="C145" t="s">
        <v>57</v>
      </c>
      <c r="D145">
        <f t="shared" si="16"/>
        <v>4</v>
      </c>
      <c r="E145" s="2" t="s">
        <v>1106</v>
      </c>
      <c r="G145" s="11">
        <v>0</v>
      </c>
      <c r="H145" s="9" t="str">
        <f>IF(G145&lt;&gt;"",IF(C145="float32",FLOAT2HEX(G145),DEC2HEX(G145,8)),"")</f>
        <v>00000000</v>
      </c>
      <c r="I145" s="9">
        <f t="shared" si="15"/>
        <v>0</v>
      </c>
    </row>
    <row r="146" spans="1:9" ht="15" customHeight="1">
      <c r="A146" s="96">
        <f>IF(I146&lt;&gt;"",MAX(A$1:A145)+1,"")</f>
        <v>119</v>
      </c>
      <c r="B146" s="45" t="s">
        <v>72</v>
      </c>
      <c r="C146" t="s">
        <v>57</v>
      </c>
      <c r="D146">
        <f t="shared" si="16"/>
        <v>4</v>
      </c>
      <c r="E146" s="2" t="s">
        <v>1106</v>
      </c>
      <c r="G146" s="11">
        <v>0</v>
      </c>
      <c r="H146" s="9" t="str">
        <f>IF(G146&lt;&gt;"",IF(C146="float32",FLOAT2HEX(G146),DEC2HEX(G146,8)),"")</f>
        <v>00000000</v>
      </c>
      <c r="I146" s="9">
        <f t="shared" si="15"/>
        <v>0</v>
      </c>
    </row>
    <row r="147" spans="1:9" ht="15" customHeight="1">
      <c r="A147" s="96">
        <f>IF(I147&lt;&gt;"",MAX(A$1:A146)+1,"")</f>
        <v>120</v>
      </c>
      <c r="B147" s="45" t="s">
        <v>81</v>
      </c>
      <c r="C147" t="s">
        <v>57</v>
      </c>
      <c r="D147">
        <f t="shared" si="16"/>
        <v>4</v>
      </c>
      <c r="E147" s="2" t="s">
        <v>1106</v>
      </c>
      <c r="G147" s="11">
        <v>0</v>
      </c>
      <c r="H147" s="9" t="str">
        <f>IF(G147&lt;&gt;"",IF(C147="float32",FLOAT2HEX(G147),DEC2HEX(G147,8)),"")</f>
        <v>00000000</v>
      </c>
      <c r="I147" s="9">
        <f t="shared" si="15"/>
        <v>0</v>
      </c>
    </row>
    <row r="148" spans="1:9" ht="15" customHeight="1">
      <c r="A148" s="96">
        <f>IF(I148&lt;&gt;"",MAX(A$1:A147)+1,"")</f>
        <v>121</v>
      </c>
      <c r="B148" s="45" t="s">
        <v>82</v>
      </c>
      <c r="C148" t="s">
        <v>57</v>
      </c>
      <c r="D148">
        <f t="shared" si="16"/>
        <v>4</v>
      </c>
      <c r="E148" s="2" t="s">
        <v>1106</v>
      </c>
      <c r="G148" s="11">
        <v>0</v>
      </c>
      <c r="H148" s="9" t="str">
        <f>IF(G148&lt;&gt;"",IF(C148="float32",FLOAT2HEX(G148),DEC2HEX(G148,8)),"")</f>
        <v>00000000</v>
      </c>
      <c r="I148" s="9">
        <f t="shared" si="15"/>
        <v>0</v>
      </c>
    </row>
    <row r="149" spans="1:9" ht="15" customHeight="1">
      <c r="A149" s="96">
        <f>IF(I149&lt;&gt;"",MAX(A$1:A148)+1,"")</f>
        <v>122</v>
      </c>
      <c r="B149" s="45" t="s">
        <v>83</v>
      </c>
      <c r="C149" t="s">
        <v>57</v>
      </c>
      <c r="D149">
        <f t="shared" si="16"/>
        <v>4</v>
      </c>
      <c r="E149" s="2" t="s">
        <v>1106</v>
      </c>
      <c r="G149" s="11">
        <v>0</v>
      </c>
      <c r="H149" s="9" t="str">
        <f>IF(G149&lt;&gt;"",IF(C149="float32",FLOAT2HEX(G149),DEC2HEX(G149,8)),"")</f>
        <v>00000000</v>
      </c>
      <c r="I149" s="9">
        <f t="shared" si="15"/>
        <v>0</v>
      </c>
    </row>
    <row r="150" spans="1:9" ht="15" customHeight="1">
      <c r="A150" s="96">
        <f>IF(I150&lt;&gt;"",MAX(A$1:A149)+1,"")</f>
        <v>123</v>
      </c>
      <c r="B150" s="45" t="s">
        <v>84</v>
      </c>
      <c r="C150" t="s">
        <v>57</v>
      </c>
      <c r="D150">
        <f t="shared" si="16"/>
        <v>4</v>
      </c>
      <c r="E150" s="2" t="s">
        <v>1106</v>
      </c>
      <c r="G150" s="11">
        <v>0</v>
      </c>
      <c r="H150" s="9" t="str">
        <f>IF(G150&lt;&gt;"",IF(C150="float32",FLOAT2HEX(G150),DEC2HEX(G150,8)),"")</f>
        <v>00000000</v>
      </c>
      <c r="I150" s="9">
        <f t="shared" si="15"/>
        <v>0</v>
      </c>
    </row>
    <row r="151" spans="1:9" ht="15" customHeight="1">
      <c r="A151" s="96">
        <f>IF(I151&lt;&gt;"",MAX(A$1:A150)+1,"")</f>
        <v>124</v>
      </c>
      <c r="B151" s="45" t="s">
        <v>85</v>
      </c>
      <c r="C151" t="s">
        <v>57</v>
      </c>
      <c r="D151">
        <f t="shared" si="16"/>
        <v>4</v>
      </c>
      <c r="E151" s="2" t="s">
        <v>1106</v>
      </c>
      <c r="G151" s="11">
        <v>0</v>
      </c>
      <c r="H151" s="9" t="str">
        <f>IF(G151&lt;&gt;"",IF(C151="float32",FLOAT2HEX(G151),DEC2HEX(G151,8)),"")</f>
        <v>00000000</v>
      </c>
      <c r="I151" s="9">
        <f t="shared" si="15"/>
        <v>0</v>
      </c>
    </row>
    <row r="152" spans="1:9" ht="15" customHeight="1">
      <c r="A152" s="96">
        <f>IF(I152&lt;&gt;"",MAX(A$1:A151)+1,"")</f>
        <v>125</v>
      </c>
      <c r="B152" s="45" t="s">
        <v>73</v>
      </c>
      <c r="C152" t="s">
        <v>57</v>
      </c>
      <c r="D152">
        <f t="shared" si="16"/>
        <v>4</v>
      </c>
      <c r="E152" s="2" t="s">
        <v>1106</v>
      </c>
      <c r="G152" s="11">
        <v>0</v>
      </c>
      <c r="H152" s="9" t="str">
        <f>IF(G152&lt;&gt;"",IF(C152="float32",FLOAT2HEX(G152),DEC2HEX(G152,8)),"")</f>
        <v>00000000</v>
      </c>
      <c r="I152" s="9">
        <f t="shared" si="15"/>
        <v>0</v>
      </c>
    </row>
    <row r="153" spans="1:9" ht="15" customHeight="1">
      <c r="A153" s="96">
        <f>IF(I153&lt;&gt;"",MAX(A$1:A152)+1,"")</f>
        <v>126</v>
      </c>
      <c r="B153" s="45" t="s">
        <v>86</v>
      </c>
      <c r="C153" t="s">
        <v>57</v>
      </c>
      <c r="D153">
        <f t="shared" si="16"/>
        <v>4</v>
      </c>
      <c r="E153" s="2" t="s">
        <v>1106</v>
      </c>
      <c r="G153" s="11">
        <v>0</v>
      </c>
      <c r="H153" s="9" t="str">
        <f>IF(G153&lt;&gt;"",IF(C153="float32",FLOAT2HEX(G153),DEC2HEX(G153,8)),"")</f>
        <v>00000000</v>
      </c>
      <c r="I153" s="9">
        <f t="shared" si="15"/>
        <v>0</v>
      </c>
    </row>
    <row r="154" spans="1:9" ht="15" customHeight="1">
      <c r="A154" s="96">
        <f>IF(I154&lt;&gt;"",MAX(A$1:A153)+1,"")</f>
        <v>127</v>
      </c>
      <c r="B154" s="45" t="s">
        <v>87</v>
      </c>
      <c r="C154" t="s">
        <v>57</v>
      </c>
      <c r="D154">
        <f t="shared" si="16"/>
        <v>4</v>
      </c>
      <c r="E154" s="2" t="s">
        <v>1106</v>
      </c>
      <c r="G154" s="11">
        <v>0</v>
      </c>
      <c r="H154" s="9" t="str">
        <f>IF(G154&lt;&gt;"",IF(C154="float32",FLOAT2HEX(G154),DEC2HEX(G154,8)),"")</f>
        <v>00000000</v>
      </c>
      <c r="I154" s="9">
        <f t="shared" si="15"/>
        <v>0</v>
      </c>
    </row>
    <row r="155" spans="1:9" ht="15" customHeight="1">
      <c r="A155" s="96">
        <f>IF(I155&lt;&gt;"",MAX(A$1:A154)+1,"")</f>
        <v>128</v>
      </c>
      <c r="B155" s="45" t="s">
        <v>88</v>
      </c>
      <c r="C155" t="s">
        <v>57</v>
      </c>
      <c r="D155">
        <f t="shared" si="16"/>
        <v>4</v>
      </c>
      <c r="E155" s="2" t="s">
        <v>1106</v>
      </c>
      <c r="G155" s="11">
        <v>0</v>
      </c>
      <c r="H155" s="9" t="str">
        <f>IF(G155&lt;&gt;"",IF(C155="float32",FLOAT2HEX(G155),DEC2HEX(G155,8)),"")</f>
        <v>00000000</v>
      </c>
      <c r="I155" s="9">
        <f t="shared" si="15"/>
        <v>0</v>
      </c>
    </row>
    <row r="156" spans="1:9" ht="15" customHeight="1">
      <c r="A156" s="96">
        <f>IF(I156&lt;&gt;"",MAX(A$1:A155)+1,"")</f>
        <v>129</v>
      </c>
      <c r="B156" s="45" t="s">
        <v>89</v>
      </c>
      <c r="C156" t="s">
        <v>57</v>
      </c>
      <c r="D156">
        <f t="shared" si="16"/>
        <v>4</v>
      </c>
      <c r="E156" s="2" t="s">
        <v>1106</v>
      </c>
      <c r="G156" s="11">
        <v>0</v>
      </c>
      <c r="H156" s="9" t="str">
        <f>IF(G156&lt;&gt;"",IF(C156="float32",FLOAT2HEX(G156),DEC2HEX(G156,8)),"")</f>
        <v>00000000</v>
      </c>
      <c r="I156" s="9">
        <f t="shared" si="15"/>
        <v>0</v>
      </c>
    </row>
    <row r="157" spans="1:9" ht="15" customHeight="1">
      <c r="A157" s="96">
        <f>IF(I157&lt;&gt;"",MAX(A$1:A156)+1,"")</f>
        <v>130</v>
      </c>
      <c r="B157" s="45" t="s">
        <v>90</v>
      </c>
      <c r="C157" t="s">
        <v>57</v>
      </c>
      <c r="D157">
        <f t="shared" si="16"/>
        <v>4</v>
      </c>
      <c r="E157" s="2" t="s">
        <v>1106</v>
      </c>
      <c r="G157" s="11">
        <v>0</v>
      </c>
      <c r="H157" s="79" t="str">
        <f>IF(G157&lt;&gt;"",IF(C157="float32",FLOAT2HEX(G157),DEC2HEX(G157,8)),"")</f>
        <v>00000000</v>
      </c>
      <c r="I157" s="9">
        <f t="shared" si="15"/>
        <v>0</v>
      </c>
    </row>
    <row r="158" spans="1:9" ht="15" customHeight="1">
      <c r="A158" s="96">
        <f>IF(I158&lt;&gt;"",MAX(A$1:A157)+1,"")</f>
        <v>131</v>
      </c>
      <c r="B158" s="45" t="s">
        <v>74</v>
      </c>
      <c r="C158" t="s">
        <v>57</v>
      </c>
      <c r="D158">
        <f t="shared" si="16"/>
        <v>4</v>
      </c>
      <c r="E158" s="2" t="s">
        <v>1106</v>
      </c>
      <c r="G158" s="11">
        <v>0</v>
      </c>
      <c r="H158" s="79" t="str">
        <f>IF(G158&lt;&gt;"",IF(C158="float32",FLOAT2HEX(G158),DEC2HEX(G158,8)),"")</f>
        <v>00000000</v>
      </c>
      <c r="I158" s="9">
        <f t="shared" si="15"/>
        <v>0</v>
      </c>
    </row>
    <row r="159" spans="1:9">
      <c r="A159" s="96" t="str">
        <f>IF(I159&lt;&gt;"",MAX(A$1:A158)+1,"")</f>
        <v/>
      </c>
      <c r="C159" s="51"/>
      <c r="D159" s="51"/>
      <c r="E159" s="52"/>
      <c r="F159" s="51"/>
      <c r="G159" s="55"/>
      <c r="H159" s="79" t="str">
        <f>IF(G159&lt;&gt;"",IF(C159="float32",FLOAT2HEX(G159),DEC2HEX(G159,8)),"")</f>
        <v/>
      </c>
      <c r="I159" s="79" t="str">
        <f t="shared" si="15"/>
        <v/>
      </c>
    </row>
    <row r="160" spans="1:9" ht="20.100000000000001" customHeight="1">
      <c r="A160" s="96" t="str">
        <f>IF(I160&lt;&gt;"",MAX(A$1:A159)+1,"")</f>
        <v/>
      </c>
      <c r="B160" s="44" t="s">
        <v>822</v>
      </c>
      <c r="C160" s="21"/>
      <c r="D160" s="21"/>
      <c r="E160" s="21"/>
      <c r="F160" s="21"/>
      <c r="G160" s="21" t="str">
        <f>IF(F160&lt;&gt;"",DEC2HEX(F160,4),"")</f>
        <v/>
      </c>
      <c r="H160" s="80"/>
      <c r="I160" s="80"/>
    </row>
    <row r="161" spans="1:9">
      <c r="A161" s="96">
        <f>IF(I161&lt;&gt;"",MAX(A$1:A160)+1,"")</f>
        <v>132</v>
      </c>
      <c r="B161" s="97" t="s">
        <v>823</v>
      </c>
      <c r="C161" t="s">
        <v>57</v>
      </c>
      <c r="D161" s="60">
        <f>IF(OR(C161="sint64",C161="uint64",C161="double64"), 8, IF(OR(C161="sint32",C161="uint32",C161="float32"),4,IF(OR(C161="sint16",C161="uint16"),2,  IF(OR(C161="sint8",C161="uint8"),1,""))))</f>
        <v>4</v>
      </c>
      <c r="E161" s="89" t="s">
        <v>824</v>
      </c>
      <c r="G161" s="11">
        <f>(PWM_SPEED_THRESHOLD_PWM_COMP * (32768/BASE_SPEED_RPM))</f>
        <v>87116.112956632685</v>
      </c>
      <c r="H161" s="79" t="str">
        <f>IF(G161&lt;&gt;"",IF(C161="float32",FLOAT2HEX(G161),DEC2HEX(G161,8)),"")</f>
        <v>0001544C</v>
      </c>
      <c r="I161" s="79">
        <f t="shared" si="15"/>
        <v>87116</v>
      </c>
    </row>
    <row r="162" spans="1:9">
      <c r="A162" s="96">
        <f>IF(I162&lt;&gt;"",MAX(A$1:A161)+1,"")</f>
        <v>133</v>
      </c>
      <c r="B162" s="45" t="s">
        <v>825</v>
      </c>
      <c r="C162" t="s">
        <v>63</v>
      </c>
      <c r="D162" s="60">
        <f>IF(OR(C162="sint64",C162="uint64",C162="double64"), 8, IF(OR(C162="sint32",C162="uint32",C162="float32"),4,IF(OR(C162="sint16",C162="uint16"),2,  IF(OR(C162="sint8",C162="uint8"),1,""))))</f>
        <v>4</v>
      </c>
      <c r="E162" s="2" t="s">
        <v>826</v>
      </c>
      <c r="G162" s="11">
        <f>ROUND(PWM_STARTING_TIME/PWM_MODULATION_TS,0)</f>
        <v>8000</v>
      </c>
      <c r="H162" s="79" t="str">
        <f>IF(G162&lt;&gt;"",IF(C162="float32",FLOAT2HEX(G162),DEC2HEX(G162,8)),"")</f>
        <v>00001F40</v>
      </c>
      <c r="I162" s="79">
        <f t="shared" si="15"/>
        <v>8000</v>
      </c>
    </row>
    <row r="163" spans="1:9">
      <c r="A163" s="81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ref="I163:I190" si="18">IF(G163&lt;&gt;"",HEX2DEC(H163),"")</f>
        <v/>
      </c>
    </row>
    <row r="164" spans="1:9">
      <c r="A164" s="81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18"/>
        <v/>
      </c>
    </row>
    <row r="165" spans="1:9">
      <c r="H165" s="9" t="str">
        <f>IF(G165&lt;&gt;"",IF(C165="float32",FLOAT2HEX(G165),DEC2HEX(G165,8)),"")</f>
        <v/>
      </c>
      <c r="I165" s="9" t="str">
        <f t="shared" si="18"/>
        <v/>
      </c>
    </row>
    <row r="166" spans="1:9">
      <c r="H166" s="9" t="str">
        <f>IF(G166&lt;&gt;"",IF(C166="float32",FLOAT2HEX(G166),DEC2HEX(G166,8)),"")</f>
        <v/>
      </c>
      <c r="I166" s="9" t="str">
        <f t="shared" si="18"/>
        <v/>
      </c>
    </row>
    <row r="167" spans="1:9">
      <c r="H167" s="9" t="str">
        <f>IF(G167&lt;&gt;"",IF(C167="float32",FLOAT2HEX(G167),DEC2HEX(G167,8)),"")</f>
        <v/>
      </c>
      <c r="I167" s="9" t="str">
        <f t="shared" si="18"/>
        <v/>
      </c>
    </row>
    <row r="168" spans="1:9">
      <c r="H168" s="9" t="str">
        <f>IF(G168&lt;&gt;"",IF(C168="float32",FLOAT2HEX(G168),DEC2HEX(G168,8)),"")</f>
        <v/>
      </c>
      <c r="I168" s="9" t="str">
        <f t="shared" si="18"/>
        <v/>
      </c>
    </row>
    <row r="169" spans="1:9">
      <c r="H169" s="9" t="str">
        <f>IF(G169&lt;&gt;"",IF(C169="float32",FLOAT2HEX(G169),DEC2HEX(G169,8)),"")</f>
        <v/>
      </c>
      <c r="I169" s="9" t="str">
        <f t="shared" si="18"/>
        <v/>
      </c>
    </row>
    <row r="170" spans="1:9">
      <c r="H170" s="9" t="str">
        <f>IF(G170&lt;&gt;"",IF(C170="float32",FLOAT2HEX(G170),DEC2HEX(G170,8)),"")</f>
        <v/>
      </c>
      <c r="I170" s="9" t="str">
        <f t="shared" si="18"/>
        <v/>
      </c>
    </row>
    <row r="171" spans="1:9">
      <c r="H171" s="9" t="str">
        <f>IF(G171&lt;&gt;"",IF(C171="float32",FLOAT2HEX(G171),DEC2HEX(G171,8)),"")</f>
        <v/>
      </c>
      <c r="I171" s="9" t="str">
        <f t="shared" si="18"/>
        <v/>
      </c>
    </row>
    <row r="172" spans="1:9">
      <c r="H172" s="9" t="str">
        <f>IF(G172&lt;&gt;"",IF(C172="float32",FLOAT2HEX(G172),DEC2HEX(G172,8)),"")</f>
        <v/>
      </c>
      <c r="I172" s="9" t="str">
        <f t="shared" si="18"/>
        <v/>
      </c>
    </row>
    <row r="173" spans="1:9">
      <c r="H173" s="9" t="str">
        <f>IF(G173&lt;&gt;"",IF(C173="float32",FLOAT2HEX(G173),DEC2HEX(G173,8)),"")</f>
        <v/>
      </c>
      <c r="I173" s="9" t="str">
        <f t="shared" si="18"/>
        <v/>
      </c>
    </row>
    <row r="174" spans="1:9">
      <c r="H174" s="9" t="str">
        <f>IF(G174&lt;&gt;"",IF(C174="float32",FLOAT2HEX(G174),DEC2HEX(G174,8)),"")</f>
        <v/>
      </c>
      <c r="I174" s="9" t="str">
        <f t="shared" si="18"/>
        <v/>
      </c>
    </row>
    <row r="175" spans="1:9">
      <c r="H175" s="9" t="str">
        <f>IF(G175&lt;&gt;"",IF(C175="float32",FLOAT2HEX(G175),DEC2HEX(G175,8)),"")</f>
        <v/>
      </c>
      <c r="I175" s="9" t="str">
        <f t="shared" si="18"/>
        <v/>
      </c>
    </row>
    <row r="176" spans="1:9">
      <c r="H176" s="9" t="str">
        <f>IF(G176&lt;&gt;"",IF(C176="float32",FLOAT2HEX(G176),DEC2HEX(G176,8)),"")</f>
        <v/>
      </c>
      <c r="I176" s="9" t="str">
        <f t="shared" si="18"/>
        <v/>
      </c>
    </row>
    <row r="177" spans="8:9">
      <c r="H177" s="9" t="str">
        <f>IF(G177&lt;&gt;"",IF(C177="float32",FLOAT2HEX(G177),DEC2HEX(G177,8)),"")</f>
        <v/>
      </c>
      <c r="I177" s="9" t="str">
        <f t="shared" si="18"/>
        <v/>
      </c>
    </row>
    <row r="178" spans="8:9">
      <c r="H178" s="9" t="str">
        <f>IF(G178&lt;&gt;"",IF(C178="float32",FLOAT2HEX(G178),DEC2HEX(G178,8)),"")</f>
        <v/>
      </c>
      <c r="I178" s="9" t="str">
        <f t="shared" si="18"/>
        <v/>
      </c>
    </row>
    <row r="179" spans="8:9">
      <c r="H179" s="9" t="str">
        <f>IF(G179&lt;&gt;"",IF(C179="float32",FLOAT2HEX(G179),DEC2HEX(G179,8)),"")</f>
        <v/>
      </c>
      <c r="I179" s="9" t="str">
        <f t="shared" si="18"/>
        <v/>
      </c>
    </row>
    <row r="180" spans="8:9">
      <c r="H180" s="9" t="str">
        <f>IF(G180&lt;&gt;"",IF(C180="float32",FLOAT2HEX(G180),DEC2HEX(G180,8)),"")</f>
        <v/>
      </c>
      <c r="I180" s="9" t="str">
        <f t="shared" si="18"/>
        <v/>
      </c>
    </row>
    <row r="181" spans="8:9">
      <c r="H181" s="9" t="str">
        <f>IF(G181&lt;&gt;"",IF(C181="float32",FLOAT2HEX(G181),DEC2HEX(G181,8)),"")</f>
        <v/>
      </c>
      <c r="I181" s="9" t="str">
        <f t="shared" si="18"/>
        <v/>
      </c>
    </row>
    <row r="182" spans="8:9">
      <c r="H182" s="9" t="str">
        <f>IF(G182&lt;&gt;"",IF(C182="float32",FLOAT2HEX(G182),DEC2HEX(G182,8)),"")</f>
        <v/>
      </c>
      <c r="I182" s="9" t="str">
        <f t="shared" si="18"/>
        <v/>
      </c>
    </row>
    <row r="183" spans="8:9">
      <c r="H183" s="9" t="str">
        <f>IF(G183&lt;&gt;"",IF(C183="float32",FLOAT2HEX(G183),DEC2HEX(G183,8)),"")</f>
        <v/>
      </c>
      <c r="I183" s="9" t="str">
        <f t="shared" si="18"/>
        <v/>
      </c>
    </row>
    <row r="184" spans="8:9">
      <c r="H184" s="9" t="str">
        <f>IF(G184&lt;&gt;"",IF(C184="float32",FLOAT2HEX(G184),DEC2HEX(G184,8)),"")</f>
        <v/>
      </c>
      <c r="I184" s="9" t="str">
        <f t="shared" si="18"/>
        <v/>
      </c>
    </row>
    <row r="185" spans="8:9">
      <c r="H185" s="9" t="str">
        <f>IF(G185&lt;&gt;"",IF(C185="float32",FLOAT2HEX(G185),DEC2HEX(G185,8)),"")</f>
        <v/>
      </c>
      <c r="I185" s="9" t="str">
        <f t="shared" si="18"/>
        <v/>
      </c>
    </row>
    <row r="186" spans="8:9">
      <c r="H186" s="9" t="str">
        <f>IF(G186&lt;&gt;"",IF(C186="float32",FLOAT2HEX(G186),DEC2HEX(G186,8)),"")</f>
        <v/>
      </c>
      <c r="I186" s="9" t="str">
        <f t="shared" si="18"/>
        <v/>
      </c>
    </row>
    <row r="187" spans="8:9">
      <c r="H187" s="9" t="str">
        <f>IF(G187&lt;&gt;"",IF(C187="float32",FLOAT2HEX(G187),DEC2HEX(G187,8)),"")</f>
        <v/>
      </c>
      <c r="I187" s="9" t="str">
        <f t="shared" si="18"/>
        <v/>
      </c>
    </row>
    <row r="188" spans="8:9">
      <c r="H188" s="9" t="str">
        <f>IF(G188&lt;&gt;"",IF(C188="float32",FLOAT2HEX(G188),DEC2HEX(G188,8)),"")</f>
        <v/>
      </c>
      <c r="I188" s="9" t="str">
        <f t="shared" si="18"/>
        <v/>
      </c>
    </row>
    <row r="189" spans="8:9">
      <c r="H189" s="9" t="str">
        <f>IF(G189&lt;&gt;"",IF(C189="float32",FLOAT2HEX(G189),DEC2HEX(G189,8)),"")</f>
        <v/>
      </c>
      <c r="I189" s="9" t="str">
        <f t="shared" si="18"/>
        <v/>
      </c>
    </row>
    <row r="190" spans="8:9">
      <c r="H190" s="9" t="str">
        <f>IF(G190&lt;&gt;"",IF(C190="float32",FLOAT2HEX(G190),DEC2HEX(G190,8)),"")</f>
        <v/>
      </c>
      <c r="I190" s="9" t="str">
        <f t="shared" si="18"/>
        <v/>
      </c>
    </row>
    <row r="191" spans="8:9">
      <c r="H191" s="9" t="str">
        <f>IF(G191&lt;&gt;"",IF(C191="float32",FLOAT2HEX(G191),DEC2HEX(G191,8)),"")</f>
        <v/>
      </c>
      <c r="I191" s="9"/>
    </row>
    <row r="192" spans="8:9">
      <c r="H192" s="9" t="str">
        <f>IF(G192&lt;&gt;"",IF(C192="float32",FLOAT2HEX(G192),DEC2HEX(G192,8)),"")</f>
        <v/>
      </c>
      <c r="I192" s="9"/>
    </row>
    <row r="193" spans="8:8">
      <c r="H193" s="9" t="str">
        <f>IF(G193&lt;&gt;"",IF(C193="float32",FLOAT2HEX(G193),DEC2HEX(G193,8)),"")</f>
        <v/>
      </c>
    </row>
    <row r="194" spans="8:8">
      <c r="H194" s="9" t="str">
        <f>IF(G194&lt;&gt;"",IF(C194="float32",FLOAT2HEX(G194),DEC2HEX(G194,8)),"")</f>
        <v/>
      </c>
    </row>
    <row r="195" spans="8:8">
      <c r="H195" s="9" t="str">
        <f>IF(G195&lt;&gt;"",IF(C195="float32",FLOAT2HEX(G195),DEC2HEX(G195,8)),"")</f>
        <v/>
      </c>
    </row>
    <row r="196" spans="8:8">
      <c r="H196" s="9" t="str">
        <f>IF(G196&lt;&gt;"",IF(C196="float32",FLOAT2HEX(G196),DEC2HEX(G196,8)),"")</f>
        <v/>
      </c>
    </row>
    <row r="197" spans="8:8">
      <c r="H197" s="9" t="str">
        <f>IF(G197&lt;&gt;"",IF(C197="float32",FLOAT2HEX(G197),DEC2HEX(G197,8)),"")</f>
        <v/>
      </c>
    </row>
    <row r="198" spans="8:8">
      <c r="H198" s="9" t="str">
        <f>IF(G198&lt;&gt;"",IF(C198="float32",FLOAT2HEX(G198),DEC2HEX(G198,8)),"")</f>
        <v/>
      </c>
    </row>
  </sheetData>
  <mergeCells count="2">
    <mergeCell ref="B3:C3"/>
    <mergeCell ref="B1:H1"/>
  </mergeCells>
  <dataValidations count="1">
    <dataValidation type="list" allowBlank="1" showInputMessage="1" showErrorMessage="1" sqref="C107:C119 C127:C128 C83:C87 C11:C27 C7:C9 C73:C81 C161:C162 C137:C159 C121:C125 C29:C51 C53:C71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W91"/>
  <sheetViews>
    <sheetView zoomScale="85" zoomScaleNormal="85" workbookViewId="0">
      <pane ySplit="5" topLeftCell="A42" activePane="bottomLeft" state="frozen"/>
      <selection activeCell="A285" sqref="A285"/>
      <selection pane="bottomLeft" activeCell="A72" sqref="A72"/>
    </sheetView>
  </sheetViews>
  <sheetFormatPr defaultRowHeight="1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3" width="9.140625" style="11"/>
  </cols>
  <sheetData>
    <row r="1" spans="1:23" ht="28.5" customHeight="1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</row>
    <row r="2" spans="1:23" s="9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3"/>
      <c r="P2" s="13"/>
      <c r="Q2" s="13"/>
      <c r="R2" s="13"/>
      <c r="S2" s="13"/>
      <c r="T2" s="13"/>
      <c r="U2" s="13"/>
      <c r="V2" s="13"/>
      <c r="W2" s="13"/>
    </row>
    <row r="3" spans="1:23" s="9" customFormat="1" ht="19.5" customHeight="1">
      <c r="A3" s="23"/>
      <c r="B3" s="115" t="s">
        <v>194</v>
      </c>
      <c r="C3" s="115"/>
      <c r="D3" s="24">
        <f>SUM(D7:D1586)</f>
        <v>260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3"/>
      <c r="P3" s="13"/>
      <c r="Q3" s="13"/>
      <c r="R3" s="13"/>
      <c r="S3" s="13"/>
      <c r="T3" s="13"/>
      <c r="U3" s="13"/>
      <c r="V3" s="13"/>
      <c r="W3" s="13"/>
    </row>
    <row r="4" spans="1:23" s="9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3"/>
      <c r="P4" s="13"/>
      <c r="Q4" s="13"/>
      <c r="R4" s="13"/>
      <c r="S4" s="13"/>
      <c r="T4" s="13"/>
      <c r="U4" s="13"/>
      <c r="V4" s="13"/>
      <c r="W4" s="13"/>
    </row>
    <row r="5" spans="1:23" s="9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3"/>
      <c r="P5" s="13"/>
      <c r="Q5" s="13"/>
      <c r="R5" s="13"/>
      <c r="S5" s="13"/>
      <c r="T5" s="13"/>
      <c r="U5" s="13"/>
      <c r="V5" s="13"/>
      <c r="W5" s="13"/>
    </row>
    <row r="6" spans="1:23" s="9" customFormat="1" ht="20.25" customHeight="1">
      <c r="A6" s="56"/>
      <c r="B6" s="44" t="s">
        <v>746</v>
      </c>
      <c r="C6" s="21"/>
      <c r="D6" s="21"/>
      <c r="E6" s="21"/>
      <c r="F6" s="21"/>
      <c r="G6" s="21"/>
      <c r="H6" s="21" t="str">
        <f>IF(G6&lt;&gt;"",DEC2HEX(G6,4),"")</f>
        <v/>
      </c>
      <c r="I6" s="21"/>
      <c r="J6" s="16"/>
      <c r="K6" s="16"/>
      <c r="L6" s="16"/>
      <c r="M6" s="16"/>
      <c r="N6" s="16"/>
      <c r="O6" s="13"/>
      <c r="P6" s="13"/>
      <c r="Q6" s="13"/>
      <c r="R6" s="13"/>
      <c r="S6" s="13"/>
      <c r="T6" s="13"/>
      <c r="U6" s="13"/>
      <c r="V6" s="13"/>
      <c r="W6" s="13"/>
    </row>
    <row r="7" spans="1:23" s="11" customFormat="1" ht="15" customHeight="1">
      <c r="A7" s="56">
        <v>0</v>
      </c>
      <c r="B7" s="45" t="s">
        <v>128</v>
      </c>
      <c r="C7" t="s">
        <v>57</v>
      </c>
      <c r="D7">
        <f t="shared" ref="D7:D70" si="0">IF(OR(C7="sint64",C7="uint64",C7="double64"), 8, IF(OR(C7="sint32",C7="uint32",C7="float32"),4,IF(OR(C7="sint16",C7="uint16"),2,  IF(OR(C7="sint8",C7="uint8"),1,""))))</f>
        <v>4</v>
      </c>
      <c r="E7" s="2" t="s">
        <v>616</v>
      </c>
      <c r="F7"/>
      <c r="G7" s="11">
        <f>ROUND( (DIRECT_CURR_POS_0 * 32768)/BASE_CURRENT,0)</f>
        <v>0</v>
      </c>
      <c r="H7" s="9" t="str">
        <f>IF(G7&lt;&gt;"",IF(C7="float32",FLOAT2HEX(G7),DEC2HEX(G7,8)),"")</f>
        <v>00000000</v>
      </c>
      <c r="I7" s="9">
        <f>IF(G7&lt;&gt;"",HEX2DEC(H7),"")</f>
        <v>0</v>
      </c>
    </row>
    <row r="8" spans="1:23" s="11" customFormat="1" ht="15" customHeight="1">
      <c r="A8" s="56">
        <f>IF(I8&lt;&gt;"",MAX(A$1:A7)+1,"")</f>
        <v>1</v>
      </c>
      <c r="B8" s="45" t="s">
        <v>144</v>
      </c>
      <c r="C8" t="s">
        <v>57</v>
      </c>
      <c r="D8">
        <f>IF(OR(C8="sint64",C8="uint64",C8="double64"), 8, IF(OR(C8="sint32",C8="uint32",C8="float32"),4,IF(OR(C8="sint16",C8="uint16"),2,  IF(OR(C8="sint8",C8="uint8"),1,""))))</f>
        <v>4</v>
      </c>
      <c r="E8" s="2" t="s">
        <v>632</v>
      </c>
      <c r="F8"/>
      <c r="G8" s="11">
        <f xml:space="preserve"> ROUND((DIRECT_IND_POS_0 * 32768)/BASE_IND,0)</f>
        <v>21385</v>
      </c>
      <c r="H8" s="9" t="str">
        <f>IF(G8&lt;&gt;"",IF(C8="float32",FLOAT2HEX(G8),DEC2HEX(G8,8)),"")</f>
        <v>00005389</v>
      </c>
      <c r="I8" s="9">
        <f>IF(G8&lt;&gt;"",HEX2DEC(H8),"")</f>
        <v>21385</v>
      </c>
    </row>
    <row r="9" spans="1:23" s="11" customFormat="1" ht="15" customHeight="1">
      <c r="A9" s="56">
        <f>IF(I9&lt;&gt;"",MAX(A$1:A8)+1,"")</f>
        <v>2</v>
      </c>
      <c r="B9" s="45" t="s">
        <v>129</v>
      </c>
      <c r="C9" t="s">
        <v>57</v>
      </c>
      <c r="D9">
        <f t="shared" si="0"/>
        <v>4</v>
      </c>
      <c r="E9" s="2" t="s">
        <v>617</v>
      </c>
      <c r="F9"/>
      <c r="G9" s="11">
        <f>ROUND((DIRECT_CURR_POS_1 * 32768)/BASE_CURRENT,0)</f>
        <v>-3986</v>
      </c>
      <c r="H9" s="9" t="str">
        <f>IF(G9&lt;&gt;"",IF(C9="float32",FLOAT2HEX(G9),DEC2HEX(G9,8)),"")</f>
        <v>FFFFFFF06E</v>
      </c>
      <c r="I9" s="9">
        <f>IF(G9&lt;&gt;"",HEX2DEC(H9),"")</f>
        <v>-3986</v>
      </c>
    </row>
    <row r="10" spans="1:23" s="11" customFormat="1" ht="15" customHeight="1">
      <c r="A10" s="56">
        <f>IF(I10&lt;&gt;"",MAX(A$1:A9)+1,"")</f>
        <v>3</v>
      </c>
      <c r="B10" s="45" t="s">
        <v>145</v>
      </c>
      <c r="C10" t="s">
        <v>57</v>
      </c>
      <c r="D10">
        <f>IF(OR(C10="sint64",C10="uint64",C10="double64"), 8, IF(OR(C10="sint32",C10="uint32",C10="float32"),4,IF(OR(C10="sint16",C10="uint16"),2,  IF(OR(C10="sint8",C10="uint8"),1,""))))</f>
        <v>4</v>
      </c>
      <c r="E10" s="2" t="s">
        <v>633</v>
      </c>
      <c r="F10"/>
      <c r="G10" s="11">
        <f>ROUND((DIRECT_IND_POS_1 * 32768)/BASE_IND,0)</f>
        <v>21385</v>
      </c>
      <c r="H10" s="9" t="str">
        <f>IF(G10&lt;&gt;"",IF(C10="float32",FLOAT2HEX(G10),DEC2HEX(G10,8)),"")</f>
        <v>00005389</v>
      </c>
      <c r="I10" s="9">
        <f>IF(G10&lt;&gt;"",HEX2DEC(H10),"")</f>
        <v>21385</v>
      </c>
    </row>
    <row r="11" spans="1:23" s="11" customFormat="1" ht="15" customHeight="1">
      <c r="A11" s="56">
        <f>IF(I11&lt;&gt;"",MAX(A$1:A10)+1,"")</f>
        <v>4</v>
      </c>
      <c r="B11" s="45" t="s">
        <v>130</v>
      </c>
      <c r="C11" t="s">
        <v>57</v>
      </c>
      <c r="D11">
        <f t="shared" si="0"/>
        <v>4</v>
      </c>
      <c r="E11" s="2" t="s">
        <v>618</v>
      </c>
      <c r="F11"/>
      <c r="G11" s="11">
        <f>ROUND( (DIRECT_CURR_POS_2 * 32768)/BASE_CURRENT,0)</f>
        <v>-7973</v>
      </c>
      <c r="H11" s="9" t="str">
        <f>IF(G11&lt;&gt;"",IF(C11="float32",FLOAT2HEX(G11),DEC2HEX(G11,8)),"")</f>
        <v>FFFFFFE0DB</v>
      </c>
      <c r="I11" s="9">
        <f t="shared" ref="I11:I71" si="1">IF(G11&lt;&gt;"",HEX2DEC(H11),"")</f>
        <v>-7973</v>
      </c>
    </row>
    <row r="12" spans="1:23" s="11" customFormat="1" ht="15" customHeight="1">
      <c r="A12" s="56">
        <f>IF(I12&lt;&gt;"",MAX(A$1:A11)+1,"")</f>
        <v>5</v>
      </c>
      <c r="B12" s="45" t="s">
        <v>146</v>
      </c>
      <c r="C12" t="s">
        <v>57</v>
      </c>
      <c r="D12">
        <f>IF(OR(C12="sint64",C12="uint64",C12="double64"), 8, IF(OR(C12="sint32",C12="uint32",C12="float32"),4,IF(OR(C12="sint16",C12="uint16"),2,  IF(OR(C12="sint8",C12="uint8"),1,""))))</f>
        <v>4</v>
      </c>
      <c r="E12" s="2" t="s">
        <v>634</v>
      </c>
      <c r="F12"/>
      <c r="G12" s="11">
        <f>ROUND((DIRECT_IND_POS_2*32768)/BASE_IND,0)</f>
        <v>21385</v>
      </c>
      <c r="H12" s="9" t="str">
        <f>IF(G12&lt;&gt;"",IF(C12="float32",FLOAT2HEX(G12),DEC2HEX(G12,8)),"")</f>
        <v>00005389</v>
      </c>
      <c r="I12" s="9">
        <f>IF(G12&lt;&gt;"",HEX2DEC(H12),"")</f>
        <v>21385</v>
      </c>
    </row>
    <row r="13" spans="1:23" s="11" customFormat="1" ht="15" customHeight="1">
      <c r="A13" s="56">
        <f>IF(I13&lt;&gt;"",MAX(A$1:A12)+1,"")</f>
        <v>6</v>
      </c>
      <c r="B13" s="45" t="s">
        <v>131</v>
      </c>
      <c r="C13" t="s">
        <v>57</v>
      </c>
      <c r="D13">
        <f t="shared" si="0"/>
        <v>4</v>
      </c>
      <c r="E13" s="2" t="s">
        <v>619</v>
      </c>
      <c r="F13"/>
      <c r="G13" s="11">
        <f>ROUND((DIRECT_CURR_POS_3 * 32768)/BASE_CURRENT,0)</f>
        <v>-11959</v>
      </c>
      <c r="H13" s="9" t="str">
        <f>IF(G13&lt;&gt;"",IF(C13="float32",FLOAT2HEX(G13),DEC2HEX(G13,8)),"")</f>
        <v>FFFFFFD149</v>
      </c>
      <c r="I13" s="9">
        <f t="shared" si="1"/>
        <v>-11959</v>
      </c>
    </row>
    <row r="14" spans="1:23" s="11" customFormat="1" ht="15" customHeight="1">
      <c r="A14" s="56">
        <f>IF(I14&lt;&gt;"",MAX(A$1:A13)+1,"")</f>
        <v>7</v>
      </c>
      <c r="B14" s="45" t="s">
        <v>147</v>
      </c>
      <c r="C14" t="s">
        <v>57</v>
      </c>
      <c r="D14">
        <f>IF(OR(C14="sint64",C14="uint64",C14="double64"), 8, IF(OR(C14="sint32",C14="uint32",C14="float32"),4,IF(OR(C14="sint16",C14="uint16"),2,  IF(OR(C14="sint8",C14="uint8"),1,""))))</f>
        <v>4</v>
      </c>
      <c r="E14" s="2" t="s">
        <v>635</v>
      </c>
      <c r="F14"/>
      <c r="G14" s="11">
        <f>ROUND( (DIRECT_IND_POS_3 * 32768)/BASE_IND,0)</f>
        <v>21385</v>
      </c>
      <c r="H14" s="9" t="str">
        <f>IF(G14&lt;&gt;"",IF(C14="float32",FLOAT2HEX(G14),DEC2HEX(G14,8)),"")</f>
        <v>00005389</v>
      </c>
      <c r="I14" s="9">
        <f>IF(G14&lt;&gt;"",HEX2DEC(H14),"")</f>
        <v>21385</v>
      </c>
    </row>
    <row r="15" spans="1:23" s="11" customFormat="1" ht="15" customHeight="1">
      <c r="A15" s="56">
        <f>IF(I15&lt;&gt;"",MAX(A$1:A14)+1,"")</f>
        <v>8</v>
      </c>
      <c r="B15" s="45" t="s">
        <v>132</v>
      </c>
      <c r="C15" t="s">
        <v>57</v>
      </c>
      <c r="D15">
        <f t="shared" si="0"/>
        <v>4</v>
      </c>
      <c r="E15" s="2" t="s">
        <v>620</v>
      </c>
      <c r="F15"/>
      <c r="G15" s="11">
        <f>ROUND( (DIRECT_CURR_POS_4 * 32768)/BASE_CURRENT,0)</f>
        <v>-15945</v>
      </c>
      <c r="H15" s="9" t="str">
        <f>IF(G15&lt;&gt;"",IF(C15="float32",FLOAT2HEX(G15),DEC2HEX(G15,8)),"")</f>
        <v>FFFFFFC1B7</v>
      </c>
      <c r="I15" s="9">
        <f t="shared" si="1"/>
        <v>-15945</v>
      </c>
    </row>
    <row r="16" spans="1:23" s="11" customFormat="1" ht="15" customHeight="1">
      <c r="A16" s="56">
        <f>IF(I16&lt;&gt;"",MAX(A$1:A15)+1,"")</f>
        <v>9</v>
      </c>
      <c r="B16" s="45" t="s">
        <v>148</v>
      </c>
      <c r="C16" t="s">
        <v>57</v>
      </c>
      <c r="D16">
        <f>IF(OR(C16="sint64",C16="uint64",C16="double64"), 8, IF(OR(C16="sint32",C16="uint32",C16="float32"),4,IF(OR(C16="sint16",C16="uint16"),2,  IF(OR(C16="sint8",C16="uint8"),1,""))))</f>
        <v>4</v>
      </c>
      <c r="E16" s="2" t="s">
        <v>636</v>
      </c>
      <c r="F16"/>
      <c r="G16" s="11">
        <f>ROUND((DIRECT_IND_POS_4 * 32768)/BASE_IND,0)</f>
        <v>21385</v>
      </c>
      <c r="H16" s="9" t="str">
        <f>IF(G16&lt;&gt;"",IF(C16="float32",FLOAT2HEX(G16),DEC2HEX(G16,8)),"")</f>
        <v>00005389</v>
      </c>
      <c r="I16" s="9">
        <f>IF(G16&lt;&gt;"",HEX2DEC(H16),"")</f>
        <v>21385</v>
      </c>
    </row>
    <row r="17" spans="1:9" s="11" customFormat="1" ht="15" customHeight="1">
      <c r="A17" s="56">
        <f>IF(I17&lt;&gt;"",MAX(A$1:A16)+1,"")</f>
        <v>10</v>
      </c>
      <c r="B17" s="45" t="s">
        <v>133</v>
      </c>
      <c r="C17" t="s">
        <v>57</v>
      </c>
      <c r="D17">
        <f t="shared" si="0"/>
        <v>4</v>
      </c>
      <c r="E17" s="2" t="s">
        <v>621</v>
      </c>
      <c r="F17"/>
      <c r="G17" s="11">
        <f>ROUND((DIRECT_CURR_POS_5 * 32768)/BASE_CURRENT,0)</f>
        <v>-19932</v>
      </c>
      <c r="H17" s="9" t="str">
        <f>IF(G17&lt;&gt;"",IF(C17="float32",FLOAT2HEX(G17),DEC2HEX(G17,8)),"")</f>
        <v>FFFFFFB224</v>
      </c>
      <c r="I17" s="9">
        <f t="shared" si="1"/>
        <v>-19932</v>
      </c>
    </row>
    <row r="18" spans="1:9" s="11" customFormat="1" ht="15" customHeight="1">
      <c r="A18" s="56">
        <f>IF(I18&lt;&gt;"",MAX(A$1:A17)+1,"")</f>
        <v>11</v>
      </c>
      <c r="B18" s="45" t="s">
        <v>149</v>
      </c>
      <c r="C18" t="s">
        <v>57</v>
      </c>
      <c r="D18">
        <f>IF(OR(C18="sint64",C18="uint64",C18="double64"), 8, IF(OR(C18="sint32",C18="uint32",C18="float32"),4,IF(OR(C18="sint16",C18="uint16"),2,  IF(OR(C18="sint8",C18="uint8"),1,""))))</f>
        <v>4</v>
      </c>
      <c r="E18" s="2" t="s">
        <v>637</v>
      </c>
      <c r="F18"/>
      <c r="G18" s="11">
        <f>ROUND( (DIRECT_IND_POS_5 * 32768)/BASE_IND,0)</f>
        <v>21385</v>
      </c>
      <c r="H18" s="9" t="str">
        <f>IF(G18&lt;&gt;"",IF(C18="float32",FLOAT2HEX(G18),DEC2HEX(G18,8)),"")</f>
        <v>00005389</v>
      </c>
      <c r="I18" s="9">
        <f>IF(G18&lt;&gt;"",HEX2DEC(H18),"")</f>
        <v>21385</v>
      </c>
    </row>
    <row r="19" spans="1:9" s="11" customFormat="1" ht="15" customHeight="1">
      <c r="A19" s="56">
        <f>IF(I19&lt;&gt;"",MAX(A$1:A18)+1,"")</f>
        <v>12</v>
      </c>
      <c r="B19" s="45" t="s">
        <v>134</v>
      </c>
      <c r="C19" t="s">
        <v>57</v>
      </c>
      <c r="D19">
        <f t="shared" si="0"/>
        <v>4</v>
      </c>
      <c r="E19" s="2" t="s">
        <v>622</v>
      </c>
      <c r="F19"/>
      <c r="G19" s="11">
        <f>ROUND( (DIRECT_CURR_POS_6 * 32768)/BASE_CURRENT,0)</f>
        <v>-23918</v>
      </c>
      <c r="H19" s="9" t="str">
        <f>IF(G19&lt;&gt;"",IF(C19="float32",FLOAT2HEX(G19),DEC2HEX(G19,8)),"")</f>
        <v>FFFFFFA292</v>
      </c>
      <c r="I19" s="9">
        <f t="shared" si="1"/>
        <v>-23918</v>
      </c>
    </row>
    <row r="20" spans="1:9" s="11" customFormat="1" ht="15" customHeight="1">
      <c r="A20" s="56">
        <f>IF(I20&lt;&gt;"",MAX(A$1:A19)+1,"")</f>
        <v>13</v>
      </c>
      <c r="B20" s="45" t="s">
        <v>150</v>
      </c>
      <c r="C20" t="s">
        <v>57</v>
      </c>
      <c r="D20">
        <f>IF(OR(C20="sint64",C20="uint64",C20="double64"), 8, IF(OR(C20="sint32",C20="uint32",C20="float32"),4,IF(OR(C20="sint16",C20="uint16"),2,  IF(OR(C20="sint8",C20="uint8"),1,""))))</f>
        <v>4</v>
      </c>
      <c r="E20" s="2" t="s">
        <v>638</v>
      </c>
      <c r="F20"/>
      <c r="G20" s="11">
        <f>ROUND((DIRECT_IND_POS_6 * 32768)/BASE_IND,0)</f>
        <v>21385</v>
      </c>
      <c r="H20" s="9" t="str">
        <f>IF(G20&lt;&gt;"",IF(C20="float32",FLOAT2HEX(G20),DEC2HEX(G20,8)),"")</f>
        <v>00005389</v>
      </c>
      <c r="I20" s="9">
        <f>IF(G20&lt;&gt;"",HEX2DEC(H20),"")</f>
        <v>21385</v>
      </c>
    </row>
    <row r="21" spans="1:9" s="11" customFormat="1" ht="15" customHeight="1">
      <c r="A21" s="56">
        <f>IF(I21&lt;&gt;"",MAX(A$1:A20)+1,"")</f>
        <v>14</v>
      </c>
      <c r="B21" s="45" t="s">
        <v>135</v>
      </c>
      <c r="C21" t="s">
        <v>57</v>
      </c>
      <c r="D21">
        <f t="shared" si="0"/>
        <v>4</v>
      </c>
      <c r="E21" s="2" t="s">
        <v>623</v>
      </c>
      <c r="F21"/>
      <c r="G21" s="11">
        <f>ROUND((DIRECT_CURR_POS_7 * 32768)/BASE_CURRENT,0)</f>
        <v>-27905</v>
      </c>
      <c r="H21" s="9" t="str">
        <f>IF(G21&lt;&gt;"",IF(C21="float32",FLOAT2HEX(G21),DEC2HEX(G21,8)),"")</f>
        <v>FFFFFF92FF</v>
      </c>
      <c r="I21" s="9">
        <f t="shared" si="1"/>
        <v>-27905</v>
      </c>
    </row>
    <row r="22" spans="1:9" s="11" customFormat="1" ht="15" customHeight="1">
      <c r="A22" s="56">
        <f>IF(I22&lt;&gt;"",MAX(A$1:A21)+1,"")</f>
        <v>15</v>
      </c>
      <c r="B22" s="45" t="s">
        <v>151</v>
      </c>
      <c r="C22" t="s">
        <v>57</v>
      </c>
      <c r="D22">
        <f>IF(OR(C22="sint64",C22="uint64",C22="double64"), 8, IF(OR(C22="sint32",C22="uint32",C22="float32"),4,IF(OR(C22="sint16",C22="uint16"),2,  IF(OR(C22="sint8",C22="uint8"),1,""))))</f>
        <v>4</v>
      </c>
      <c r="E22" s="2" t="s">
        <v>639</v>
      </c>
      <c r="F22"/>
      <c r="G22" s="11">
        <f>ROUND( (DIRECT_IND_POS_7 * 32768)/BASE_IND,0)</f>
        <v>21385</v>
      </c>
      <c r="H22" s="9" t="str">
        <f>IF(G22&lt;&gt;"",IF(C22="float32",FLOAT2HEX(G22),DEC2HEX(G22,8)),"")</f>
        <v>00005389</v>
      </c>
      <c r="I22" s="9">
        <f>IF(G22&lt;&gt;"",HEX2DEC(H22),"")</f>
        <v>21385</v>
      </c>
    </row>
    <row r="23" spans="1:9" s="11" customFormat="1" ht="15" customHeight="1">
      <c r="A23" s="56">
        <f>IF(I23&lt;&gt;"",MAX(A$1:A22)+1,"")</f>
        <v>16</v>
      </c>
      <c r="B23" s="45" t="s">
        <v>136</v>
      </c>
      <c r="C23" t="s">
        <v>57</v>
      </c>
      <c r="D23">
        <f t="shared" si="0"/>
        <v>4</v>
      </c>
      <c r="E23" s="2" t="s">
        <v>624</v>
      </c>
      <c r="F23"/>
      <c r="G23" s="11">
        <f>ROUND((DIRECT_CURR_POS_8 * 32768)/BASE_CURRENT,0)</f>
        <v>-31891</v>
      </c>
      <c r="H23" s="9" t="str">
        <f>IF(G23&lt;&gt;"",IF(C23="float32",FLOAT2HEX(G23),DEC2HEX(G23,8)),"")</f>
        <v>FFFFFF836D</v>
      </c>
      <c r="I23" s="9">
        <f t="shared" si="1"/>
        <v>-31891</v>
      </c>
    </row>
    <row r="24" spans="1:9" s="11" customFormat="1" ht="15" customHeight="1">
      <c r="A24" s="56">
        <f>IF(I24&lt;&gt;"",MAX(A$1:A23)+1,"")</f>
        <v>17</v>
      </c>
      <c r="B24" s="45" t="s">
        <v>152</v>
      </c>
      <c r="C24" t="s">
        <v>57</v>
      </c>
      <c r="D24">
        <f>IF(OR(C24="sint64",C24="uint64",C24="double64"), 8, IF(OR(C24="sint32",C24="uint32",C24="float32"),4,IF(OR(C24="sint16",C24="uint16"),2,  IF(OR(C24="sint8",C24="uint8"),1,""))))</f>
        <v>4</v>
      </c>
      <c r="E24" s="2" t="s">
        <v>640</v>
      </c>
      <c r="F24"/>
      <c r="G24" s="11">
        <f>ROUND( (DIRECT_IND_POS_8 * 32768)/BASE_IND,0)</f>
        <v>21385</v>
      </c>
      <c r="H24" s="9" t="str">
        <f>IF(G24&lt;&gt;"",IF(C24="float32",FLOAT2HEX(G24),DEC2HEX(G24,8)),"")</f>
        <v>00005389</v>
      </c>
      <c r="I24" s="9">
        <f>IF(G24&lt;&gt;"",HEX2DEC(H24),"")</f>
        <v>21385</v>
      </c>
    </row>
    <row r="25" spans="1:9" s="11" customFormat="1" ht="15" customHeight="1">
      <c r="A25" s="56">
        <f>IF(I25&lt;&gt;"",MAX(A$1:A24)+1,"")</f>
        <v>18</v>
      </c>
      <c r="B25" s="45" t="s">
        <v>137</v>
      </c>
      <c r="C25" t="s">
        <v>57</v>
      </c>
      <c r="D25">
        <f t="shared" si="0"/>
        <v>4</v>
      </c>
      <c r="E25" s="61" t="s">
        <v>625</v>
      </c>
      <c r="F25"/>
      <c r="G25" s="11">
        <f>ROUND( (DIRECT_CURR_POS_9 * 32768)/BASE_CURRENT,0)</f>
        <v>-35877</v>
      </c>
      <c r="H25" s="9" t="str">
        <f>IF(G25&lt;&gt;"",IF(C25="float32",FLOAT2HEX(G25),DEC2HEX(G25,8)),"")</f>
        <v>FFFFFF73DB</v>
      </c>
      <c r="I25" s="9">
        <f t="shared" si="1"/>
        <v>-35877</v>
      </c>
    </row>
    <row r="26" spans="1:9" s="11" customFormat="1" ht="15" customHeight="1">
      <c r="A26" s="56">
        <f>IF(I26&lt;&gt;"",MAX(A$1:A25)+1,"")</f>
        <v>19</v>
      </c>
      <c r="B26" s="45" t="s">
        <v>153</v>
      </c>
      <c r="C26" t="s">
        <v>57</v>
      </c>
      <c r="D26">
        <f>IF(OR(C26="sint64",C26="uint64",C26="double64"), 8, IF(OR(C26="sint32",C26="uint32",C26="float32"),4,IF(OR(C26="sint16",C26="uint16"),2,  IF(OR(C26="sint8",C26="uint8"),1,""))))</f>
        <v>4</v>
      </c>
      <c r="E26" s="2" t="s">
        <v>641</v>
      </c>
      <c r="F26"/>
      <c r="G26" s="11">
        <f>ROUND( (DIRECT_IND_POS_9 * 32768)/BASE_IND,0)</f>
        <v>21385</v>
      </c>
      <c r="H26" s="9" t="str">
        <f>IF(G26&lt;&gt;"",IF(C26="float32",FLOAT2HEX(G26),DEC2HEX(G26,8)),"")</f>
        <v>00005389</v>
      </c>
      <c r="I26" s="9">
        <f>IF(G26&lt;&gt;"",HEX2DEC(H26),"")</f>
        <v>21385</v>
      </c>
    </row>
    <row r="27" spans="1:9" s="11" customFormat="1" ht="15" customHeight="1">
      <c r="A27" s="56">
        <f>IF(I27&lt;&gt;"",MAX(A$1:A26)+1,"")</f>
        <v>20</v>
      </c>
      <c r="B27" s="45" t="s">
        <v>138</v>
      </c>
      <c r="C27" t="s">
        <v>57</v>
      </c>
      <c r="D27">
        <f t="shared" si="0"/>
        <v>4</v>
      </c>
      <c r="E27" s="2" t="s">
        <v>626</v>
      </c>
      <c r="F27"/>
      <c r="G27" s="11">
        <f>ROUND((DIRECT_CURR_POS_10 * 32768)/BASE_CURRENT,0)</f>
        <v>-39864</v>
      </c>
      <c r="H27" s="9" t="str">
        <f>IF(G27&lt;&gt;"",IF(C27="float32",FLOAT2HEX(G27),DEC2HEX(G27,8)),"")</f>
        <v>FFFFFF6448</v>
      </c>
      <c r="I27" s="9">
        <f t="shared" si="1"/>
        <v>-39864</v>
      </c>
    </row>
    <row r="28" spans="1:9" s="11" customFormat="1" ht="15" customHeight="1">
      <c r="A28" s="56">
        <f>IF(I28&lt;&gt;"",MAX(A$1:A27)+1,"")</f>
        <v>21</v>
      </c>
      <c r="B28" s="45" t="s">
        <v>154</v>
      </c>
      <c r="C28" t="s">
        <v>57</v>
      </c>
      <c r="D28">
        <f>IF(OR(C28="sint64",C28="uint64",C28="double64"), 8, IF(OR(C28="sint32",C28="uint32",C28="float32"),4,IF(OR(C28="sint16",C28="uint16"),2,  IF(OR(C28="sint8",C28="uint8"),1,""))))</f>
        <v>4</v>
      </c>
      <c r="E28" s="2" t="s">
        <v>642</v>
      </c>
      <c r="F28"/>
      <c r="G28" s="11">
        <f>ROUND( (DIRECT_IND_POS_10 * 32768)/BASE_IND,0)</f>
        <v>21385</v>
      </c>
      <c r="H28" s="9" t="str">
        <f>IF(G28&lt;&gt;"",IF(C28="float32",FLOAT2HEX(G28),DEC2HEX(G28,8)),"")</f>
        <v>00005389</v>
      </c>
      <c r="I28" s="9">
        <f>IF(G28&lt;&gt;"",HEX2DEC(H28),"")</f>
        <v>21385</v>
      </c>
    </row>
    <row r="29" spans="1:9" s="11" customFormat="1" ht="15" customHeight="1">
      <c r="A29" s="56">
        <f>IF(I29&lt;&gt;"",MAX(A$1:A28)+1,"")</f>
        <v>22</v>
      </c>
      <c r="B29" s="45" t="s">
        <v>140</v>
      </c>
      <c r="C29" t="s">
        <v>57</v>
      </c>
      <c r="D29">
        <f t="shared" si="0"/>
        <v>4</v>
      </c>
      <c r="E29" s="2" t="s">
        <v>627</v>
      </c>
      <c r="F29"/>
      <c r="G29" s="11">
        <f>ROUND( (DIRECT_CURR_POS_11 * 32768)/BASE_CURRENT,0)</f>
        <v>-43850</v>
      </c>
      <c r="H29" s="9" t="str">
        <f>IF(G29&lt;&gt;"",IF(C29="float32",FLOAT2HEX(G29),DEC2HEX(G29,8)),"")</f>
        <v>FFFFFF54B6</v>
      </c>
      <c r="I29" s="9">
        <f t="shared" si="1"/>
        <v>-43850</v>
      </c>
    </row>
    <row r="30" spans="1:9" s="11" customFormat="1" ht="15" customHeight="1">
      <c r="A30" s="56">
        <f>IF(I30&lt;&gt;"",MAX(A$1:A29)+1,"")</f>
        <v>23</v>
      </c>
      <c r="B30" s="45" t="s">
        <v>155</v>
      </c>
      <c r="C30" t="s">
        <v>57</v>
      </c>
      <c r="D30">
        <f>IF(OR(C30="sint64",C30="uint64",C30="double64"), 8, IF(OR(C30="sint32",C30="uint32",C30="float32"),4,IF(OR(C30="sint16",C30="uint16"),2,  IF(OR(C30="sint8",C30="uint8"),1,""))))</f>
        <v>4</v>
      </c>
      <c r="E30" s="2" t="s">
        <v>643</v>
      </c>
      <c r="F30"/>
      <c r="G30" s="11">
        <f>ROUND( (DIRECT_IND_POS_11 * 32768)/BASE_IND,0)</f>
        <v>21385</v>
      </c>
      <c r="H30" s="9" t="str">
        <f>IF(G30&lt;&gt;"",IF(C30="float32",FLOAT2HEX(G30),DEC2HEX(G30,8)),"")</f>
        <v>00005389</v>
      </c>
      <c r="I30" s="9">
        <f>IF(G30&lt;&gt;"",HEX2DEC(H30),"")</f>
        <v>21385</v>
      </c>
    </row>
    <row r="31" spans="1:9" s="11" customFormat="1" ht="15" customHeight="1">
      <c r="A31" s="56">
        <f>IF(I31&lt;&gt;"",MAX(A$1:A30)+1,"")</f>
        <v>24</v>
      </c>
      <c r="B31" s="45" t="s">
        <v>139</v>
      </c>
      <c r="C31" t="s">
        <v>57</v>
      </c>
      <c r="D31">
        <f t="shared" si="0"/>
        <v>4</v>
      </c>
      <c r="E31" s="2" t="s">
        <v>628</v>
      </c>
      <c r="F31"/>
      <c r="G31" s="11">
        <f>ROUND((DIRECT_CURR_POS_12 * 32768)/BASE_CURRENT,0)</f>
        <v>-47836</v>
      </c>
      <c r="H31" s="9" t="str">
        <f>IF(G31&lt;&gt;"",IF(C31="float32",FLOAT2HEX(G31),DEC2HEX(G31,8)),"")</f>
        <v>FFFFFF4524</v>
      </c>
      <c r="I31" s="9">
        <f t="shared" si="1"/>
        <v>-47836</v>
      </c>
    </row>
    <row r="32" spans="1:9" s="11" customFormat="1" ht="15" customHeight="1">
      <c r="A32" s="56">
        <f>IF(I32&lt;&gt;"",MAX(A$1:A31)+1,"")</f>
        <v>25</v>
      </c>
      <c r="B32" s="45" t="s">
        <v>156</v>
      </c>
      <c r="C32" t="s">
        <v>57</v>
      </c>
      <c r="D32">
        <f>IF(OR(C32="sint64",C32="uint64",C32="double64"), 8, IF(OR(C32="sint32",C32="uint32",C32="float32"),4,IF(OR(C32="sint16",C32="uint16"),2,  IF(OR(C32="sint8",C32="uint8"),1,""))))</f>
        <v>4</v>
      </c>
      <c r="E32" s="2" t="s">
        <v>644</v>
      </c>
      <c r="F32"/>
      <c r="G32" s="11">
        <f>ROUND( (DIRECT_IND_POS_12 * 32768)/BASE_IND,0)</f>
        <v>21385</v>
      </c>
      <c r="H32" s="9" t="str">
        <f>IF(G32&lt;&gt;"",IF(C32="float32",FLOAT2HEX(G32),DEC2HEX(G32,8)),"")</f>
        <v>00005389</v>
      </c>
      <c r="I32" s="9">
        <f>IF(G32&lt;&gt;"",HEX2DEC(H32),"")</f>
        <v>21385</v>
      </c>
    </row>
    <row r="33" spans="1:9" s="11" customFormat="1" ht="15" customHeight="1">
      <c r="A33" s="56">
        <f>IF(I33&lt;&gt;"",MAX(A$1:A32)+1,"")</f>
        <v>26</v>
      </c>
      <c r="B33" s="45" t="s">
        <v>141</v>
      </c>
      <c r="C33" t="s">
        <v>57</v>
      </c>
      <c r="D33">
        <f t="shared" si="0"/>
        <v>4</v>
      </c>
      <c r="E33" s="2" t="s">
        <v>629</v>
      </c>
      <c r="F33"/>
      <c r="G33" s="11">
        <f>ROUND((DIRECT_CURR_POS_13 * 32768)/BASE_CURRENT,0)</f>
        <v>-51823</v>
      </c>
      <c r="H33" s="9" t="str">
        <f>IF(G33&lt;&gt;"",IF(C33="float32",FLOAT2HEX(G33),DEC2HEX(G33,8)),"")</f>
        <v>FFFFFF3591</v>
      </c>
      <c r="I33" s="9">
        <f t="shared" si="1"/>
        <v>-51823</v>
      </c>
    </row>
    <row r="34" spans="1:9" s="11" customFormat="1" ht="15" customHeight="1">
      <c r="A34" s="56">
        <f>IF(I34&lt;&gt;"",MAX(A$1:A33)+1,"")</f>
        <v>27</v>
      </c>
      <c r="B34" s="45" t="s">
        <v>157</v>
      </c>
      <c r="C34" t="s">
        <v>57</v>
      </c>
      <c r="D34">
        <f>IF(OR(C34="sint64",C34="uint64",C34="double64"), 8, IF(OR(C34="sint32",C34="uint32",C34="float32"),4,IF(OR(C34="sint16",C34="uint16"),2,  IF(OR(C34="sint8",C34="uint8"),1,""))))</f>
        <v>4</v>
      </c>
      <c r="E34" s="2" t="s">
        <v>645</v>
      </c>
      <c r="F34"/>
      <c r="G34" s="11">
        <f>ROUND( (DIRECT_IND_POS_13 * 32768)/BASE_IND,0)</f>
        <v>21385</v>
      </c>
      <c r="H34" s="9" t="str">
        <f>IF(G34&lt;&gt;"",IF(C34="float32",FLOAT2HEX(G34),DEC2HEX(G34,8)),"")</f>
        <v>00005389</v>
      </c>
      <c r="I34" s="9">
        <f>IF(G34&lt;&gt;"",HEX2DEC(H34),"")</f>
        <v>21385</v>
      </c>
    </row>
    <row r="35" spans="1:9" s="11" customFormat="1" ht="15" customHeight="1">
      <c r="A35" s="56">
        <f>IF(I35&lt;&gt;"",MAX(A$1:A34)+1,"")</f>
        <v>28</v>
      </c>
      <c r="B35" s="45" t="s">
        <v>142</v>
      </c>
      <c r="C35" t="s">
        <v>57</v>
      </c>
      <c r="D35">
        <f t="shared" si="0"/>
        <v>4</v>
      </c>
      <c r="E35" s="2" t="s">
        <v>630</v>
      </c>
      <c r="F35"/>
      <c r="G35" s="11">
        <f>ROUND( (DIRECT_CURR_POS_14 * 32768)/BASE_CURRENT,0)</f>
        <v>-55809</v>
      </c>
      <c r="H35" s="9" t="str">
        <f>IF(G35&lt;&gt;"",IF(C35="float32",FLOAT2HEX(G35),DEC2HEX(G35,8)),"")</f>
        <v>FFFFFF25FF</v>
      </c>
      <c r="I35" s="9">
        <f t="shared" si="1"/>
        <v>-55809</v>
      </c>
    </row>
    <row r="36" spans="1:9" s="11" customFormat="1" ht="15" customHeight="1">
      <c r="A36" s="56">
        <f>IF(I36&lt;&gt;"",MAX(A$1:A35)+1,"")</f>
        <v>29</v>
      </c>
      <c r="B36" s="45" t="s">
        <v>158</v>
      </c>
      <c r="C36" t="s">
        <v>57</v>
      </c>
      <c r="D36">
        <f>IF(OR(C36="sint64",C36="uint64",C36="double64"), 8, IF(OR(C36="sint32",C36="uint32",C36="float32"),4,IF(OR(C36="sint16",C36="uint16"),2,  IF(OR(C36="sint8",C36="uint8"),1,""))))</f>
        <v>4</v>
      </c>
      <c r="E36" s="2" t="s">
        <v>646</v>
      </c>
      <c r="F36"/>
      <c r="G36" s="11">
        <f>ROUND( (DIRECT_IND_POS_14 * 32768)/BASE_IND,0)</f>
        <v>21385</v>
      </c>
      <c r="H36" s="9" t="str">
        <f>IF(G36&lt;&gt;"",IF(C36="float32",FLOAT2HEX(G36),DEC2HEX(G36,8)),"")</f>
        <v>00005389</v>
      </c>
      <c r="I36" s="9">
        <f>IF(G36&lt;&gt;"",HEX2DEC(H36),"")</f>
        <v>21385</v>
      </c>
    </row>
    <row r="37" spans="1:9" s="11" customFormat="1" ht="15" customHeight="1">
      <c r="A37" s="56">
        <f>IF(I37&lt;&gt;"",MAX(A$1:A36)+1,"")</f>
        <v>30</v>
      </c>
      <c r="B37" s="45" t="s">
        <v>143</v>
      </c>
      <c r="C37" t="s">
        <v>57</v>
      </c>
      <c r="D37">
        <f t="shared" si="0"/>
        <v>4</v>
      </c>
      <c r="E37" s="2" t="s">
        <v>631</v>
      </c>
      <c r="F37"/>
      <c r="G37" s="11">
        <f>ROUND( (DIRECT_CURR_POS_15 * 32768)/BASE_CURRENT,0)</f>
        <v>-55809</v>
      </c>
      <c r="H37" s="9" t="str">
        <f>IF(G37&lt;&gt;"",IF(C37="float32",FLOAT2HEX(G37),DEC2HEX(G37,8)),"")</f>
        <v>FFFFFF25FF</v>
      </c>
      <c r="I37" s="9">
        <f t="shared" si="1"/>
        <v>-55809</v>
      </c>
    </row>
    <row r="38" spans="1:9" s="11" customFormat="1" ht="15" customHeight="1">
      <c r="A38" s="56">
        <f>IF(I38&lt;&gt;"",MAX(A$1:A37)+1,"")</f>
        <v>31</v>
      </c>
      <c r="B38" s="45" t="s">
        <v>159</v>
      </c>
      <c r="C38" t="s">
        <v>57</v>
      </c>
      <c r="D38">
        <f t="shared" si="0"/>
        <v>4</v>
      </c>
      <c r="E38" s="2" t="s">
        <v>647</v>
      </c>
      <c r="F38"/>
      <c r="G38" s="11">
        <f>ROUND( (DIRECT_IND_POS_15 * 32768)/BASE_IND,0)</f>
        <v>21385</v>
      </c>
      <c r="H38" s="9" t="str">
        <f>IF(G38&lt;&gt;"",IF(C38="float32",FLOAT2HEX(G38),DEC2HEX(G38,8)),"")</f>
        <v>00005389</v>
      </c>
      <c r="I38" s="9">
        <f t="shared" si="1"/>
        <v>21385</v>
      </c>
    </row>
    <row r="39" spans="1:9" s="55" customFormat="1" ht="15" customHeight="1">
      <c r="A39" s="56" t="str">
        <f>IF(I39&lt;&gt;"",MAX(A$1:A38)+1,"")</f>
        <v/>
      </c>
      <c r="B39" s="58"/>
      <c r="C39" s="51"/>
      <c r="D39" s="51"/>
      <c r="E39" s="52"/>
      <c r="F39" s="51"/>
      <c r="H39" s="54"/>
      <c r="I39" s="54"/>
    </row>
    <row r="40" spans="1:9" s="11" customFormat="1" ht="15" customHeight="1">
      <c r="A40" s="56">
        <f>IF(I40&lt;&gt;"",MAX(A$1:A39)+1,"")</f>
        <v>32</v>
      </c>
      <c r="B40" s="45" t="s">
        <v>160</v>
      </c>
      <c r="C40" t="s">
        <v>57</v>
      </c>
      <c r="D40">
        <f t="shared" si="0"/>
        <v>4</v>
      </c>
      <c r="E40" s="2" t="s">
        <v>648</v>
      </c>
      <c r="F40"/>
      <c r="G40" s="11">
        <f>ROUND( (QUAD_CURR_POS_0 * 32768)/BASE_CURRENT,0)</f>
        <v>0</v>
      </c>
      <c r="H40" s="9" t="str">
        <f>IF(G40&lt;&gt;"",IF(C40="float32",FLOAT2HEX(G40),DEC2HEX(G40,8)),"")</f>
        <v>00000000</v>
      </c>
      <c r="I40" s="9">
        <f t="shared" si="1"/>
        <v>0</v>
      </c>
    </row>
    <row r="41" spans="1:9" s="11" customFormat="1" ht="15" customHeight="1">
      <c r="A41" s="56">
        <f>IF(I41&lt;&gt;"",MAX(A$1:A40)+1,"")</f>
        <v>33</v>
      </c>
      <c r="B41" s="45" t="s">
        <v>176</v>
      </c>
      <c r="C41" t="s">
        <v>57</v>
      </c>
      <c r="D41">
        <f>IF(OR(C41="sint64",C41="uint64",C41="double64"), 8, IF(OR(C41="sint32",C41="uint32",C41="float32"),4,IF(OR(C41="sint16",C41="uint16"),2,  IF(OR(C41="sint8",C41="uint8"),1,""))))</f>
        <v>4</v>
      </c>
      <c r="E41" s="2" t="s">
        <v>664</v>
      </c>
      <c r="F41"/>
      <c r="G41" s="11">
        <f>ROUND( (QUAD_IND_POS_0 * 32768)/BASE_IND,0)</f>
        <v>25364</v>
      </c>
      <c r="H41" s="9" t="str">
        <f>IF(G41&lt;&gt;"",IF(C41="float32",FLOAT2HEX(G41),DEC2HEX(G41,8)),"")</f>
        <v>00006314</v>
      </c>
      <c r="I41" s="9">
        <f>IF(G41&lt;&gt;"",HEX2DEC(H41),"")</f>
        <v>25364</v>
      </c>
    </row>
    <row r="42" spans="1:9" s="11" customFormat="1" ht="15" customHeight="1">
      <c r="A42" s="56">
        <f>IF(I42&lt;&gt;"",MAX(A$1:A41)+1,"")</f>
        <v>34</v>
      </c>
      <c r="B42" s="45" t="s">
        <v>161</v>
      </c>
      <c r="C42" t="s">
        <v>57</v>
      </c>
      <c r="D42">
        <f t="shared" si="0"/>
        <v>4</v>
      </c>
      <c r="E42" s="2" t="s">
        <v>649</v>
      </c>
      <c r="F42"/>
      <c r="G42" s="11">
        <f>ROUND( (QUAD_CURR_POS_1 * 32768)/BASE_CURRENT,0)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s="11" customFormat="1" ht="15" customHeight="1">
      <c r="A43" s="56">
        <f>IF(I43&lt;&gt;"",MAX(A$1:A42)+1,"")</f>
        <v>35</v>
      </c>
      <c r="B43" s="45" t="s">
        <v>177</v>
      </c>
      <c r="C43" t="s">
        <v>57</v>
      </c>
      <c r="D43">
        <f>IF(OR(C43="sint64",C43="uint64",C43="double64"), 8, IF(OR(C43="sint32",C43="uint32",C43="float32"),4,IF(OR(C43="sint16",C43="uint16"),2,  IF(OR(C43="sint8",C43="uint8"),1,""))))</f>
        <v>4</v>
      </c>
      <c r="E43" s="2" t="s">
        <v>665</v>
      </c>
      <c r="F43"/>
      <c r="G43" s="11">
        <f>ROUND( (QUAD_IND_POS_1 * 32768)/BASE_IND,0)</f>
        <v>25463</v>
      </c>
      <c r="H43" s="9" t="str">
        <f>IF(G43&lt;&gt;"",IF(C43="float32",FLOAT2HEX(G43),DEC2HEX(G43,8)),"")</f>
        <v>00006377</v>
      </c>
      <c r="I43" s="9">
        <f>IF(G43&lt;&gt;"",HEX2DEC(H43),"")</f>
        <v>25463</v>
      </c>
    </row>
    <row r="44" spans="1:9" s="11" customFormat="1" ht="15" customHeight="1">
      <c r="A44" s="56">
        <f>IF(I44&lt;&gt;"",MAX(A$1:A43)+1,"")</f>
        <v>36</v>
      </c>
      <c r="B44" s="45" t="s">
        <v>162</v>
      </c>
      <c r="C44" t="s">
        <v>57</v>
      </c>
      <c r="D44">
        <f t="shared" si="0"/>
        <v>4</v>
      </c>
      <c r="E44" s="2" t="s">
        <v>650</v>
      </c>
      <c r="F44"/>
      <c r="G44" s="11">
        <f>ROUND( (QUAD_CURR_POS_2 * 32768)/BASE_CURRENT,0)</f>
        <v>7973</v>
      </c>
      <c r="H44" s="9" t="str">
        <f>IF(G44&lt;&gt;"",IF(C44="float32",FLOAT2HEX(G44),DEC2HEX(G44,8)),"")</f>
        <v>00001F25</v>
      </c>
      <c r="I44" s="9">
        <f t="shared" si="1"/>
        <v>7973</v>
      </c>
    </row>
    <row r="45" spans="1:9" s="11" customFormat="1" ht="15" customHeight="1">
      <c r="A45" s="56">
        <f>IF(I45&lt;&gt;"",MAX(A$1:A44)+1,"")</f>
        <v>37</v>
      </c>
      <c r="B45" s="45" t="s">
        <v>178</v>
      </c>
      <c r="C45" t="s">
        <v>57</v>
      </c>
      <c r="D45">
        <f>IF(OR(C45="sint64",C45="uint64",C45="double64"), 8, IF(OR(C45="sint32",C45="uint32",C45="float32"),4,IF(OR(C45="sint16",C45="uint16"),2,  IF(OR(C45="sint8",C45="uint8"),1,""))))</f>
        <v>4</v>
      </c>
      <c r="E45" s="2" t="s">
        <v>666</v>
      </c>
      <c r="F45"/>
      <c r="G45" s="11">
        <f>ROUND( (QUAD_IND_POS_2 * 32768)/BASE_IND,0)</f>
        <v>23673</v>
      </c>
      <c r="H45" s="9" t="str">
        <f>IF(G45&lt;&gt;"",IF(C45="float32",FLOAT2HEX(G45),DEC2HEX(G45,8)),"")</f>
        <v>00005C79</v>
      </c>
      <c r="I45" s="9">
        <f>IF(G45&lt;&gt;"",HEX2DEC(H45),"")</f>
        <v>23673</v>
      </c>
    </row>
    <row r="46" spans="1:9" s="11" customFormat="1" ht="15" customHeight="1">
      <c r="A46" s="56">
        <f>IF(I46&lt;&gt;"",MAX(A$1:A45)+1,"")</f>
        <v>38</v>
      </c>
      <c r="B46" s="45" t="s">
        <v>163</v>
      </c>
      <c r="C46" t="s">
        <v>57</v>
      </c>
      <c r="D46">
        <f t="shared" si="0"/>
        <v>4</v>
      </c>
      <c r="E46" s="2" t="s">
        <v>651</v>
      </c>
      <c r="F46"/>
      <c r="G46" s="11">
        <f>ROUND( (QUAD_CURR_POS_3 * 32768)/BASE_CURRENT,0)</f>
        <v>11959</v>
      </c>
      <c r="H46" s="9" t="str">
        <f>IF(G46&lt;&gt;"",IF(C46="float32",FLOAT2HEX(G46),DEC2HEX(G46,8)),"")</f>
        <v>00002EB7</v>
      </c>
      <c r="I46" s="9">
        <f t="shared" si="1"/>
        <v>11959</v>
      </c>
    </row>
    <row r="47" spans="1:9" s="11" customFormat="1" ht="15" customHeight="1">
      <c r="A47" s="56">
        <f>IF(I47&lt;&gt;"",MAX(A$1:A46)+1,"")</f>
        <v>39</v>
      </c>
      <c r="B47" s="45" t="s">
        <v>179</v>
      </c>
      <c r="C47" t="s">
        <v>57</v>
      </c>
      <c r="D47">
        <f>IF(OR(C47="sint64",C47="uint64",C47="double64"), 8, IF(OR(C47="sint32",C47="uint32",C47="float32"),4,IF(OR(C47="sint16",C47="uint16"),2,  IF(OR(C47="sint8",C47="uint8"),1,""))))</f>
        <v>4</v>
      </c>
      <c r="E47" s="2" t="s">
        <v>667</v>
      </c>
      <c r="F47"/>
      <c r="G47" s="11">
        <f>ROUND( (QUAD_IND_POS_3 * 32768)/BASE_IND,0)</f>
        <v>21624</v>
      </c>
      <c r="H47" s="9" t="str">
        <f>IF(G47&lt;&gt;"",IF(C47="float32",FLOAT2HEX(G47),DEC2HEX(G47,8)),"")</f>
        <v>00005478</v>
      </c>
      <c r="I47" s="9">
        <f>IF(G47&lt;&gt;"",HEX2DEC(H47),"")</f>
        <v>21624</v>
      </c>
    </row>
    <row r="48" spans="1:9" s="11" customFormat="1" ht="15" customHeight="1">
      <c r="A48" s="56">
        <f>IF(I48&lt;&gt;"",MAX(A$1:A47)+1,"")</f>
        <v>40</v>
      </c>
      <c r="B48" s="45" t="s">
        <v>164</v>
      </c>
      <c r="C48" t="s">
        <v>57</v>
      </c>
      <c r="D48">
        <f t="shared" si="0"/>
        <v>4</v>
      </c>
      <c r="E48" s="2" t="s">
        <v>652</v>
      </c>
      <c r="F48"/>
      <c r="G48" s="11">
        <f>ROUND( (QUAD_CURR_POS_4 * 32768)/BASE_CURRENT,0)</f>
        <v>15945</v>
      </c>
      <c r="H48" s="9" t="str">
        <f>IF(G48&lt;&gt;"",IF(C48="float32",FLOAT2HEX(G48),DEC2HEX(G48,8)),"")</f>
        <v>00003E49</v>
      </c>
      <c r="I48" s="9">
        <f t="shared" si="1"/>
        <v>15945</v>
      </c>
    </row>
    <row r="49" spans="1:9" s="11" customFormat="1" ht="15" customHeight="1">
      <c r="A49" s="56">
        <f>IF(I49&lt;&gt;"",MAX(A$1:A48)+1,"")</f>
        <v>41</v>
      </c>
      <c r="B49" s="45" t="s">
        <v>180</v>
      </c>
      <c r="C49" t="s">
        <v>57</v>
      </c>
      <c r="D49">
        <f>IF(OR(C49="sint64",C49="uint64",C49="double64"), 8, IF(OR(C49="sint32",C49="uint32",C49="float32"),4,IF(OR(C49="sint16",C49="uint16"),2,  IF(OR(C49="sint8",C49="uint8"),1,""))))</f>
        <v>4</v>
      </c>
      <c r="E49" s="2" t="s">
        <v>668</v>
      </c>
      <c r="F49"/>
      <c r="G49" s="11">
        <f>ROUND( (QUAD_IND_POS_4 * 32768)/BASE_IND,0)</f>
        <v>21624</v>
      </c>
      <c r="H49" s="9" t="str">
        <f>IF(G49&lt;&gt;"",IF(C49="float32",FLOAT2HEX(G49),DEC2HEX(G49,8)),"")</f>
        <v>00005478</v>
      </c>
      <c r="I49" s="9">
        <f>IF(G49&lt;&gt;"",HEX2DEC(H49),"")</f>
        <v>21624</v>
      </c>
    </row>
    <row r="50" spans="1:9" s="11" customFormat="1" ht="15" customHeight="1">
      <c r="A50" s="56">
        <f>IF(I50&lt;&gt;"",MAX(A$1:A49)+1,"")</f>
        <v>42</v>
      </c>
      <c r="B50" s="45" t="s">
        <v>165</v>
      </c>
      <c r="C50" t="s">
        <v>57</v>
      </c>
      <c r="D50">
        <f t="shared" si="0"/>
        <v>4</v>
      </c>
      <c r="E50" s="2" t="s">
        <v>653</v>
      </c>
      <c r="F50"/>
      <c r="G50" s="11">
        <f>ROUND( (QUAD_CURR_POS_5 * 32768)/BASE_CURRENT,0)</f>
        <v>19932</v>
      </c>
      <c r="H50" s="9" t="str">
        <f>IF(G50&lt;&gt;"",IF(C50="float32",FLOAT2HEX(G50),DEC2HEX(G50,8)),"")</f>
        <v>00004DDC</v>
      </c>
      <c r="I50" s="9">
        <f t="shared" si="1"/>
        <v>19932</v>
      </c>
    </row>
    <row r="51" spans="1:9" s="11" customFormat="1" ht="15" customHeight="1">
      <c r="A51" s="56">
        <f>IF(I51&lt;&gt;"",MAX(A$1:A50)+1,"")</f>
        <v>43</v>
      </c>
      <c r="B51" s="45" t="s">
        <v>181</v>
      </c>
      <c r="C51" t="s">
        <v>57</v>
      </c>
      <c r="D51">
        <f>IF(OR(C51="sint64",C51="uint64",C51="double64"), 8, IF(OR(C51="sint32",C51="uint32",C51="float32"),4,IF(OR(C51="sint16",C51="uint16"),2,  IF(OR(C51="sint8",C51="uint8"),1,""))))</f>
        <v>4</v>
      </c>
      <c r="E51" s="2" t="s">
        <v>669</v>
      </c>
      <c r="F51"/>
      <c r="G51" s="11">
        <f>ROUND( (QUAD_IND_POS_5 * 32768)/BASE_IND,0)</f>
        <v>21624</v>
      </c>
      <c r="H51" s="9" t="str">
        <f>IF(G51&lt;&gt;"",IF(C51="float32",FLOAT2HEX(G51),DEC2HEX(G51,8)),"")</f>
        <v>00005478</v>
      </c>
      <c r="I51" s="9">
        <f>IF(G51&lt;&gt;"",HEX2DEC(H51),"")</f>
        <v>21624</v>
      </c>
    </row>
    <row r="52" spans="1:9" s="11" customFormat="1" ht="15" customHeight="1">
      <c r="A52" s="56">
        <f>IF(I52&lt;&gt;"",MAX(A$1:A51)+1,"")</f>
        <v>44</v>
      </c>
      <c r="B52" s="45" t="s">
        <v>166</v>
      </c>
      <c r="C52" t="s">
        <v>57</v>
      </c>
      <c r="D52">
        <f t="shared" si="0"/>
        <v>4</v>
      </c>
      <c r="E52" s="2" t="s">
        <v>654</v>
      </c>
      <c r="F52"/>
      <c r="G52" s="11">
        <f>ROUND( (QUAD_CURR_POS_6 * 32768)/BASE_CURRENT,0)</f>
        <v>23918</v>
      </c>
      <c r="H52" s="9" t="str">
        <f>IF(G52&lt;&gt;"",IF(C52="float32",FLOAT2HEX(G52),DEC2HEX(G52,8)),"")</f>
        <v>00005D6E</v>
      </c>
      <c r="I52" s="9">
        <f t="shared" si="1"/>
        <v>23918</v>
      </c>
    </row>
    <row r="53" spans="1:9" s="11" customFormat="1" ht="15" customHeight="1">
      <c r="A53" s="56">
        <f>IF(I53&lt;&gt;"",MAX(A$1:A52)+1,"")</f>
        <v>45</v>
      </c>
      <c r="B53" s="45" t="s">
        <v>182</v>
      </c>
      <c r="C53" t="s">
        <v>57</v>
      </c>
      <c r="D53">
        <f>IF(OR(C53="sint64",C53="uint64",C53="double64"), 8, IF(OR(C53="sint32",C53="uint32",C53="float32"),4,IF(OR(C53="sint16",C53="uint16"),2,  IF(OR(C53="sint8",C53="uint8"),1,""))))</f>
        <v>4</v>
      </c>
      <c r="E53" s="2" t="s">
        <v>670</v>
      </c>
      <c r="F53"/>
      <c r="G53" s="11">
        <f>ROUND( (QUAD_IND_POS_6 * 32768)/BASE_IND,0)</f>
        <v>21624</v>
      </c>
      <c r="H53" s="9" t="str">
        <f>IF(G53&lt;&gt;"",IF(C53="float32",FLOAT2HEX(G53),DEC2HEX(G53,8)),"")</f>
        <v>00005478</v>
      </c>
      <c r="I53" s="9">
        <f>IF(G53&lt;&gt;"",HEX2DEC(H53),"")</f>
        <v>21624</v>
      </c>
    </row>
    <row r="54" spans="1:9" s="11" customFormat="1" ht="15" customHeight="1">
      <c r="A54" s="56">
        <f>IF(I54&lt;&gt;"",MAX(A$1:A53)+1,"")</f>
        <v>46</v>
      </c>
      <c r="B54" s="45" t="s">
        <v>167</v>
      </c>
      <c r="C54" t="s">
        <v>57</v>
      </c>
      <c r="D54">
        <f t="shared" si="0"/>
        <v>4</v>
      </c>
      <c r="E54" s="2" t="s">
        <v>655</v>
      </c>
      <c r="F54"/>
      <c r="G54" s="11">
        <f>ROUND( (QUAD_CURR_POS_7 * 32768)/BASE_CURRENT,0)</f>
        <v>27905</v>
      </c>
      <c r="H54" s="9" t="str">
        <f>IF(G54&lt;&gt;"",IF(C54="float32",FLOAT2HEX(G54),DEC2HEX(G54,8)),"")</f>
        <v>00006D01</v>
      </c>
      <c r="I54" s="9">
        <f t="shared" si="1"/>
        <v>27905</v>
      </c>
    </row>
    <row r="55" spans="1:9" s="11" customFormat="1" ht="15" customHeight="1">
      <c r="A55" s="56">
        <f>IF(I55&lt;&gt;"",MAX(A$1:A54)+1,"")</f>
        <v>47</v>
      </c>
      <c r="B55" s="45" t="s">
        <v>183</v>
      </c>
      <c r="C55" t="s">
        <v>57</v>
      </c>
      <c r="D55">
        <f>IF(OR(C55="sint64",C55="uint64",C55="double64"), 8, IF(OR(C55="sint32",C55="uint32",C55="float32"),4,IF(OR(C55="sint16",C55="uint16"),2,  IF(OR(C55="sint8",C55="uint8"),1,""))))</f>
        <v>4</v>
      </c>
      <c r="E55" s="2" t="s">
        <v>671</v>
      </c>
      <c r="F55"/>
      <c r="G55" s="11">
        <f>ROUND( (QUAD_IND_POS_7 * 32768)/BASE_IND,0)</f>
        <v>21624</v>
      </c>
      <c r="H55" s="9" t="str">
        <f>IF(G55&lt;&gt;"",IF(C55="float32",FLOAT2HEX(G55),DEC2HEX(G55,8)),"")</f>
        <v>00005478</v>
      </c>
      <c r="I55" s="9">
        <f>IF(G55&lt;&gt;"",HEX2DEC(H55),"")</f>
        <v>21624</v>
      </c>
    </row>
    <row r="56" spans="1:9" s="11" customFormat="1" ht="15" customHeight="1">
      <c r="A56" s="56">
        <f>IF(I56&lt;&gt;"",MAX(A$1:A55)+1,"")</f>
        <v>48</v>
      </c>
      <c r="B56" s="45" t="s">
        <v>168</v>
      </c>
      <c r="C56" t="s">
        <v>57</v>
      </c>
      <c r="D56">
        <f t="shared" si="0"/>
        <v>4</v>
      </c>
      <c r="E56" s="2" t="s">
        <v>656</v>
      </c>
      <c r="F56"/>
      <c r="G56" s="11">
        <f>ROUND( (QUAD_CURR_POS_8 * 32768)/BASE_CURRENT,0)</f>
        <v>31891</v>
      </c>
      <c r="H56" s="9" t="str">
        <f>IF(G56&lt;&gt;"",IF(C56="float32",FLOAT2HEX(G56),DEC2HEX(G56,8)),"")</f>
        <v>00007C93</v>
      </c>
      <c r="I56" s="9">
        <f t="shared" si="1"/>
        <v>31891</v>
      </c>
    </row>
    <row r="57" spans="1:9" s="11" customFormat="1" ht="15" customHeight="1">
      <c r="A57" s="56">
        <f>IF(I57&lt;&gt;"",MAX(A$1:A56)+1,"")</f>
        <v>49</v>
      </c>
      <c r="B57" s="45" t="s">
        <v>184</v>
      </c>
      <c r="C57" t="s">
        <v>57</v>
      </c>
      <c r="D57">
        <f>IF(OR(C57="sint64",C57="uint64",C57="double64"), 8, IF(OR(C57="sint32",C57="uint32",C57="float32"),4,IF(OR(C57="sint16",C57="uint16"),2,  IF(OR(C57="sint8",C57="uint8"),1,""))))</f>
        <v>4</v>
      </c>
      <c r="E57" s="2" t="s">
        <v>672</v>
      </c>
      <c r="F57"/>
      <c r="G57" s="11">
        <f>ROUND( (QUAD_IND_POS_8 * 32768)/BASE_IND,0)</f>
        <v>21624</v>
      </c>
      <c r="H57" s="9" t="str">
        <f>IF(G57&lt;&gt;"",IF(C57="float32",FLOAT2HEX(G57),DEC2HEX(G57,8)),"")</f>
        <v>00005478</v>
      </c>
      <c r="I57" s="9">
        <f>IF(G57&lt;&gt;"",HEX2DEC(H57),"")</f>
        <v>21624</v>
      </c>
    </row>
    <row r="58" spans="1:9" s="11" customFormat="1" ht="15" customHeight="1">
      <c r="A58" s="56">
        <f>IF(I58&lt;&gt;"",MAX(A$1:A57)+1,"")</f>
        <v>50</v>
      </c>
      <c r="B58" s="45" t="s">
        <v>169</v>
      </c>
      <c r="C58" t="s">
        <v>57</v>
      </c>
      <c r="D58">
        <f t="shared" si="0"/>
        <v>4</v>
      </c>
      <c r="E58" s="2" t="s">
        <v>657</v>
      </c>
      <c r="F58"/>
      <c r="G58" s="11">
        <f>ROUND( (QUAD_CURR_POS_9 * 32768)/BASE_CURRENT,0)</f>
        <v>35877</v>
      </c>
      <c r="H58" s="9" t="str">
        <f>IF(G58&lt;&gt;"",IF(C58="float32",FLOAT2HEX(G58),DEC2HEX(G58,8)),"")</f>
        <v>00008C25</v>
      </c>
      <c r="I58" s="9">
        <f t="shared" si="1"/>
        <v>35877</v>
      </c>
    </row>
    <row r="59" spans="1:9" s="11" customFormat="1" ht="15" customHeight="1">
      <c r="A59" s="56">
        <f>IF(I59&lt;&gt;"",MAX(A$1:A58)+1,"")</f>
        <v>51</v>
      </c>
      <c r="B59" s="45" t="s">
        <v>185</v>
      </c>
      <c r="C59" t="s">
        <v>57</v>
      </c>
      <c r="D59">
        <f>IF(OR(C59="sint64",C59="uint64",C59="double64"), 8, IF(OR(C59="sint32",C59="uint32",C59="float32"),4,IF(OR(C59="sint16",C59="uint16"),2,  IF(OR(C59="sint8",C59="uint8"),1,""))))</f>
        <v>4</v>
      </c>
      <c r="E59" s="2" t="s">
        <v>673</v>
      </c>
      <c r="F59"/>
      <c r="G59" s="11">
        <f>ROUND( (QUAD_IND_POS_9 * 32768)/BASE_IND,0)</f>
        <v>21624</v>
      </c>
      <c r="H59" s="9" t="str">
        <f>IF(G59&lt;&gt;"",IF(C59="float32",FLOAT2HEX(G59),DEC2HEX(G59,8)),"")</f>
        <v>00005478</v>
      </c>
      <c r="I59" s="9">
        <f>IF(G59&lt;&gt;"",HEX2DEC(H59),"")</f>
        <v>21624</v>
      </c>
    </row>
    <row r="60" spans="1:9" s="11" customFormat="1" ht="15" customHeight="1">
      <c r="A60" s="56">
        <f>IF(I60&lt;&gt;"",MAX(A$1:A59)+1,"")</f>
        <v>52</v>
      </c>
      <c r="B60" s="45" t="s">
        <v>170</v>
      </c>
      <c r="C60" t="s">
        <v>57</v>
      </c>
      <c r="D60">
        <f t="shared" si="0"/>
        <v>4</v>
      </c>
      <c r="E60" s="2" t="s">
        <v>658</v>
      </c>
      <c r="F60"/>
      <c r="G60" s="11">
        <f>ROUND( (QUAD_CURR_POS_10 * 32768)/BASE_CURRENT,0)</f>
        <v>39864</v>
      </c>
      <c r="H60" s="9" t="str">
        <f>IF(G60&lt;&gt;"",IF(C60="float32",FLOAT2HEX(G60),DEC2HEX(G60,8)),"")</f>
        <v>00009BB8</v>
      </c>
      <c r="I60" s="9">
        <f t="shared" si="1"/>
        <v>39864</v>
      </c>
    </row>
    <row r="61" spans="1:9" s="11" customFormat="1" ht="15" customHeight="1">
      <c r="A61" s="56">
        <f>IF(I61&lt;&gt;"",MAX(A$1:A60)+1,"")</f>
        <v>53</v>
      </c>
      <c r="B61" s="45" t="s">
        <v>186</v>
      </c>
      <c r="C61" t="s">
        <v>57</v>
      </c>
      <c r="D61">
        <f>IF(OR(C61="sint64",C61="uint64",C61="double64"), 8, IF(OR(C61="sint32",C61="uint32",C61="float32"),4,IF(OR(C61="sint16",C61="uint16"),2,  IF(OR(C61="sint8",C61="uint8"),1,""))))</f>
        <v>4</v>
      </c>
      <c r="E61" s="2" t="s">
        <v>674</v>
      </c>
      <c r="F61"/>
      <c r="G61" s="11">
        <f>ROUND( (QUAD_IND_POS_10 * 32768)/BASE_IND,0)</f>
        <v>21624</v>
      </c>
      <c r="H61" s="9" t="str">
        <f>IF(G61&lt;&gt;"",IF(C61="float32",FLOAT2HEX(G61),DEC2HEX(G61,8)),"")</f>
        <v>00005478</v>
      </c>
      <c r="I61" s="9">
        <f>IF(G61&lt;&gt;"",HEX2DEC(H61),"")</f>
        <v>21624</v>
      </c>
    </row>
    <row r="62" spans="1:9" s="11" customFormat="1" ht="15" customHeight="1">
      <c r="A62" s="56">
        <f>IF(I62&lt;&gt;"",MAX(A$1:A61)+1,"")</f>
        <v>54</v>
      </c>
      <c r="B62" s="45" t="s">
        <v>171</v>
      </c>
      <c r="C62" t="s">
        <v>57</v>
      </c>
      <c r="D62">
        <f t="shared" si="0"/>
        <v>4</v>
      </c>
      <c r="E62" s="2" t="s">
        <v>659</v>
      </c>
      <c r="F62"/>
      <c r="G62" s="11">
        <f>ROUND( (QUAD_CURR_POS_11 * 32768)/BASE_CURRENT,0)</f>
        <v>43850</v>
      </c>
      <c r="H62" s="9" t="str">
        <f>IF(G62&lt;&gt;"",IF(C62="float32",FLOAT2HEX(G62),DEC2HEX(G62,8)),"")</f>
        <v>0000AB4A</v>
      </c>
      <c r="I62" s="9">
        <f t="shared" si="1"/>
        <v>43850</v>
      </c>
    </row>
    <row r="63" spans="1:9" s="11" customFormat="1" ht="15" customHeight="1">
      <c r="A63" s="56">
        <f>IF(I63&lt;&gt;"",MAX(A$1:A62)+1,"")</f>
        <v>55</v>
      </c>
      <c r="B63" s="45" t="s">
        <v>187</v>
      </c>
      <c r="C63" t="s">
        <v>57</v>
      </c>
      <c r="D63">
        <f>IF(OR(C63="sint64",C63="uint64",C63="double64"), 8, IF(OR(C63="sint32",C63="uint32",C63="float32"),4,IF(OR(C63="sint16",C63="uint16"),2,  IF(OR(C63="sint8",C63="uint8"),1,""))))</f>
        <v>4</v>
      </c>
      <c r="E63" s="2" t="s">
        <v>675</v>
      </c>
      <c r="F63"/>
      <c r="G63" s="11">
        <f>ROUND( (QUAD_IND_POS_11 * 32768)/BASE_IND,0)</f>
        <v>21624</v>
      </c>
      <c r="H63" s="9" t="str">
        <f>IF(G63&lt;&gt;"",IF(C63="float32",FLOAT2HEX(G63),DEC2HEX(G63,8)),"")</f>
        <v>00005478</v>
      </c>
      <c r="I63" s="9">
        <f>IF(G63&lt;&gt;"",HEX2DEC(H63),"")</f>
        <v>21624</v>
      </c>
    </row>
    <row r="64" spans="1:9" s="11" customFormat="1" ht="15" customHeight="1">
      <c r="A64" s="56">
        <f>IF(I64&lt;&gt;"",MAX(A$1:A63)+1,"")</f>
        <v>56</v>
      </c>
      <c r="B64" s="45" t="s">
        <v>172</v>
      </c>
      <c r="C64" t="s">
        <v>57</v>
      </c>
      <c r="D64">
        <f t="shared" si="0"/>
        <v>4</v>
      </c>
      <c r="E64" s="2" t="s">
        <v>660</v>
      </c>
      <c r="F64"/>
      <c r="G64" s="11">
        <f>ROUND( (QUAD_CURR_POS_12 * 32768)/BASE_CURRENT,0)</f>
        <v>47836</v>
      </c>
      <c r="H64" s="9" t="str">
        <f>IF(G64&lt;&gt;"",IF(C64="float32",FLOAT2HEX(G64),DEC2HEX(G64,8)),"")</f>
        <v>0000BADC</v>
      </c>
      <c r="I64" s="9">
        <f t="shared" si="1"/>
        <v>47836</v>
      </c>
    </row>
    <row r="65" spans="1:9" s="11" customFormat="1" ht="15" customHeight="1">
      <c r="A65" s="56">
        <f>IF(I65&lt;&gt;"",MAX(A$1:A64)+1,"")</f>
        <v>57</v>
      </c>
      <c r="B65" s="45" t="s">
        <v>188</v>
      </c>
      <c r="C65" t="s">
        <v>57</v>
      </c>
      <c r="D65">
        <f>IF(OR(C65="sint64",C65="uint64",C65="double64"), 8, IF(OR(C65="sint32",C65="uint32",C65="float32"),4,IF(OR(C65="sint16",C65="uint16"),2,  IF(OR(C65="sint8",C65="uint8"),1,""))))</f>
        <v>4</v>
      </c>
      <c r="E65" s="2" t="s">
        <v>676</v>
      </c>
      <c r="F65"/>
      <c r="G65" s="11">
        <f>ROUND( (QUAD_IND_POS_12 * 32768)/BASE_IND,0)</f>
        <v>21624</v>
      </c>
      <c r="H65" s="9" t="str">
        <f>IF(G65&lt;&gt;"",IF(C65="float32",FLOAT2HEX(G65),DEC2HEX(G65,8)),"")</f>
        <v>00005478</v>
      </c>
      <c r="I65" s="9">
        <f>IF(G65&lt;&gt;"",HEX2DEC(H65),"")</f>
        <v>21624</v>
      </c>
    </row>
    <row r="66" spans="1:9" s="11" customFormat="1" ht="15" customHeight="1">
      <c r="A66" s="56">
        <f>IF(I66&lt;&gt;"",MAX(A$1:A65)+1,"")</f>
        <v>58</v>
      </c>
      <c r="B66" s="45" t="s">
        <v>173</v>
      </c>
      <c r="C66" t="s">
        <v>57</v>
      </c>
      <c r="D66">
        <f t="shared" si="0"/>
        <v>4</v>
      </c>
      <c r="E66" s="2" t="s">
        <v>661</v>
      </c>
      <c r="F66"/>
      <c r="G66" s="11">
        <f>ROUND( (QUAD_CURR_POS_13 * 32768)/BASE_CURRENT,0)</f>
        <v>51823</v>
      </c>
      <c r="H66" s="9" t="str">
        <f>IF(G66&lt;&gt;"",IF(C66="float32",FLOAT2HEX(G66),DEC2HEX(G66,8)),"")</f>
        <v>0000CA6F</v>
      </c>
      <c r="I66" s="9">
        <f t="shared" si="1"/>
        <v>51823</v>
      </c>
    </row>
    <row r="67" spans="1:9" s="11" customFormat="1" ht="15" customHeight="1">
      <c r="A67" s="56">
        <f>IF(I67&lt;&gt;"",MAX(A$1:A66)+1,"")</f>
        <v>59</v>
      </c>
      <c r="B67" s="45" t="s">
        <v>189</v>
      </c>
      <c r="C67" t="s">
        <v>57</v>
      </c>
      <c r="D67">
        <f>IF(OR(C67="sint64",C67="uint64",C67="double64"), 8, IF(OR(C67="sint32",C67="uint32",C67="float32"),4,IF(OR(C67="sint16",C67="uint16"),2,  IF(OR(C67="sint8",C67="uint8"),1,""))))</f>
        <v>4</v>
      </c>
      <c r="E67" s="2" t="s">
        <v>677</v>
      </c>
      <c r="F67"/>
      <c r="G67" s="11">
        <f>ROUND( (QUAD_IND_POS_13 * 32768)/BASE_IND,0)</f>
        <v>21624</v>
      </c>
      <c r="H67" s="9" t="str">
        <f>IF(G67&lt;&gt;"",IF(C67="float32",FLOAT2HEX(G67),DEC2HEX(G67,8)),"")</f>
        <v>00005478</v>
      </c>
      <c r="I67" s="9">
        <f>IF(G67&lt;&gt;"",HEX2DEC(H67),"")</f>
        <v>21624</v>
      </c>
    </row>
    <row r="68" spans="1:9" s="11" customFormat="1" ht="15" customHeight="1">
      <c r="A68" s="56">
        <f>IF(I68&lt;&gt;"",MAX(A$1:A67)+1,"")</f>
        <v>60</v>
      </c>
      <c r="B68" s="45" t="s">
        <v>174</v>
      </c>
      <c r="C68" t="s">
        <v>57</v>
      </c>
      <c r="D68">
        <f t="shared" si="0"/>
        <v>4</v>
      </c>
      <c r="E68" s="2" t="s">
        <v>662</v>
      </c>
      <c r="F68"/>
      <c r="G68" s="11">
        <f>ROUND( (QUAD_CURR_POS_14 * 32768)/BASE_CURRENT,0)</f>
        <v>55809</v>
      </c>
      <c r="H68" s="9" t="str">
        <f>IF(G68&lt;&gt;"",IF(C68="float32",FLOAT2HEX(G68),DEC2HEX(G68,8)),"")</f>
        <v>0000DA01</v>
      </c>
      <c r="I68" s="9">
        <f t="shared" si="1"/>
        <v>55809</v>
      </c>
    </row>
    <row r="69" spans="1:9" s="11" customFormat="1" ht="15" customHeight="1">
      <c r="A69" s="56">
        <f>IF(I69&lt;&gt;"",MAX(A$1:A68)+1,"")</f>
        <v>61</v>
      </c>
      <c r="B69" s="45" t="s">
        <v>190</v>
      </c>
      <c r="C69" t="s">
        <v>57</v>
      </c>
      <c r="D69">
        <f>IF(OR(C69="sint64",C69="uint64",C69="double64"), 8, IF(OR(C69="sint32",C69="uint32",C69="float32"),4,IF(OR(C69="sint16",C69="uint16"),2,  IF(OR(C69="sint8",C69="uint8"),1,""))))</f>
        <v>4</v>
      </c>
      <c r="E69" s="2" t="s">
        <v>678</v>
      </c>
      <c r="F69"/>
      <c r="G69" s="11">
        <f>ROUND( (QUAD_IND_POS_14 * 32768)/BASE_IND,0)</f>
        <v>21624</v>
      </c>
      <c r="H69" s="9" t="str">
        <f>IF(G69&lt;&gt;"",IF(C69="float32",FLOAT2HEX(G69),DEC2HEX(G69,8)),"")</f>
        <v>00005478</v>
      </c>
      <c r="I69" s="9">
        <f>IF(G69&lt;&gt;"",HEX2DEC(H69),"")</f>
        <v>21624</v>
      </c>
    </row>
    <row r="70" spans="1:9" s="11" customFormat="1" ht="15" customHeight="1">
      <c r="A70" s="56">
        <f>IF(I70&lt;&gt;"",MAX(A$1:A69)+1,"")</f>
        <v>62</v>
      </c>
      <c r="B70" s="45" t="s">
        <v>175</v>
      </c>
      <c r="C70" t="s">
        <v>57</v>
      </c>
      <c r="D70">
        <f t="shared" si="0"/>
        <v>4</v>
      </c>
      <c r="E70" s="2" t="s">
        <v>663</v>
      </c>
      <c r="F70"/>
      <c r="G70" s="11">
        <f>ROUND( (QUAD_CURR_POS_15 * 32768)/BASE_CURRENT,0)</f>
        <v>55809</v>
      </c>
      <c r="H70" s="9" t="str">
        <f>IF(G70&lt;&gt;"",IF(C70="float32",FLOAT2HEX(G70),DEC2HEX(G70,8)),"")</f>
        <v>0000DA01</v>
      </c>
      <c r="I70" s="9">
        <f t="shared" si="1"/>
        <v>55809</v>
      </c>
    </row>
    <row r="71" spans="1:9" s="11" customFormat="1" ht="15" customHeight="1">
      <c r="A71" s="56">
        <f>IF(I71&lt;&gt;"",MAX(A$1:A70)+1,"")</f>
        <v>63</v>
      </c>
      <c r="B71" s="45" t="s">
        <v>191</v>
      </c>
      <c r="C71" t="s">
        <v>57</v>
      </c>
      <c r="D71">
        <f t="shared" ref="D71" si="2">IF(OR(C71="sint64",C71="uint64",C71="double64"), 8, IF(OR(C71="sint32",C71="uint32",C71="float32"),4,IF(OR(C71="sint16",C71="uint16"),2,  IF(OR(C71="sint8",C71="uint8"),1,""))))</f>
        <v>4</v>
      </c>
      <c r="E71" s="2" t="s">
        <v>679</v>
      </c>
      <c r="F71"/>
      <c r="G71" s="11">
        <f>ROUND( (QUAD_IND_POS_15 * 32768)/BASE_IND,0)</f>
        <v>21624</v>
      </c>
      <c r="H71" s="9" t="str">
        <f>IF(G71&lt;&gt;"",IF(C71="float32",FLOAT2HEX(G71),DEC2HEX(G71,8)),"")</f>
        <v>00005478</v>
      </c>
      <c r="I71" s="9">
        <f t="shared" si="1"/>
        <v>21624</v>
      </c>
    </row>
    <row r="72" spans="1:9" s="55" customFormat="1" ht="15" customHeight="1">
      <c r="A72" s="96">
        <f>IF(I72&lt;&gt;"",MAX(A$1:A71)+1,"")</f>
        <v>64</v>
      </c>
      <c r="B72" s="97" t="s">
        <v>3126</v>
      </c>
      <c r="C72" s="103" t="s">
        <v>57</v>
      </c>
      <c r="D72" s="103">
        <f t="shared" ref="D72" si="3">IF(OR(C72="sint64",C72="uint64",C72="double64"), 8, IF(OR(C72="sint32",C72="uint32",C72="float32"),4,IF(OR(C72="sint16",C72="uint16"),2,  IF(OR(C72="sint8",C72="uint8"),1,""))))</f>
        <v>4</v>
      </c>
      <c r="E72" s="89" t="s">
        <v>3127</v>
      </c>
      <c r="F72" s="103"/>
      <c r="G72" s="95">
        <f>(A71+1)/4-1</f>
        <v>15</v>
      </c>
      <c r="H72" s="94" t="str">
        <f>IF(G72&lt;&gt;"",IF(C72="float32",FLOAT2HEX(G72),DEC2HEX(G72,8)),"")</f>
        <v>0000000F</v>
      </c>
      <c r="I72" s="94">
        <f t="shared" ref="I72" si="4">IF(G72&lt;&gt;"",HEX2DEC(H72),"")</f>
        <v>15</v>
      </c>
    </row>
    <row r="73" spans="1:9" s="11" customFormat="1" ht="15" customHeight="1">
      <c r="A73" s="56"/>
      <c r="B73" s="45"/>
      <c r="C73"/>
      <c r="D73"/>
      <c r="E73" s="2"/>
      <c r="F73"/>
      <c r="H73" s="9"/>
      <c r="I73" s="9"/>
    </row>
    <row r="74" spans="1:9" ht="15" customHeight="1">
      <c r="A74" s="56"/>
      <c r="B74" s="45"/>
      <c r="E74" s="2"/>
      <c r="G74" s="11"/>
      <c r="H74" s="9"/>
      <c r="I74" s="9"/>
    </row>
    <row r="75" spans="1:9" s="11" customFormat="1" ht="15" customHeight="1">
      <c r="A75" s="56"/>
      <c r="B75" s="45"/>
      <c r="C75"/>
      <c r="D75"/>
      <c r="E75" s="2"/>
      <c r="F75"/>
      <c r="H75" s="9"/>
      <c r="I75" s="9"/>
    </row>
    <row r="76" spans="1:9" ht="15" customHeight="1">
      <c r="A76" s="56"/>
      <c r="B76" s="45"/>
      <c r="E76" s="2"/>
      <c r="G76" s="11"/>
      <c r="H76" s="9"/>
      <c r="I76" s="9"/>
    </row>
    <row r="77" spans="1:9" s="11" customFormat="1" ht="15" customHeight="1">
      <c r="A77" s="56"/>
      <c r="B77" s="45"/>
      <c r="C77"/>
      <c r="D77"/>
      <c r="E77" s="2"/>
      <c r="F77"/>
      <c r="H77" s="9"/>
      <c r="I77" s="9"/>
    </row>
    <row r="78" spans="1:9" ht="15" customHeight="1">
      <c r="A78" s="56"/>
      <c r="B78" s="45"/>
      <c r="E78" s="2"/>
      <c r="G78" s="11"/>
      <c r="H78" s="9"/>
      <c r="I78" s="9"/>
    </row>
    <row r="79" spans="1:9" s="11" customFormat="1" ht="15" customHeight="1">
      <c r="A79" s="56"/>
      <c r="B79" s="45"/>
      <c r="C79"/>
      <c r="D79"/>
      <c r="E79" s="2"/>
      <c r="F79"/>
      <c r="H79" s="9"/>
      <c r="I79" s="9"/>
    </row>
    <row r="80" spans="1:9" ht="15" customHeight="1">
      <c r="A80" s="56"/>
      <c r="B80" s="45"/>
      <c r="E80" s="2"/>
      <c r="G80" s="11"/>
      <c r="H80" s="9"/>
      <c r="I80" s="9"/>
    </row>
    <row r="81" spans="1:9" s="11" customFormat="1" ht="15" customHeight="1">
      <c r="A81" s="56"/>
      <c r="B81" s="45"/>
      <c r="C81"/>
      <c r="D81"/>
      <c r="E81" s="2"/>
      <c r="F81"/>
      <c r="H81" s="9"/>
      <c r="I81" s="9"/>
    </row>
    <row r="82" spans="1:9" ht="15" customHeight="1">
      <c r="A82" s="56"/>
      <c r="B82" s="45"/>
      <c r="E82" s="2"/>
      <c r="G82" s="11"/>
      <c r="H82" s="9"/>
      <c r="I82" s="9"/>
    </row>
    <row r="83" spans="1:9" s="11" customFormat="1" ht="15" customHeight="1">
      <c r="A83" s="56"/>
      <c r="B83" s="45"/>
      <c r="C83"/>
      <c r="D83"/>
      <c r="E83" s="2"/>
      <c r="F83"/>
      <c r="H83" s="9"/>
      <c r="I83" s="9"/>
    </row>
    <row r="84" spans="1:9" ht="15" customHeight="1">
      <c r="A84" s="56"/>
      <c r="B84" s="45"/>
      <c r="E84" s="2"/>
      <c r="G84" s="11"/>
      <c r="H84" s="9"/>
      <c r="I84" s="9"/>
    </row>
    <row r="85" spans="1:9" s="11" customFormat="1" ht="15" customHeight="1">
      <c r="A85" s="56"/>
      <c r="B85" s="45"/>
      <c r="C85"/>
      <c r="D85"/>
      <c r="E85" s="2"/>
      <c r="F85"/>
      <c r="H85" s="9"/>
      <c r="I85" s="9"/>
    </row>
    <row r="86" spans="1:9" ht="15" customHeight="1">
      <c r="A86" s="56"/>
      <c r="B86" s="45"/>
      <c r="E86" s="2"/>
      <c r="G86" s="11"/>
      <c r="H86" s="9"/>
      <c r="I86" s="9"/>
    </row>
    <row r="87" spans="1:9" ht="15" customHeight="1">
      <c r="A87" s="56"/>
      <c r="B87" s="45"/>
      <c r="E87" s="2"/>
      <c r="G87" s="11"/>
      <c r="H87" s="9"/>
      <c r="I87" s="9"/>
    </row>
    <row r="88" spans="1:9" ht="15" customHeight="1">
      <c r="A88" s="56"/>
      <c r="B88" s="45"/>
      <c r="E88" s="2"/>
      <c r="G88" s="11"/>
      <c r="H88" s="9"/>
      <c r="I88" s="9"/>
    </row>
    <row r="89" spans="1:9">
      <c r="A89" s="56" t="str">
        <f>IF(I89&lt;&gt;"",MAX(A$1:A88)+1,"")</f>
        <v/>
      </c>
    </row>
    <row r="90" spans="1:9">
      <c r="A90" s="56" t="str">
        <f>IF(I90&lt;&gt;"",MAX(A$1:A89)+1,"")</f>
        <v/>
      </c>
    </row>
    <row r="91" spans="1:9">
      <c r="A91" s="56" t="str">
        <f>IF(I91&lt;&gt;"",MAX(A$1:A90)+1,"")</f>
        <v/>
      </c>
    </row>
  </sheetData>
  <mergeCells count="2">
    <mergeCell ref="B1:H1"/>
    <mergeCell ref="B3:C3"/>
  </mergeCells>
  <dataValidations count="1">
    <dataValidation type="list" allowBlank="1" showInputMessage="1" showErrorMessage="1" sqref="C7:C8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0"/>
  <dimension ref="A1:V46"/>
  <sheetViews>
    <sheetView zoomScale="85" zoomScaleNormal="85" workbookViewId="0">
      <pane ySplit="5" topLeftCell="A18" activePane="bottomLeft" state="frozen"/>
      <selection activeCell="A285" sqref="A285"/>
      <selection pane="bottomLeft" activeCell="B46" sqref="B46"/>
    </sheetView>
  </sheetViews>
  <sheetFormatPr defaultRowHeight="1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22" width="9.140625" style="11"/>
  </cols>
  <sheetData>
    <row r="1" spans="1:22" ht="28.5" customHeight="1">
      <c r="B1" s="114" t="s">
        <v>821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</row>
    <row r="2" spans="1:22" s="9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3"/>
      <c r="O2" s="13"/>
      <c r="P2" s="13"/>
      <c r="Q2" s="13"/>
      <c r="R2" s="13"/>
      <c r="S2" s="13"/>
      <c r="T2" s="13"/>
      <c r="U2" s="13"/>
      <c r="V2" s="13"/>
    </row>
    <row r="3" spans="1:22" s="9" customFormat="1" ht="19.5" customHeight="1">
      <c r="A3" s="23"/>
      <c r="B3" s="115" t="s">
        <v>194</v>
      </c>
      <c r="C3" s="115"/>
      <c r="D3" s="24">
        <f>SUM(D6:D1542)</f>
        <v>160</v>
      </c>
      <c r="E3" s="24"/>
      <c r="F3" s="24"/>
      <c r="G3" s="24"/>
      <c r="H3" s="25"/>
      <c r="I3" s="16"/>
      <c r="J3" s="16"/>
      <c r="K3" s="16"/>
      <c r="L3" s="16"/>
      <c r="M3" s="16"/>
      <c r="N3" s="13"/>
      <c r="O3" s="13"/>
      <c r="P3" s="13"/>
      <c r="Q3" s="13"/>
      <c r="R3" s="13"/>
      <c r="S3" s="13"/>
      <c r="T3" s="13"/>
      <c r="U3" s="13"/>
      <c r="V3" s="13"/>
    </row>
    <row r="4" spans="1:22" s="9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3"/>
      <c r="O4" s="13"/>
      <c r="P4" s="13"/>
      <c r="Q4" s="13"/>
      <c r="R4" s="13"/>
      <c r="S4" s="13"/>
      <c r="T4" s="13"/>
      <c r="U4" s="13"/>
      <c r="V4" s="13"/>
    </row>
    <row r="5" spans="1:22" s="9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3"/>
      <c r="O5" s="13"/>
      <c r="P5" s="13"/>
      <c r="Q5" s="13"/>
      <c r="R5" s="13"/>
      <c r="S5" s="13"/>
      <c r="T5" s="13"/>
      <c r="U5" s="13"/>
      <c r="V5" s="13"/>
    </row>
    <row r="6" spans="1:22" s="9" customFormat="1" ht="20.25" customHeight="1">
      <c r="A6" s="22"/>
      <c r="B6" s="44" t="s">
        <v>747</v>
      </c>
      <c r="C6" s="21"/>
      <c r="D6" s="21"/>
      <c r="E6" s="21"/>
      <c r="F6" s="21"/>
      <c r="G6" s="21" t="str">
        <f>IF(F6&lt;&gt;"",DEC2HEX(F6,4),"")</f>
        <v/>
      </c>
      <c r="H6" s="21" t="str">
        <f>IF(G6&lt;&gt;"",DEC2HEX(G6,4),"")</f>
        <v/>
      </c>
      <c r="I6" s="21"/>
      <c r="J6" s="16"/>
      <c r="K6" s="16"/>
      <c r="L6" s="16"/>
      <c r="M6" s="16"/>
      <c r="N6" s="13"/>
      <c r="O6" s="13"/>
      <c r="P6" s="13"/>
      <c r="Q6" s="13"/>
      <c r="R6" s="13"/>
      <c r="S6" s="13"/>
      <c r="T6" s="13"/>
      <c r="U6" s="13"/>
      <c r="V6" s="13"/>
    </row>
    <row r="7" spans="1:22" ht="15" customHeight="1">
      <c r="A7" s="22">
        <v>0</v>
      </c>
      <c r="B7" s="45" t="s">
        <v>748</v>
      </c>
      <c r="C7" t="s">
        <v>57</v>
      </c>
      <c r="D7">
        <f t="shared" ref="D7:D44" si="0">IF(OR(C7="sint64",C7="uint64",C7="double64"), 8, IF(OR(C7="sint32",C7="uint32",C7="float32"),4,IF(OR(C7="sint16",C7="uint16"),2,  IF(OR(C7="sint8",C7="uint8"),1,""))))</f>
        <v>4</v>
      </c>
      <c r="E7" s="2" t="s">
        <v>749</v>
      </c>
      <c r="G7" s="11">
        <f>ROUND(((MAX_PHASE_CURR*MAX_PHASE_CURR  * 32768* 32768)/(BASE_CURRENT * BASE_CURRENT)),0)</f>
        <v>778667978</v>
      </c>
      <c r="H7" s="9" t="str">
        <f>IF(G7&lt;&gt;"",IF(C7="float32",FLOAT2HEX(G7),DEC2HEX(G7,8)),"")</f>
        <v>2E6987CA</v>
      </c>
      <c r="I7" s="9">
        <f>IF(G7&lt;&gt;"",HEX2DEC(H7),"")</f>
        <v>778667978</v>
      </c>
    </row>
    <row r="8" spans="1:22" ht="15" customHeight="1">
      <c r="A8" s="22">
        <f>IF(I8&lt;&gt;"",MAX(A$1:A7)+1,"")</f>
        <v>1</v>
      </c>
      <c r="B8" s="45" t="s">
        <v>750</v>
      </c>
      <c r="C8" t="s">
        <v>57</v>
      </c>
      <c r="D8">
        <f t="shared" si="0"/>
        <v>4</v>
      </c>
      <c r="E8" s="2" t="s">
        <v>751</v>
      </c>
      <c r="G8" s="11">
        <f>ROUND((TE_MAX * 32768)/BASE_TORQ,0)</f>
        <v>9814</v>
      </c>
      <c r="H8" s="9" t="str">
        <f>IF(G8&lt;&gt;"",IF(C8="float32",FLOAT2HEX(G8),DEC2HEX(G8,8)),"")</f>
        <v>00002656</v>
      </c>
      <c r="I8" s="9">
        <f t="shared" ref="I8:I44" si="1">IF(G8&lt;&gt;"",HEX2DEC(H8),"")</f>
        <v>9814</v>
      </c>
    </row>
    <row r="9" spans="1:22" ht="15" customHeight="1">
      <c r="A9" s="22">
        <f>IF(I9&lt;&gt;"",MAX(A$1:A8)+1,"")</f>
        <v>2</v>
      </c>
      <c r="B9" s="97" t="s">
        <v>752</v>
      </c>
      <c r="C9" t="s">
        <v>57</v>
      </c>
      <c r="D9">
        <f t="shared" si="0"/>
        <v>4</v>
      </c>
      <c r="E9" s="2" t="s">
        <v>753</v>
      </c>
      <c r="G9" s="11">
        <f>ROUND((FORCE_MAX_STARTING_TORQUE * (32768/BASE_TORQ)),0)</f>
        <v>4171</v>
      </c>
      <c r="H9" s="9" t="str">
        <f>IF(G9&lt;&gt;"",IF(C9="float32",FLOAT2HEX(G9),DEC2HEX(G9,8)),"")</f>
        <v>0000104B</v>
      </c>
      <c r="I9" s="9">
        <f t="shared" si="1"/>
        <v>4171</v>
      </c>
    </row>
    <row r="10" spans="1:22" ht="15" customHeight="1">
      <c r="A10" s="22">
        <f>IF(I10&lt;&gt;"",MAX(A$1:A9)+1,"")</f>
        <v>3</v>
      </c>
      <c r="B10" s="45" t="s">
        <v>754</v>
      </c>
      <c r="C10" t="s">
        <v>63</v>
      </c>
      <c r="D10">
        <f t="shared" si="0"/>
        <v>4</v>
      </c>
      <c r="E10" s="2" t="s">
        <v>755</v>
      </c>
      <c r="G10" s="11">
        <f>ROUND(((1/OBSERVER_TS) * FORCE_MAX_STARTING_TIME),0)</f>
        <v>8000</v>
      </c>
      <c r="H10" s="9" t="str">
        <f>IF(G10&lt;&gt;"",IF(C10="float32",FLOAT2HEX(G10),DEC2HEX(G10,8)),"")</f>
        <v>00001F40</v>
      </c>
      <c r="I10" s="9">
        <f t="shared" si="1"/>
        <v>8000</v>
      </c>
    </row>
    <row r="11" spans="1:22" ht="15" customHeight="1">
      <c r="A11" s="22">
        <f>IF(I11&lt;&gt;"",MAX(A$1:A10)+1,"")</f>
        <v>4</v>
      </c>
      <c r="B11" s="45" t="s">
        <v>756</v>
      </c>
      <c r="C11" t="s">
        <v>57</v>
      </c>
      <c r="D11">
        <f t="shared" si="0"/>
        <v>4</v>
      </c>
      <c r="E11" s="2" t="s">
        <v>608</v>
      </c>
      <c r="G11" s="11">
        <f>ROUND((ROTOR_LAMBDAM * 32768)/BASE_FLUX,0)</f>
        <v>8749</v>
      </c>
      <c r="H11" s="9" t="str">
        <f>IF(G11&lt;&gt;"",IF(C11="float32",FLOAT2HEX(G11),DEC2HEX(G11,8)),"")</f>
        <v>0000222D</v>
      </c>
      <c r="I11" s="9">
        <f t="shared" si="1"/>
        <v>8749</v>
      </c>
    </row>
    <row r="12" spans="1:22" ht="15" customHeight="1">
      <c r="A12" s="22">
        <f>IF(I12&lt;&gt;"",MAX(A$1:A11)+1,"")</f>
        <v>5</v>
      </c>
      <c r="B12" s="45" t="s">
        <v>757</v>
      </c>
      <c r="C12" t="s">
        <v>57</v>
      </c>
      <c r="D12">
        <f t="shared" si="0"/>
        <v>4</v>
      </c>
      <c r="E12" s="2" t="s">
        <v>758</v>
      </c>
      <c r="G12" s="11">
        <f>ROUND((((STATOR_INDUCTANCE_D/1000)*MAX_PHASE_CURR + ROTOR_LAMBDAM)/BASE_FLUX)*32768,0)</f>
        <v>26960</v>
      </c>
      <c r="H12" s="9" t="str">
        <f>IF(G12&lt;&gt;"",IF(C12="float32",FLOAT2HEX(G12),DEC2HEX(G12,8)),"")</f>
        <v>00006950</v>
      </c>
      <c r="I12" s="9">
        <f t="shared" si="1"/>
        <v>26960</v>
      </c>
    </row>
    <row r="13" spans="1:22" ht="15" customHeight="1">
      <c r="A13" s="22">
        <f>IF(I13&lt;&gt;"",MAX(A$1:A12)+1,"")</f>
        <v>6</v>
      </c>
      <c r="B13" s="45" t="s">
        <v>759</v>
      </c>
      <c r="C13" t="s">
        <v>57</v>
      </c>
      <c r="D13">
        <f t="shared" si="0"/>
        <v>4</v>
      </c>
      <c r="E13" s="2" t="s">
        <v>760</v>
      </c>
      <c r="G13" s="11">
        <f>ROUND(((STATOR_INDUCTANCE_D * 32768)/BASE_IND),0)</f>
        <v>21385</v>
      </c>
      <c r="H13" s="9" t="str">
        <f>IF(G13&lt;&gt;"",IF(C13="float32",FLOAT2HEX(G13),DEC2HEX(G13,8)),"")</f>
        <v>00005389</v>
      </c>
      <c r="I13" s="9">
        <f t="shared" si="1"/>
        <v>21385</v>
      </c>
    </row>
    <row r="14" spans="1:22" ht="15" customHeight="1">
      <c r="A14" s="22">
        <f>IF(I14&lt;&gt;"",MAX(A$1:A13)+1,"")</f>
        <v>7</v>
      </c>
      <c r="B14" s="45" t="s">
        <v>761</v>
      </c>
      <c r="C14" t="s">
        <v>57</v>
      </c>
      <c r="D14">
        <f t="shared" si="0"/>
        <v>4</v>
      </c>
      <c r="E14" s="2" t="s">
        <v>762</v>
      </c>
      <c r="G14" s="11">
        <f>ROUND(((SPEED_KP_REGION_0 * BASE_SPEED_RPM * (2^15)) / BASE_TORQ),0)</f>
        <v>44297</v>
      </c>
      <c r="H14" s="9" t="str">
        <f>IF(G14&lt;&gt;"",IF(C14="float32",FLOAT2HEX(G14),DEC2HEX(G14,8)),"")</f>
        <v>0000AD09</v>
      </c>
      <c r="I14" s="9">
        <f t="shared" si="1"/>
        <v>44297</v>
      </c>
    </row>
    <row r="15" spans="1:22" ht="15" customHeight="1">
      <c r="A15" s="22">
        <f>IF(I15&lt;&gt;"",MAX(A$1:A14)+1,"")</f>
        <v>8</v>
      </c>
      <c r="B15" s="45" t="s">
        <v>763</v>
      </c>
      <c r="C15" t="s">
        <v>57</v>
      </c>
      <c r="D15">
        <f t="shared" si="0"/>
        <v>4</v>
      </c>
      <c r="E15" s="2" t="s">
        <v>764</v>
      </c>
      <c r="G15" s="11">
        <f>ROUND(((SPEED_KI_REGION_0 * BASE_SPEED_RPM * OBSERVER_TS * (2^20)) / BASE_TORQ),0)</f>
        <v>144</v>
      </c>
      <c r="H15" s="9" t="str">
        <f>IF(G15&lt;&gt;"",IF(C15="float32",FLOAT2HEX(G15),DEC2HEX(G15,8)),"")</f>
        <v>00000090</v>
      </c>
      <c r="I15" s="9">
        <f t="shared" si="1"/>
        <v>144</v>
      </c>
    </row>
    <row r="16" spans="1:22" ht="15" customHeight="1">
      <c r="A16" s="22">
        <f>IF(I16&lt;&gt;"",MAX(A$1:A15)+1,"")</f>
        <v>9</v>
      </c>
      <c r="B16" s="45" t="s">
        <v>765</v>
      </c>
      <c r="C16" t="s">
        <v>63</v>
      </c>
      <c r="D16">
        <f t="shared" si="0"/>
        <v>4</v>
      </c>
      <c r="E16" s="2" t="s">
        <v>766</v>
      </c>
      <c r="G16" s="11">
        <f>ROUND(((1/OBSERVER_TS) * TIME_FORCE_USE_DEFAULT_SPEED_GAINS),0)</f>
        <v>8000</v>
      </c>
      <c r="H16" s="9" t="str">
        <f>IF(G16&lt;&gt;"",IF(C16="float32",FLOAT2HEX(G16),DEC2HEX(G16,8)),"")</f>
        <v>00001F40</v>
      </c>
      <c r="I16" s="9">
        <f t="shared" si="1"/>
        <v>8000</v>
      </c>
    </row>
    <row r="17" spans="1:9" ht="15" customHeight="1">
      <c r="A17" s="22">
        <f>IF(I17&lt;&gt;"",MAX(A$1:A16)+1,"")</f>
        <v>10</v>
      </c>
      <c r="B17" s="45" t="s">
        <v>767</v>
      </c>
      <c r="C17" t="s">
        <v>57</v>
      </c>
      <c r="D17">
        <f t="shared" si="0"/>
        <v>4</v>
      </c>
      <c r="E17" s="2" t="s">
        <v>768</v>
      </c>
      <c r="G17" s="11">
        <f>ROUND(LOAD_ANGLE_COS_MAX * 32768,0)</f>
        <v>-8520</v>
      </c>
      <c r="H17" s="9" t="str">
        <f>IF(G17&lt;&gt;"",IF(C17="float32",FLOAT2HEX(G17),DEC2HEX(G17,8)),"")</f>
        <v>FFFFFFDEB8</v>
      </c>
      <c r="I17" s="9">
        <f t="shared" si="1"/>
        <v>-8520</v>
      </c>
    </row>
    <row r="18" spans="1:9" ht="15" customHeight="1">
      <c r="A18" s="22">
        <f>IF(I18&lt;&gt;"",MAX(A$1:A17)+1,"")</f>
        <v>11</v>
      </c>
      <c r="B18" s="45" t="s">
        <v>769</v>
      </c>
      <c r="C18" t="s">
        <v>57</v>
      </c>
      <c r="D18">
        <f t="shared" si="0"/>
        <v>4</v>
      </c>
      <c r="E18" s="2" t="s">
        <v>770</v>
      </c>
      <c r="G18" s="11">
        <f>ROUND(((LOAD_ANGLE_KP * (2^15)) / BASE_TORQ),0)</f>
        <v>0</v>
      </c>
      <c r="H18" s="9" t="str">
        <f>IF(G18&lt;&gt;"",IF(C18="float32",FLOAT2HEX(G18),DEC2HEX(G18,8)),"")</f>
        <v>00000000</v>
      </c>
      <c r="I18" s="9">
        <f t="shared" si="1"/>
        <v>0</v>
      </c>
    </row>
    <row r="19" spans="1:9" ht="15" customHeight="1">
      <c r="A19" s="22">
        <f>IF(I19&lt;&gt;"",MAX(A$1:A18)+1,"")</f>
        <v>12</v>
      </c>
      <c r="B19" s="45" t="s">
        <v>771</v>
      </c>
      <c r="C19" t="s">
        <v>57</v>
      </c>
      <c r="D19">
        <f t="shared" si="0"/>
        <v>4</v>
      </c>
      <c r="E19" s="2" t="s">
        <v>772</v>
      </c>
      <c r="G19" s="11">
        <f>ROUND(((LOAD_ANGLE_KI * OBSERVER_TS * (2^15)) / BASE_TORQ),0)</f>
        <v>2453</v>
      </c>
      <c r="H19" s="9" t="str">
        <f>IF(G19&lt;&gt;"",IF(C19="float32",FLOAT2HEX(G19),DEC2HEX(G19,8)),"")</f>
        <v>00000995</v>
      </c>
      <c r="I19" s="9">
        <f t="shared" si="1"/>
        <v>2453</v>
      </c>
    </row>
    <row r="20" spans="1:9" ht="15" customHeight="1">
      <c r="A20" s="22">
        <f>IF(I20&lt;&gt;"",MAX(A$1:A19)+1,"")</f>
        <v>13</v>
      </c>
      <c r="B20" s="45" t="s">
        <v>773</v>
      </c>
      <c r="C20" t="s">
        <v>63</v>
      </c>
      <c r="D20">
        <f t="shared" si="0"/>
        <v>4</v>
      </c>
      <c r="E20" s="2" t="s">
        <v>774</v>
      </c>
      <c r="G20" s="11">
        <f>ROUND(SPEED_CONTROLLER_POSTSCALER,0)</f>
        <v>0</v>
      </c>
      <c r="H20" s="9" t="str">
        <f>IF(G20&lt;&gt;"",IF(C20="float32",FLOAT2HEX(G20),DEC2HEX(G20,8)),"")</f>
        <v>00000000</v>
      </c>
      <c r="I20" s="9">
        <f t="shared" si="1"/>
        <v>0</v>
      </c>
    </row>
    <row r="21" spans="1:9" ht="15" customHeight="1">
      <c r="A21" s="22">
        <f>IF(I21&lt;&gt;"",MAX(A$1:A20)+1,"")</f>
        <v>14</v>
      </c>
      <c r="B21" s="45" t="s">
        <v>775</v>
      </c>
      <c r="C21" t="s">
        <v>57</v>
      </c>
      <c r="D21">
        <f t="shared" si="0"/>
        <v>4</v>
      </c>
      <c r="E21" s="2" t="s">
        <v>762</v>
      </c>
      <c r="G21" s="11">
        <f>ROUND(((SPEED_KP_REGION_0 * BASE_SPEED_RPM * (2^15)) / BASE_TORQ),0)</f>
        <v>44297</v>
      </c>
      <c r="H21" s="9" t="str">
        <f>IF(G21&lt;&gt;"",IF(C21="float32",FLOAT2HEX(G21),DEC2HEX(G21,8)),"")</f>
        <v>0000AD09</v>
      </c>
      <c r="I21" s="9">
        <f t="shared" si="1"/>
        <v>44297</v>
      </c>
    </row>
    <row r="22" spans="1:9" ht="15" customHeight="1">
      <c r="A22" s="22">
        <f>IF(I22&lt;&gt;"",MAX(A$1:A21)+1,"")</f>
        <v>15</v>
      </c>
      <c r="B22" s="45" t="s">
        <v>776</v>
      </c>
      <c r="C22" t="s">
        <v>57</v>
      </c>
      <c r="D22">
        <f t="shared" si="0"/>
        <v>4</v>
      </c>
      <c r="E22" s="2" t="s">
        <v>764</v>
      </c>
      <c r="G22" s="11">
        <f>ROUND(((SPEED_KI_REGION_0 * BASE_SPEED_RPM * OBSERVER_TS * (2^20)) / BASE_TORQ),0)</f>
        <v>144</v>
      </c>
      <c r="H22" s="9" t="str">
        <f>IF(G22&lt;&gt;"",IF(C22="float32",FLOAT2HEX(G22),DEC2HEX(G22,8)),"")</f>
        <v>00000090</v>
      </c>
      <c r="I22" s="9">
        <f t="shared" si="1"/>
        <v>144</v>
      </c>
    </row>
    <row r="23" spans="1:9" ht="15" customHeight="1">
      <c r="A23" s="22">
        <f>IF(I23&lt;&gt;"",MAX(A$1:A22)+1,"")</f>
        <v>16</v>
      </c>
      <c r="B23" s="45" t="s">
        <v>777</v>
      </c>
      <c r="C23" t="s">
        <v>57</v>
      </c>
      <c r="D23">
        <f t="shared" si="0"/>
        <v>4</v>
      </c>
      <c r="E23" s="2" t="s">
        <v>778</v>
      </c>
      <c r="G23" s="11">
        <f>ROUND((SPEED_THRESHOLD_REGION_0 * (32768/BASE_SPEED_RPM)),0)</f>
        <v>13067</v>
      </c>
      <c r="H23" s="9" t="str">
        <f>IF(G23&lt;&gt;"",IF(C23="float32",FLOAT2HEX(G23),DEC2HEX(G23,8)),"")</f>
        <v>0000330B</v>
      </c>
      <c r="I23" s="9">
        <f t="shared" si="1"/>
        <v>13067</v>
      </c>
    </row>
    <row r="24" spans="1:9" ht="15" customHeight="1">
      <c r="A24" s="22">
        <f>IF(I24&lt;&gt;"",MAX(A$1:A23)+1,"")</f>
        <v>17</v>
      </c>
      <c r="B24" s="45" t="s">
        <v>779</v>
      </c>
      <c r="C24" t="s">
        <v>57</v>
      </c>
      <c r="D24">
        <f t="shared" si="0"/>
        <v>4</v>
      </c>
      <c r="E24" s="2" t="s">
        <v>780</v>
      </c>
      <c r="G24" s="11">
        <f>ROUND(SPEED_TIME_TO_SWITCH_REGION_0/0.025,0)</f>
        <v>80</v>
      </c>
      <c r="H24" s="9" t="str">
        <f>IF(G24&lt;&gt;"",IF(C24="float32",FLOAT2HEX(G24),DEC2HEX(G24,8)),"")</f>
        <v>00000050</v>
      </c>
      <c r="I24" s="9">
        <f t="shared" si="1"/>
        <v>80</v>
      </c>
    </row>
    <row r="25" spans="1:9" ht="15" customHeight="1">
      <c r="A25" s="22">
        <f>IF(I25&lt;&gt;"",MAX(A$1:A24)+1,"")</f>
        <v>18</v>
      </c>
      <c r="B25" s="45" t="s">
        <v>781</v>
      </c>
      <c r="C25" t="s">
        <v>57</v>
      </c>
      <c r="D25">
        <f t="shared" si="0"/>
        <v>4</v>
      </c>
      <c r="E25" s="2" t="s">
        <v>782</v>
      </c>
      <c r="G25" s="11">
        <f>ROUND((SPEED_KP_REGION_1 * BASE_SPEED_RPM * (2^15)) / BASE_TORQ,0)</f>
        <v>7198</v>
      </c>
      <c r="H25" s="9" t="str">
        <f>IF(G25&lt;&gt;"",IF(C25="float32",FLOAT2HEX(G25),DEC2HEX(G25,8)),"")</f>
        <v>00001C1E</v>
      </c>
      <c r="I25" s="9">
        <f t="shared" si="1"/>
        <v>7198</v>
      </c>
    </row>
    <row r="26" spans="1:9" ht="15" customHeight="1">
      <c r="A26" s="22">
        <f>IF(I26&lt;&gt;"",MAX(A$1:A25)+1,"")</f>
        <v>19</v>
      </c>
      <c r="B26" s="45" t="s">
        <v>783</v>
      </c>
      <c r="C26" t="s">
        <v>57</v>
      </c>
      <c r="D26">
        <f t="shared" si="0"/>
        <v>4</v>
      </c>
      <c r="E26" s="2" t="s">
        <v>784</v>
      </c>
      <c r="G26" s="11">
        <f>ROUND(((SPEED_KI_REGION_1 * BASE_SPEED_RPM * OBSERVER_TS * (2^20)) / BASE_TORQ),0)</f>
        <v>131</v>
      </c>
      <c r="H26" s="9" t="str">
        <f>IF(G26&lt;&gt;"",IF(C26="float32",FLOAT2HEX(G26),DEC2HEX(G26,8)),"")</f>
        <v>00000083</v>
      </c>
      <c r="I26" s="9">
        <f t="shared" si="1"/>
        <v>131</v>
      </c>
    </row>
    <row r="27" spans="1:9" ht="15" customHeight="1">
      <c r="A27" s="22">
        <f>IF(I27&lt;&gt;"",MAX(A$1:A26)+1,"")</f>
        <v>20</v>
      </c>
      <c r="B27" s="45" t="s">
        <v>785</v>
      </c>
      <c r="C27" t="s">
        <v>57</v>
      </c>
      <c r="D27">
        <f t="shared" si="0"/>
        <v>4</v>
      </c>
      <c r="E27" s="2" t="s">
        <v>786</v>
      </c>
      <c r="G27" s="11">
        <f>ROUND(SPEED_THRESHOLD_REGION_1 * (32768/BASE_SPEED_RPM),0)</f>
        <v>217790</v>
      </c>
      <c r="H27" s="9" t="str">
        <f>IF(G27&lt;&gt;"",IF(C27="float32",FLOAT2HEX(G27),DEC2HEX(G27,8)),"")</f>
        <v>000352BE</v>
      </c>
      <c r="I27" s="9">
        <f t="shared" si="1"/>
        <v>217790</v>
      </c>
    </row>
    <row r="28" spans="1:9" ht="15" customHeight="1">
      <c r="A28" s="22">
        <f>IF(I28&lt;&gt;"",MAX(A$1:A27)+1,"")</f>
        <v>21</v>
      </c>
      <c r="B28" s="45" t="s">
        <v>787</v>
      </c>
      <c r="C28" t="s">
        <v>57</v>
      </c>
      <c r="D28">
        <f t="shared" si="0"/>
        <v>4</v>
      </c>
      <c r="E28" s="2" t="s">
        <v>788</v>
      </c>
      <c r="G28" s="11">
        <f>ROUND(SPEED_TIME_TO_SWITCH_REGION_1/0.025,0)</f>
        <v>80</v>
      </c>
      <c r="H28" s="9" t="str">
        <f>IF(G28&lt;&gt;"",IF(C28="float32",FLOAT2HEX(G28),DEC2HEX(G28,8)),"")</f>
        <v>00000050</v>
      </c>
      <c r="I28" s="9">
        <f t="shared" si="1"/>
        <v>80</v>
      </c>
    </row>
    <row r="29" spans="1:9" ht="15" customHeight="1">
      <c r="A29" s="22">
        <f>IF(I29&lt;&gt;"",MAX(A$1:A28)+1,"")</f>
        <v>22</v>
      </c>
      <c r="B29" s="45" t="s">
        <v>789</v>
      </c>
      <c r="C29" t="s">
        <v>57</v>
      </c>
      <c r="D29">
        <f t="shared" si="0"/>
        <v>4</v>
      </c>
      <c r="E29" s="2" t="s">
        <v>790</v>
      </c>
      <c r="G29" s="11">
        <f>ROUND(((SPEED_KP_REGION_2 * BASE_SPEED_RPM * (2^15)) / BASE_TORQ),0)</f>
        <v>2769</v>
      </c>
      <c r="H29" s="9" t="str">
        <f>IF(G29&lt;&gt;"",IF(C29="float32",FLOAT2HEX(G29),DEC2HEX(G29,8)),"")</f>
        <v>00000AD1</v>
      </c>
      <c r="I29" s="9">
        <f t="shared" si="1"/>
        <v>2769</v>
      </c>
    </row>
    <row r="30" spans="1:9" ht="15" customHeight="1">
      <c r="A30" s="22">
        <f>IF(I30&lt;&gt;"",MAX(A$1:A29)+1,"")</f>
        <v>23</v>
      </c>
      <c r="B30" s="45" t="s">
        <v>791</v>
      </c>
      <c r="C30" t="s">
        <v>57</v>
      </c>
      <c r="D30">
        <f t="shared" si="0"/>
        <v>4</v>
      </c>
      <c r="E30" s="2" t="s">
        <v>792</v>
      </c>
      <c r="G30" s="11">
        <f>ROUND(((SPEED_KI_REGION_2 * BASE_SPEED_RPM * OBSERVER_TS * (2^20)) / BASE_TORQ),0)</f>
        <v>42</v>
      </c>
      <c r="H30" s="9" t="str">
        <f>IF(G30&lt;&gt;"",IF(C30="float32",FLOAT2HEX(G30),DEC2HEX(G30,8)),"")</f>
        <v>0000002A</v>
      </c>
      <c r="I30" s="9">
        <f t="shared" si="1"/>
        <v>42</v>
      </c>
    </row>
    <row r="31" spans="1:9" ht="15" customHeight="1">
      <c r="A31" s="22">
        <f>IF(I31&lt;&gt;"",MAX(A$1:A30)+1,"")</f>
        <v>24</v>
      </c>
      <c r="B31" s="45" t="s">
        <v>793</v>
      </c>
      <c r="C31" t="s">
        <v>57</v>
      </c>
      <c r="D31">
        <f t="shared" si="0"/>
        <v>4</v>
      </c>
      <c r="E31" s="2" t="s">
        <v>794</v>
      </c>
      <c r="G31" s="11">
        <f>ROUND((SPEED_THRESHOLD_REGION_2 * (32768/BASE_SPEED_RPM)),0)</f>
        <v>275868</v>
      </c>
      <c r="H31" s="9" t="str">
        <f>IF(G31&lt;&gt;"",IF(C31="float32",FLOAT2HEX(G31),DEC2HEX(G31,8)),"")</f>
        <v>0004359C</v>
      </c>
      <c r="I31" s="9">
        <f t="shared" si="1"/>
        <v>275868</v>
      </c>
    </row>
    <row r="32" spans="1:9" ht="15" customHeight="1">
      <c r="A32" s="22">
        <f>IF(I32&lt;&gt;"",MAX(A$1:A31)+1,"")</f>
        <v>25</v>
      </c>
      <c r="B32" s="45" t="s">
        <v>795</v>
      </c>
      <c r="C32" t="s">
        <v>57</v>
      </c>
      <c r="D32">
        <f t="shared" si="0"/>
        <v>4</v>
      </c>
      <c r="E32" s="2" t="s">
        <v>796</v>
      </c>
      <c r="G32" s="11">
        <f>ROUND(SPEED_TIME_TO_SWITCH_REGION_2/0.025,0)</f>
        <v>80</v>
      </c>
      <c r="H32" s="9" t="str">
        <f>IF(G32&lt;&gt;"",IF(C32="float32",FLOAT2HEX(G32),DEC2HEX(G32,8)),"")</f>
        <v>00000050</v>
      </c>
      <c r="I32" s="9">
        <f t="shared" si="1"/>
        <v>80</v>
      </c>
    </row>
    <row r="33" spans="1:9" ht="15" customHeight="1">
      <c r="A33" s="22">
        <f>IF(I33&lt;&gt;"",MAX(A$1:A32)+1,"")</f>
        <v>26</v>
      </c>
      <c r="B33" s="45" t="s">
        <v>797</v>
      </c>
      <c r="C33" t="s">
        <v>57</v>
      </c>
      <c r="D33">
        <f t="shared" si="0"/>
        <v>4</v>
      </c>
      <c r="E33" s="2" t="s">
        <v>798</v>
      </c>
      <c r="G33" s="11">
        <f>ROUND(((SPEED_KP_REGION_3 * BASE_SPEED_RPM * (2^15)) / BASE_TORQ),0)</f>
        <v>0</v>
      </c>
      <c r="H33" s="9" t="str">
        <f>IF(G33&lt;&gt;"",IF(C33="float32",FLOAT2HEX(G33),DEC2HEX(G33,8)),"")</f>
        <v>00000000</v>
      </c>
      <c r="I33" s="9">
        <f t="shared" si="1"/>
        <v>0</v>
      </c>
    </row>
    <row r="34" spans="1:9" ht="15" customHeight="1">
      <c r="A34" s="22">
        <f>IF(I34&lt;&gt;"",MAX(A$1:A33)+1,"")</f>
        <v>27</v>
      </c>
      <c r="B34" s="45" t="s">
        <v>799</v>
      </c>
      <c r="C34" t="s">
        <v>57</v>
      </c>
      <c r="D34">
        <f t="shared" si="0"/>
        <v>4</v>
      </c>
      <c r="E34" s="2" t="s">
        <v>800</v>
      </c>
      <c r="G34" s="11">
        <f>ROUND(((SPEED_KI_REGION_3 * BASE_SPEED_RPM * OBSERVER_TS * (2^20)) / BASE_TORQ),0)</f>
        <v>0</v>
      </c>
      <c r="H34" s="9" t="str">
        <f>IF(G34&lt;&gt;"",IF(C34="float32",FLOAT2HEX(G34),DEC2HEX(G34,8)),"")</f>
        <v>00000000</v>
      </c>
      <c r="I34" s="9">
        <f t="shared" si="1"/>
        <v>0</v>
      </c>
    </row>
    <row r="35" spans="1:9" ht="15" customHeight="1">
      <c r="A35" s="22">
        <f>IF(I35&lt;&gt;"",MAX(A$1:A34)+1,"")</f>
        <v>28</v>
      </c>
      <c r="B35" s="45" t="s">
        <v>801</v>
      </c>
      <c r="C35" t="s">
        <v>57</v>
      </c>
      <c r="D35">
        <f t="shared" si="0"/>
        <v>4</v>
      </c>
      <c r="E35" s="2" t="s">
        <v>802</v>
      </c>
      <c r="G35" s="11">
        <f>ROUND((SPEED_THRESHOLD_REGION_3 * (32768/BASE_SPEED_RPM)),0)</f>
        <v>0</v>
      </c>
      <c r="H35" s="9" t="str">
        <f>IF(G35&lt;&gt;"",IF(C35="float32",FLOAT2HEX(G35),DEC2HEX(G35,8)),"")</f>
        <v>00000000</v>
      </c>
      <c r="I35" s="9">
        <f t="shared" si="1"/>
        <v>0</v>
      </c>
    </row>
    <row r="36" spans="1:9" ht="15" customHeight="1">
      <c r="A36" s="22">
        <f>IF(I36&lt;&gt;"",MAX(A$1:A35)+1,"")</f>
        <v>29</v>
      </c>
      <c r="B36" s="45" t="s">
        <v>803</v>
      </c>
      <c r="C36" t="s">
        <v>57</v>
      </c>
      <c r="D36">
        <f t="shared" si="0"/>
        <v>4</v>
      </c>
      <c r="E36" s="2" t="s">
        <v>804</v>
      </c>
      <c r="G36" s="11">
        <f>ROUND(SPEED_TIME_TO_SWITCH_REGION_3/0.025,0)</f>
        <v>80</v>
      </c>
      <c r="H36" s="9" t="str">
        <f>IF(G36&lt;&gt;"",IF(C36="float32",FLOAT2HEX(G36),DEC2HEX(G36,8)),"")</f>
        <v>00000050</v>
      </c>
      <c r="I36" s="9">
        <f t="shared" si="1"/>
        <v>80</v>
      </c>
    </row>
    <row r="37" spans="1:9" ht="15" customHeight="1">
      <c r="A37" s="22">
        <f>IF(I37&lt;&gt;"",MAX(A$1:A36)+1,"")</f>
        <v>30</v>
      </c>
      <c r="B37" s="45" t="s">
        <v>805</v>
      </c>
      <c r="C37" t="s">
        <v>57</v>
      </c>
      <c r="D37">
        <f t="shared" si="0"/>
        <v>4</v>
      </c>
      <c r="E37" s="2" t="s">
        <v>806</v>
      </c>
      <c r="G37" s="11">
        <f>ROUND(((SPEED_KP_REGION_4 * BASE_SPEED_RPM * (2^15)) / BASE_TORQ),0)</f>
        <v>0</v>
      </c>
      <c r="H37" s="9" t="str">
        <f>IF(G37&lt;&gt;"",IF(C37="float32",FLOAT2HEX(G37),DEC2HEX(G37,8)),"")</f>
        <v>00000000</v>
      </c>
      <c r="I37" s="9">
        <f t="shared" si="1"/>
        <v>0</v>
      </c>
    </row>
    <row r="38" spans="1:9" ht="15" customHeight="1">
      <c r="A38" s="22">
        <f>IF(I38&lt;&gt;"",MAX(A$1:A37)+1,"")</f>
        <v>31</v>
      </c>
      <c r="B38" s="45" t="s">
        <v>807</v>
      </c>
      <c r="C38" t="s">
        <v>57</v>
      </c>
      <c r="D38">
        <f t="shared" si="0"/>
        <v>4</v>
      </c>
      <c r="E38" s="2" t="s">
        <v>808</v>
      </c>
      <c r="G38" s="11">
        <f>ROUND(((SPEED_KI_REGION_4 * BASE_SPEED_RPM * OBSERVER_TS * (2^20)) / BASE_TORQ),0)</f>
        <v>0</v>
      </c>
      <c r="H38" s="9" t="str">
        <f>IF(G38&lt;&gt;"",IF(C38="float32",FLOAT2HEX(G38),DEC2HEX(G38,8)),"")</f>
        <v>00000000</v>
      </c>
      <c r="I38" s="9">
        <f t="shared" si="1"/>
        <v>0</v>
      </c>
    </row>
    <row r="39" spans="1:9" ht="15" customHeight="1">
      <c r="A39" s="22">
        <f>IF(I39&lt;&gt;"",MAX(A$1:A38)+1,"")</f>
        <v>32</v>
      </c>
      <c r="B39" s="45" t="s">
        <v>809</v>
      </c>
      <c r="C39" t="s">
        <v>57</v>
      </c>
      <c r="D39">
        <f t="shared" si="0"/>
        <v>4</v>
      </c>
      <c r="E39" s="2" t="s">
        <v>810</v>
      </c>
      <c r="G39" s="11">
        <f>ROUND((SPEED_THRESHOLD_REGION_4 * (32768/BASE_SPEED_RPM)),0)</f>
        <v>0</v>
      </c>
      <c r="H39" s="9" t="str">
        <f>IF(G39&lt;&gt;"",IF(C39="float32",FLOAT2HEX(G39),DEC2HEX(G39,8)),"")</f>
        <v>00000000</v>
      </c>
      <c r="I39" s="9">
        <f t="shared" si="1"/>
        <v>0</v>
      </c>
    </row>
    <row r="40" spans="1:9" ht="15" customHeight="1">
      <c r="A40" s="22">
        <f>IF(I40&lt;&gt;"",MAX(A$1:A39)+1,"")</f>
        <v>33</v>
      </c>
      <c r="B40" s="45" t="s">
        <v>811</v>
      </c>
      <c r="C40" t="s">
        <v>57</v>
      </c>
      <c r="D40">
        <f t="shared" si="0"/>
        <v>4</v>
      </c>
      <c r="E40" s="2" t="s">
        <v>812</v>
      </c>
      <c r="G40" s="11">
        <f>ROUND(SPEED_TIME_TO_SWITCH_REGION_4/0.025,0)</f>
        <v>80</v>
      </c>
      <c r="H40" s="9" t="str">
        <f>IF(G40&lt;&gt;"",IF(C40="float32",FLOAT2HEX(G40),DEC2HEX(G40,8)),"")</f>
        <v>00000050</v>
      </c>
      <c r="I40" s="9">
        <f t="shared" si="1"/>
        <v>80</v>
      </c>
    </row>
    <row r="41" spans="1:9" ht="15" customHeight="1">
      <c r="A41" s="22">
        <f>IF(I41&lt;&gt;"",MAX(A$1:A40)+1,"")</f>
        <v>34</v>
      </c>
      <c r="B41" s="45" t="s">
        <v>813</v>
      </c>
      <c r="C41" t="s">
        <v>57</v>
      </c>
      <c r="D41">
        <f t="shared" si="0"/>
        <v>4</v>
      </c>
      <c r="E41" s="2" t="s">
        <v>814</v>
      </c>
      <c r="G41" s="11">
        <f>ROUND((ROTOR_LAMBDAM * 1000 * 32768 / (BASE_CURRENT * LS_INDUCTANCE)),0)</f>
        <v>11303</v>
      </c>
      <c r="H41" s="9" t="str">
        <f>IF(G41&lt;&gt;"",IF(C41="float32",FLOAT2HEX(G41),DEC2HEX(G41,8)),"")</f>
        <v>00002C27</v>
      </c>
      <c r="I41" s="9">
        <f t="shared" si="1"/>
        <v>11303</v>
      </c>
    </row>
    <row r="42" spans="1:9" ht="15" customHeight="1">
      <c r="A42" s="22">
        <f>IF(I42&lt;&gt;"",MAX(A$1:A41)+1,"")</f>
        <v>35</v>
      </c>
      <c r="B42" s="97" t="s">
        <v>815</v>
      </c>
      <c r="C42" t="s">
        <v>57</v>
      </c>
      <c r="D42">
        <f t="shared" si="0"/>
        <v>4</v>
      </c>
      <c r="E42" s="2" t="s">
        <v>816</v>
      </c>
      <c r="G42" s="11">
        <f>ROUND((BRAKING_CURRENT_AT_LOW_SPEED * 32768 / BASE_CURRENT),0)</f>
        <v>3986</v>
      </c>
      <c r="H42" s="9" t="str">
        <f>IF(G42&lt;&gt;"",IF(C42="float32",FLOAT2HEX(G42),DEC2HEX(G42,8)),"")</f>
        <v>00000F92</v>
      </c>
      <c r="I42" s="9">
        <f t="shared" si="1"/>
        <v>3986</v>
      </c>
    </row>
    <row r="43" spans="1:9" ht="15" customHeight="1">
      <c r="A43" s="22">
        <f>IF(I43&lt;&gt;"",MAX(A$1:A42)+1,"")</f>
        <v>36</v>
      </c>
      <c r="B43" s="45" t="s">
        <v>817</v>
      </c>
      <c r="C43" t="s">
        <v>57</v>
      </c>
      <c r="D43">
        <f t="shared" si="0"/>
        <v>4</v>
      </c>
      <c r="E43" s="2" t="s">
        <v>818</v>
      </c>
      <c r="G43" s="11">
        <f>ROUND((LS_INDUCTANCE * 32768) / BASE_IND,0)</f>
        <v>25364</v>
      </c>
      <c r="H43" s="9" t="str">
        <f>IF(G43&lt;&gt;"",IF(C43="float32",FLOAT2HEX(G43),DEC2HEX(G43,8)),"")</f>
        <v>00006314</v>
      </c>
      <c r="I43" s="9">
        <f t="shared" si="1"/>
        <v>25364</v>
      </c>
    </row>
    <row r="44" spans="1:9" ht="15" customHeight="1">
      <c r="A44" s="56">
        <f>IF(I44&lt;&gt;"",MAX(A$1:A43)+1,"")</f>
        <v>37</v>
      </c>
      <c r="B44" s="45" t="s">
        <v>819</v>
      </c>
      <c r="C44" t="s">
        <v>65</v>
      </c>
      <c r="D44">
        <f t="shared" si="0"/>
        <v>4</v>
      </c>
      <c r="E44" s="2" t="s">
        <v>820</v>
      </c>
      <c r="G44" s="11">
        <f>(32768 / (BASE_SPEED_RPM))</f>
        <v>14.519352159438782</v>
      </c>
      <c r="H44" s="9" t="str">
        <f>IF(G44&lt;&gt;"",IF(C44="float32",FLOAT2HEX(G44),DEC2HEX(G44,8)),"")</f>
        <v>41684F44</v>
      </c>
      <c r="I44" s="9">
        <f t="shared" si="1"/>
        <v>1097355076</v>
      </c>
    </row>
    <row r="45" spans="1:9">
      <c r="A45" s="96">
        <f>IF(I45&lt;&gt;"",MAX(A$1:A44)+1,"")</f>
        <v>38</v>
      </c>
      <c r="B45" s="97" t="s">
        <v>3114</v>
      </c>
      <c r="C45" s="103" t="s">
        <v>57</v>
      </c>
      <c r="D45" s="103">
        <f t="shared" ref="D45:D46" si="2">IF(OR(C45="sint64",C45="uint64",C45="double64"), 8, IF(OR(C45="sint32",C45="uint32",C45="float32"),4,IF(OR(C45="sint16",C45="uint16"),2,  IF(OR(C45="sint8",C45="uint8"),1,""))))</f>
        <v>4</v>
      </c>
      <c r="E45" s="89" t="s">
        <v>3112</v>
      </c>
      <c r="F45" s="103"/>
      <c r="G45" s="95">
        <f>ROUND(((MAX_PHASE_CURRENT_HIGH_SPEED*MAX_PHASE_CURRENT_HIGH_SPEED  * 32768* 32768)/(BASE_CURRENT * BASE_CURRENT)),0)</f>
        <v>267130790</v>
      </c>
      <c r="H45" s="94" t="str">
        <f>IF(G45&lt;&gt;"",IF(C45="float32",FLOAT2HEX(G45),DEC2HEX(G45,8)),"")</f>
        <v>0FEC17A6</v>
      </c>
      <c r="I45" s="94">
        <f>IF(G45&lt;&gt;"",HEX2DEC(H45),"")</f>
        <v>267130790</v>
      </c>
    </row>
    <row r="46" spans="1:9">
      <c r="A46" s="96">
        <f>IF(I46&lt;&gt;"",MAX(A$1:A45)+1,"")</f>
        <v>39</v>
      </c>
      <c r="B46" s="97" t="s">
        <v>3111</v>
      </c>
      <c r="C46" s="103" t="s">
        <v>57</v>
      </c>
      <c r="D46" s="103">
        <f t="shared" si="2"/>
        <v>4</v>
      </c>
      <c r="E46" s="89" t="s">
        <v>3113</v>
      </c>
      <c r="F46" s="103"/>
      <c r="G46" s="95">
        <f>ROUND((SPEED_THRESHOLD_MAX_PHASE_CURRENT * (32768/BASE_SPEED_RPM)),0)</f>
        <v>87116</v>
      </c>
      <c r="H46" s="94" t="str">
        <f>IF(G46&lt;&gt;"",IF(C46="float32",FLOAT2HEX(G46),DEC2HEX(G46,8)),"")</f>
        <v>0001544C</v>
      </c>
      <c r="I46" s="94">
        <f t="shared" ref="I46" si="3">IF(G46&lt;&gt;"",HEX2DEC(H46),"")</f>
        <v>87116</v>
      </c>
    </row>
  </sheetData>
  <mergeCells count="2">
    <mergeCell ref="B1:H1"/>
    <mergeCell ref="B3:C3"/>
  </mergeCells>
  <dataValidations count="1">
    <dataValidation type="list" allowBlank="1" showInputMessage="1" showErrorMessage="1" sqref="C7:C46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X171"/>
  <sheetViews>
    <sheetView zoomScale="85" zoomScaleNormal="85" workbookViewId="0">
      <pane ySplit="5" topLeftCell="A117" activePane="bottomLeft" state="frozen"/>
      <selection activeCell="A285" sqref="A285"/>
      <selection pane="bottomLeft" activeCell="G140" sqref="G140"/>
    </sheetView>
  </sheetViews>
  <sheetFormatPr defaultRowHeight="15"/>
  <cols>
    <col min="1" max="1" width="10.28515625" style="9" bestFit="1" customWidth="1"/>
    <col min="2" max="2" width="68.42578125" style="42" customWidth="1"/>
    <col min="3" max="3" width="8" bestFit="1" customWidth="1"/>
    <col min="4" max="4" width="14.28515625" customWidth="1"/>
    <col min="5" max="5" width="92.7109375" customWidth="1"/>
    <col min="6" max="6" width="12.140625" customWidth="1"/>
    <col min="7" max="7" width="11.7109375" bestFit="1" customWidth="1"/>
    <col min="8" max="9" width="23.5703125" style="11" customWidth="1"/>
    <col min="10" max="10" width="12.42578125" style="11" bestFit="1" customWidth="1"/>
    <col min="11" max="24" width="9.140625" style="11"/>
  </cols>
  <sheetData>
    <row r="1" spans="1:24" ht="28.5" customHeight="1">
      <c r="B1" s="114" t="s">
        <v>1135</v>
      </c>
      <c r="C1" s="114"/>
      <c r="D1" s="114"/>
      <c r="E1" s="114"/>
      <c r="F1" s="114"/>
      <c r="G1" s="114"/>
      <c r="H1" s="114"/>
      <c r="I1" s="10"/>
      <c r="J1" s="10"/>
      <c r="K1" s="10"/>
      <c r="L1" s="10"/>
      <c r="M1" s="10"/>
      <c r="N1" s="10"/>
      <c r="O1" s="10"/>
    </row>
    <row r="2" spans="1:24" s="9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6"/>
      <c r="N2" s="16"/>
      <c r="O2" s="16"/>
      <c r="P2" s="13"/>
      <c r="Q2" s="13"/>
      <c r="R2" s="13"/>
      <c r="S2" s="13"/>
      <c r="T2" s="13"/>
      <c r="U2" s="13"/>
      <c r="V2" s="13"/>
      <c r="W2" s="13"/>
      <c r="X2" s="13"/>
    </row>
    <row r="3" spans="1:24" s="9" customFormat="1" ht="19.5" customHeight="1">
      <c r="A3" s="23"/>
      <c r="B3" s="115" t="s">
        <v>194</v>
      </c>
      <c r="C3" s="115"/>
      <c r="D3" s="24">
        <f>SUM(D7:D1640)</f>
        <v>536</v>
      </c>
      <c r="E3" s="24"/>
      <c r="F3" s="24"/>
      <c r="G3" s="24"/>
      <c r="H3" s="25"/>
      <c r="I3" s="16"/>
      <c r="J3" s="16"/>
      <c r="K3" s="16"/>
      <c r="L3" s="16"/>
      <c r="M3" s="16"/>
      <c r="N3" s="16"/>
      <c r="O3" s="16"/>
      <c r="P3" s="13"/>
      <c r="Q3" s="13"/>
      <c r="R3" s="13"/>
      <c r="S3" s="13"/>
      <c r="T3" s="13"/>
      <c r="U3" s="13"/>
      <c r="V3" s="13"/>
      <c r="W3" s="13"/>
      <c r="X3" s="13"/>
    </row>
    <row r="4" spans="1:24" s="9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6"/>
      <c r="N4" s="16"/>
      <c r="O4" s="16"/>
      <c r="P4" s="13"/>
      <c r="Q4" s="13"/>
      <c r="R4" s="13"/>
      <c r="S4" s="13"/>
      <c r="T4" s="13"/>
      <c r="U4" s="13"/>
      <c r="V4" s="13"/>
      <c r="W4" s="13"/>
      <c r="X4" s="13"/>
    </row>
    <row r="5" spans="1:24" s="9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6"/>
      <c r="N5" s="16"/>
      <c r="O5" s="16"/>
      <c r="P5" s="13"/>
      <c r="Q5" s="13"/>
      <c r="R5" s="13"/>
      <c r="S5" s="13"/>
      <c r="T5" s="13"/>
      <c r="U5" s="13"/>
      <c r="V5" s="13"/>
      <c r="W5" s="13"/>
      <c r="X5" s="13"/>
    </row>
    <row r="6" spans="1:24" s="9" customFormat="1" ht="20.25" customHeight="1">
      <c r="A6" s="56"/>
      <c r="B6" s="82" t="s">
        <v>1134</v>
      </c>
      <c r="C6" s="82"/>
      <c r="D6" s="82"/>
      <c r="E6" s="82"/>
      <c r="F6" s="82"/>
      <c r="G6" s="82"/>
      <c r="H6" s="21" t="str">
        <f>IF(Displ1!G160&lt;&gt;"",DEC2HEX(Displ1!G160,4),"")</f>
        <v/>
      </c>
      <c r="I6" s="21"/>
      <c r="J6" s="16"/>
      <c r="K6" s="16"/>
      <c r="L6" s="16"/>
      <c r="M6" s="16"/>
      <c r="N6" s="16"/>
      <c r="O6" s="16"/>
      <c r="P6" s="13"/>
      <c r="Q6" s="13"/>
      <c r="R6" s="13"/>
      <c r="S6" s="13"/>
      <c r="T6" s="13"/>
      <c r="U6" s="13"/>
      <c r="V6" s="13"/>
      <c r="W6" s="13"/>
      <c r="X6" s="13"/>
    </row>
    <row r="7" spans="1:24" ht="15" customHeight="1">
      <c r="A7" s="69">
        <v>0</v>
      </c>
      <c r="B7" s="45" t="s">
        <v>827</v>
      </c>
      <c r="C7" t="s">
        <v>57</v>
      </c>
      <c r="D7" s="60">
        <f t="shared" ref="D7:D38" si="0">IF(OR(C7="sint64",C7="uint64",C7="double64"), 8, IF(OR(C7="sint32",C7="uint32",C7="float32"),4,IF(OR(C7="sint16",C7="uint16"),2,  IF(OR(C7="sint8",C7="uint8"),1,""))))</f>
        <v>4</v>
      </c>
      <c r="E7" s="2" t="s">
        <v>828</v>
      </c>
      <c r="G7" s="11">
        <f>ROUND(('Parameters definition'!C223)/BASE_CURRENT*32768,0)</f>
        <v>-15945</v>
      </c>
      <c r="H7" s="9" t="str">
        <f>IF(G7&lt;&gt;"",IF(C7="float32",FLOAT2HEX(G7),DEC2HEX(G7,8)),"")</f>
        <v>FFFFFFC1B7</v>
      </c>
      <c r="I7" s="9">
        <f t="shared" ref="I7:I121" si="1">IF(G7&lt;&gt;"",HEX2DEC(H7),"")</f>
        <v>-15945</v>
      </c>
    </row>
    <row r="8" spans="1:24" ht="15" customHeight="1">
      <c r="A8" s="69">
        <f>IF(I8&lt;&gt;"",MAX(A$1:A7)+1,"")</f>
        <v>1</v>
      </c>
      <c r="B8" s="45" t="s">
        <v>959</v>
      </c>
      <c r="C8" t="s">
        <v>57</v>
      </c>
      <c r="D8" s="60">
        <f t="shared" si="0"/>
        <v>4</v>
      </c>
      <c r="E8" s="2" t="s">
        <v>960</v>
      </c>
      <c r="G8" s="11">
        <f>ROUND(('Parameters definition'!C290)*32768,0)</f>
        <v>-761</v>
      </c>
      <c r="H8" s="9" t="str">
        <f>IF(G8&lt;&gt;"",IF(C8="float32",FLOAT2HEX(G8),DEC2HEX(G8,8)),"")</f>
        <v>FFFFFFFD07</v>
      </c>
      <c r="I8" s="9">
        <f>IF(G8&lt;&gt;"",HEX2DEC(H8),"")</f>
        <v>-761</v>
      </c>
    </row>
    <row r="9" spans="1:24" ht="15" customHeight="1">
      <c r="A9" s="69">
        <f>IF(I9&lt;&gt;"",MAX(A$1:A8)+1,"")</f>
        <v>2</v>
      </c>
      <c r="B9" s="45" t="s">
        <v>829</v>
      </c>
      <c r="C9" t="s">
        <v>57</v>
      </c>
      <c r="D9" s="60">
        <f t="shared" si="0"/>
        <v>4</v>
      </c>
      <c r="E9" s="2" t="s">
        <v>830</v>
      </c>
      <c r="G9" s="11">
        <f>ROUND(('Parameters definition'!C224)/BASE_CURRENT*32768,0)</f>
        <v>-15447</v>
      </c>
      <c r="H9" s="9" t="str">
        <f>IF(G9&lt;&gt;"",IF(C9="float32",FLOAT2HEX(G9),DEC2HEX(G9,8)),"")</f>
        <v>FFFFFFC3A9</v>
      </c>
      <c r="I9" s="9">
        <f t="shared" si="1"/>
        <v>-15447</v>
      </c>
    </row>
    <row r="10" spans="1:24" ht="15" customHeight="1">
      <c r="A10" s="69">
        <f>IF(I10&lt;&gt;"",MAX(A$1:A9)+1,"")</f>
        <v>3</v>
      </c>
      <c r="B10" s="45" t="s">
        <v>961</v>
      </c>
      <c r="C10" t="s">
        <v>57</v>
      </c>
      <c r="D10" s="60">
        <f t="shared" si="0"/>
        <v>4</v>
      </c>
      <c r="E10" s="2" t="s">
        <v>962</v>
      </c>
      <c r="G10" s="11">
        <f>ROUND(('Parameters definition'!C291)*32768,0)</f>
        <v>-761</v>
      </c>
      <c r="H10" s="9" t="str">
        <f>IF(G10&lt;&gt;"",IF(C10="float32",FLOAT2HEX(G10),DEC2HEX(G10,8)),"")</f>
        <v>FFFFFFFD07</v>
      </c>
      <c r="I10" s="9">
        <f>IF(G10&lt;&gt;"",HEX2DEC(H10),"")</f>
        <v>-761</v>
      </c>
    </row>
    <row r="11" spans="1:24" ht="15" customHeight="1">
      <c r="A11" s="69">
        <f>IF(I11&lt;&gt;"",MAX(A$1:A10)+1,"")</f>
        <v>4</v>
      </c>
      <c r="B11" s="45" t="s">
        <v>831</v>
      </c>
      <c r="C11" t="s">
        <v>57</v>
      </c>
      <c r="D11" s="60">
        <f t="shared" si="0"/>
        <v>4</v>
      </c>
      <c r="E11" s="2" t="s">
        <v>832</v>
      </c>
      <c r="G11" s="11">
        <f>ROUND(('Parameters definition'!C225)/BASE_CURRENT*32768,0)</f>
        <v>-14949</v>
      </c>
      <c r="H11" s="9" t="str">
        <f>IF(G11&lt;&gt;"",IF(C11="float32",FLOAT2HEX(G11),DEC2HEX(G11,8)),"")</f>
        <v>FFFFFFC59B</v>
      </c>
      <c r="I11" s="9">
        <f t="shared" si="1"/>
        <v>-14949</v>
      </c>
    </row>
    <row r="12" spans="1:24" ht="15" customHeight="1">
      <c r="A12" s="69">
        <f>IF(I12&lt;&gt;"",MAX(A$1:A11)+1,"")</f>
        <v>5</v>
      </c>
      <c r="B12" s="45" t="s">
        <v>963</v>
      </c>
      <c r="C12" t="s">
        <v>57</v>
      </c>
      <c r="D12">
        <f t="shared" si="0"/>
        <v>4</v>
      </c>
      <c r="E12" s="2" t="s">
        <v>964</v>
      </c>
      <c r="G12" s="11">
        <f>ROUND(('Parameters definition'!C292)*32768,0)</f>
        <v>-760</v>
      </c>
      <c r="H12" s="9" t="str">
        <f>IF(G12&lt;&gt;"",IF(C12="float32",FLOAT2HEX(G12),DEC2HEX(G12,8)),"")</f>
        <v>FFFFFFFD08</v>
      </c>
      <c r="I12" s="9">
        <f>IF(G12&lt;&gt;"",HEX2DEC(H12),"")</f>
        <v>-760</v>
      </c>
    </row>
    <row r="13" spans="1:24" ht="15" customHeight="1">
      <c r="A13" s="69">
        <f>IF(I13&lt;&gt;"",MAX(A$1:A12)+1,"")</f>
        <v>6</v>
      </c>
      <c r="B13" s="45" t="s">
        <v>833</v>
      </c>
      <c r="C13" t="s">
        <v>57</v>
      </c>
      <c r="D13">
        <f t="shared" si="0"/>
        <v>4</v>
      </c>
      <c r="E13" s="2" t="s">
        <v>834</v>
      </c>
      <c r="G13" s="11">
        <f>ROUND(('Parameters definition'!C226)/BASE_CURRENT*32768,0)</f>
        <v>-14451</v>
      </c>
      <c r="H13" s="9" t="str">
        <f>IF(G13&lt;&gt;"",IF(C13="float32",FLOAT2HEX(G13),DEC2HEX(G13,8)),"")</f>
        <v>FFFFFFC78D</v>
      </c>
      <c r="I13" s="9">
        <f t="shared" si="1"/>
        <v>-14451</v>
      </c>
    </row>
    <row r="14" spans="1:24" ht="15" customHeight="1">
      <c r="A14" s="69">
        <f>IF(I14&lt;&gt;"",MAX(A$1:A13)+1,"")</f>
        <v>7</v>
      </c>
      <c r="B14" s="45" t="s">
        <v>965</v>
      </c>
      <c r="C14" t="s">
        <v>57</v>
      </c>
      <c r="D14">
        <f t="shared" si="0"/>
        <v>4</v>
      </c>
      <c r="E14" s="2" t="s">
        <v>966</v>
      </c>
      <c r="G14" s="11">
        <f>ROUND(('Parameters definition'!C293)*32768,0)</f>
        <v>-757</v>
      </c>
      <c r="H14" s="9" t="str">
        <f>IF(G14&lt;&gt;"",IF(C14="float32",FLOAT2HEX(G14),DEC2HEX(G14,8)),"")</f>
        <v>FFFFFFFD0B</v>
      </c>
      <c r="I14" s="9">
        <f>IF(G14&lt;&gt;"",HEX2DEC(H14),"")</f>
        <v>-757</v>
      </c>
    </row>
    <row r="15" spans="1:24" ht="15" customHeight="1">
      <c r="A15" s="69">
        <f>IF(I15&lt;&gt;"",MAX(A$1:A14)+1,"")</f>
        <v>8</v>
      </c>
      <c r="B15" s="45" t="s">
        <v>835</v>
      </c>
      <c r="C15" t="s">
        <v>57</v>
      </c>
      <c r="D15">
        <f t="shared" si="0"/>
        <v>4</v>
      </c>
      <c r="E15" s="2" t="s">
        <v>836</v>
      </c>
      <c r="G15" s="11">
        <f>ROUND(('Parameters definition'!C227)/BASE_CURRENT*32768,0)</f>
        <v>-13952</v>
      </c>
      <c r="H15" s="9" t="str">
        <f>IF(G15&lt;&gt;"",IF(C15="float32",FLOAT2HEX(G15),DEC2HEX(G15,8)),"")</f>
        <v>FFFFFFC980</v>
      </c>
      <c r="I15" s="9">
        <f t="shared" si="1"/>
        <v>-13952</v>
      </c>
    </row>
    <row r="16" spans="1:24" ht="15" customHeight="1">
      <c r="A16" s="56">
        <f>IF(I16&lt;&gt;"",MAX(A$1:A15)+1,"")</f>
        <v>9</v>
      </c>
      <c r="B16" s="45" t="s">
        <v>967</v>
      </c>
      <c r="C16" t="s">
        <v>57</v>
      </c>
      <c r="D16">
        <f t="shared" si="0"/>
        <v>4</v>
      </c>
      <c r="E16" s="2" t="s">
        <v>968</v>
      </c>
      <c r="G16" s="11">
        <f>ROUND(('Parameters definition'!C294)*32768,0)</f>
        <v>-754</v>
      </c>
      <c r="H16" s="9" t="str">
        <f>IF(G16&lt;&gt;"",IF(C16="float32",FLOAT2HEX(G16),DEC2HEX(G16,8)),"")</f>
        <v>FFFFFFFD0E</v>
      </c>
      <c r="I16" s="9">
        <f>IF(G16&lt;&gt;"",HEX2DEC(H16),"")</f>
        <v>-754</v>
      </c>
    </row>
    <row r="17" spans="1:9" ht="15" customHeight="1">
      <c r="A17" s="56">
        <f>IF(I17&lt;&gt;"",MAX(A$1:A16)+1,"")</f>
        <v>10</v>
      </c>
      <c r="B17" s="45" t="s">
        <v>837</v>
      </c>
      <c r="C17" t="s">
        <v>57</v>
      </c>
      <c r="D17">
        <f t="shared" si="0"/>
        <v>4</v>
      </c>
      <c r="E17" s="2" t="s">
        <v>838</v>
      </c>
      <c r="G17" s="11">
        <f>ROUND(('Parameters definition'!C228)/BASE_CURRENT*32768,0)</f>
        <v>-13454</v>
      </c>
      <c r="H17" s="9" t="str">
        <f>IF(G17&lt;&gt;"",IF(C17="float32",FLOAT2HEX(G17),DEC2HEX(G17,8)),"")</f>
        <v>FFFFFFCB72</v>
      </c>
      <c r="I17" s="9">
        <f t="shared" si="1"/>
        <v>-13454</v>
      </c>
    </row>
    <row r="18" spans="1:9" ht="15" customHeight="1">
      <c r="A18" s="56">
        <f>IF(I18&lt;&gt;"",MAX(A$1:A17)+1,"")</f>
        <v>11</v>
      </c>
      <c r="B18" s="45" t="s">
        <v>969</v>
      </c>
      <c r="C18" t="s">
        <v>57</v>
      </c>
      <c r="D18">
        <f t="shared" si="0"/>
        <v>4</v>
      </c>
      <c r="E18" s="2" t="s">
        <v>970</v>
      </c>
      <c r="G18" s="11">
        <f>ROUND(('Parameters definition'!C295)*32768,0)</f>
        <v>-751</v>
      </c>
      <c r="H18" s="9" t="str">
        <f>IF(G18&lt;&gt;"",IF(C18="float32",FLOAT2HEX(G18),DEC2HEX(G18,8)),"")</f>
        <v>FFFFFFFD11</v>
      </c>
      <c r="I18" s="9">
        <f>IF(G18&lt;&gt;"",HEX2DEC(H18),"")</f>
        <v>-751</v>
      </c>
    </row>
    <row r="19" spans="1:9" ht="15" customHeight="1">
      <c r="A19" s="56">
        <f>IF(I19&lt;&gt;"",MAX(A$1:A18)+1,"")</f>
        <v>12</v>
      </c>
      <c r="B19" s="45" t="s">
        <v>839</v>
      </c>
      <c r="C19" t="s">
        <v>57</v>
      </c>
      <c r="D19">
        <f t="shared" si="0"/>
        <v>4</v>
      </c>
      <c r="E19" s="2" t="s">
        <v>840</v>
      </c>
      <c r="G19" s="11">
        <f>ROUND(('Parameters definition'!C229)/BASE_CURRENT*32768,0)</f>
        <v>-12956</v>
      </c>
      <c r="H19" s="9" t="str">
        <f>IF(G19&lt;&gt;"",IF(C19="float32",FLOAT2HEX(G19),DEC2HEX(G19,8)),"")</f>
        <v>FFFFFFCD64</v>
      </c>
      <c r="I19" s="9">
        <f t="shared" si="1"/>
        <v>-12956</v>
      </c>
    </row>
    <row r="20" spans="1:9" ht="15" customHeight="1">
      <c r="A20" s="56">
        <f>IF(I20&lt;&gt;"",MAX(A$1:A19)+1,"")</f>
        <v>13</v>
      </c>
      <c r="B20" s="45" t="s">
        <v>971</v>
      </c>
      <c r="C20" t="s">
        <v>57</v>
      </c>
      <c r="D20">
        <f t="shared" si="0"/>
        <v>4</v>
      </c>
      <c r="E20" s="2" t="s">
        <v>972</v>
      </c>
      <c r="G20" s="11">
        <f>ROUND(('Parameters definition'!C296)*32768,0)</f>
        <v>-748</v>
      </c>
      <c r="H20" s="9" t="str">
        <f>IF(G20&lt;&gt;"",IF(C20="float32",FLOAT2HEX(G20),DEC2HEX(G20,8)),"")</f>
        <v>FFFFFFFD14</v>
      </c>
      <c r="I20" s="9">
        <f>IF(G20&lt;&gt;"",HEX2DEC(H20),"")</f>
        <v>-748</v>
      </c>
    </row>
    <row r="21" spans="1:9" ht="15" customHeight="1">
      <c r="A21" s="56">
        <f>IF(I21&lt;&gt;"",MAX(A$1:A20)+1,"")</f>
        <v>14</v>
      </c>
      <c r="B21" s="45" t="s">
        <v>841</v>
      </c>
      <c r="C21" t="s">
        <v>57</v>
      </c>
      <c r="D21">
        <f t="shared" si="0"/>
        <v>4</v>
      </c>
      <c r="E21" s="2" t="s">
        <v>842</v>
      </c>
      <c r="G21" s="11">
        <f>ROUND(('Parameters definition'!C230)/BASE_CURRENT*32768,0)</f>
        <v>-12457</v>
      </c>
      <c r="H21" s="9" t="str">
        <f>IF(G21&lt;&gt;"",IF(C21="float32",FLOAT2HEX(G21),DEC2HEX(G21,8)),"")</f>
        <v>FFFFFFCF57</v>
      </c>
      <c r="I21" s="9">
        <f t="shared" si="1"/>
        <v>-12457</v>
      </c>
    </row>
    <row r="22" spans="1:9" ht="15" customHeight="1">
      <c r="A22" s="56">
        <f>IF(I22&lt;&gt;"",MAX(A$1:A21)+1,"")</f>
        <v>15</v>
      </c>
      <c r="B22" s="45" t="s">
        <v>973</v>
      </c>
      <c r="C22" t="s">
        <v>57</v>
      </c>
      <c r="D22">
        <f t="shared" si="0"/>
        <v>4</v>
      </c>
      <c r="E22" s="2" t="s">
        <v>974</v>
      </c>
      <c r="G22" s="11">
        <f>ROUND(('Parameters definition'!C297)*32768,0)</f>
        <v>-745</v>
      </c>
      <c r="H22" s="9" t="str">
        <f>IF(G22&lt;&gt;"",IF(C22="float32",FLOAT2HEX(G22),DEC2HEX(G22,8)),"")</f>
        <v>FFFFFFFD17</v>
      </c>
      <c r="I22" s="9">
        <f>IF(G22&lt;&gt;"",HEX2DEC(H22),"")</f>
        <v>-745</v>
      </c>
    </row>
    <row r="23" spans="1:9" ht="15" customHeight="1">
      <c r="A23" s="56">
        <f>IF(I23&lt;&gt;"",MAX(A$1:A22)+1,"")</f>
        <v>16</v>
      </c>
      <c r="B23" s="45" t="s">
        <v>843</v>
      </c>
      <c r="C23" t="s">
        <v>57</v>
      </c>
      <c r="D23">
        <f t="shared" si="0"/>
        <v>4</v>
      </c>
      <c r="E23" s="2" t="s">
        <v>844</v>
      </c>
      <c r="G23" s="11">
        <f>ROUND(('Parameters definition'!C231)/BASE_CURRENT*32768,0)</f>
        <v>-11959</v>
      </c>
      <c r="H23" s="9" t="str">
        <f>IF(G23&lt;&gt;"",IF(C23="float32",FLOAT2HEX(G23),DEC2HEX(G23,8)),"")</f>
        <v>FFFFFFD149</v>
      </c>
      <c r="I23" s="9">
        <f t="shared" si="1"/>
        <v>-11959</v>
      </c>
    </row>
    <row r="24" spans="1:9" ht="15" customHeight="1">
      <c r="A24" s="56">
        <f>IF(I24&lt;&gt;"",MAX(A$1:A23)+1,"")</f>
        <v>17</v>
      </c>
      <c r="B24" s="45" t="s">
        <v>975</v>
      </c>
      <c r="C24" t="s">
        <v>57</v>
      </c>
      <c r="D24">
        <f t="shared" si="0"/>
        <v>4</v>
      </c>
      <c r="E24" s="2" t="s">
        <v>976</v>
      </c>
      <c r="G24" s="11">
        <f>ROUND(('Parameters definition'!C298)*32768,0)</f>
        <v>-743</v>
      </c>
      <c r="H24" s="9" t="str">
        <f>IF(G24&lt;&gt;"",IF(C24="float32",FLOAT2HEX(G24),DEC2HEX(G24,8)),"")</f>
        <v>FFFFFFFD19</v>
      </c>
      <c r="I24" s="9">
        <f>IF(G24&lt;&gt;"",HEX2DEC(H24),"")</f>
        <v>-743</v>
      </c>
    </row>
    <row r="25" spans="1:9" ht="15" customHeight="1">
      <c r="A25" s="56">
        <f>IF(I25&lt;&gt;"",MAX(A$1:A24)+1,"")</f>
        <v>18</v>
      </c>
      <c r="B25" s="45" t="s">
        <v>845</v>
      </c>
      <c r="C25" t="s">
        <v>57</v>
      </c>
      <c r="D25">
        <f t="shared" si="0"/>
        <v>4</v>
      </c>
      <c r="E25" s="2" t="s">
        <v>846</v>
      </c>
      <c r="G25" s="11">
        <f>ROUND(('Parameters definition'!C232)/BASE_CURRENT*32768,0)</f>
        <v>-11461</v>
      </c>
      <c r="H25" s="9" t="str">
        <f>IF(G25&lt;&gt;"",IF(C25="float32",FLOAT2HEX(G25),DEC2HEX(G25,8)),"")</f>
        <v>FFFFFFD33B</v>
      </c>
      <c r="I25" s="9">
        <f t="shared" si="1"/>
        <v>-11461</v>
      </c>
    </row>
    <row r="26" spans="1:9" ht="15" customHeight="1">
      <c r="A26" s="56">
        <f>IF(I26&lt;&gt;"",MAX(A$1:A25)+1,"")</f>
        <v>19</v>
      </c>
      <c r="B26" s="45" t="s">
        <v>977</v>
      </c>
      <c r="C26" t="s">
        <v>57</v>
      </c>
      <c r="D26">
        <f t="shared" si="0"/>
        <v>4</v>
      </c>
      <c r="E26" s="2" t="s">
        <v>978</v>
      </c>
      <c r="G26" s="11">
        <f>ROUND(('Parameters definition'!C299)*32768,0)</f>
        <v>-740</v>
      </c>
      <c r="H26" s="9" t="str">
        <f>IF(G26&lt;&gt;"",IF(C26="float32",FLOAT2HEX(G26),DEC2HEX(G26,8)),"")</f>
        <v>FFFFFFFD1C</v>
      </c>
      <c r="I26" s="9">
        <f>IF(G26&lt;&gt;"",HEX2DEC(H26),"")</f>
        <v>-740</v>
      </c>
    </row>
    <row r="27" spans="1:9" ht="15" customHeight="1">
      <c r="A27" s="56">
        <f>IF(I27&lt;&gt;"",MAX(A$1:A26)+1,"")</f>
        <v>20</v>
      </c>
      <c r="B27" s="45" t="s">
        <v>847</v>
      </c>
      <c r="C27" t="s">
        <v>57</v>
      </c>
      <c r="D27">
        <f t="shared" si="0"/>
        <v>4</v>
      </c>
      <c r="E27" s="2" t="s">
        <v>848</v>
      </c>
      <c r="G27" s="11">
        <f>ROUND(('Parameters definition'!C233)/BASE_CURRENT*32768,0)</f>
        <v>-10963</v>
      </c>
      <c r="H27" s="9" t="str">
        <f>IF(G27&lt;&gt;"",IF(C27="float32",FLOAT2HEX(G27),DEC2HEX(G27,8)),"")</f>
        <v>FFFFFFD52D</v>
      </c>
      <c r="I27" s="9">
        <f t="shared" si="1"/>
        <v>-10963</v>
      </c>
    </row>
    <row r="28" spans="1:9" ht="15" customHeight="1">
      <c r="A28" s="56">
        <f>IF(I28&lt;&gt;"",MAX(A$1:A27)+1,"")</f>
        <v>21</v>
      </c>
      <c r="B28" s="45" t="s">
        <v>979</v>
      </c>
      <c r="C28" t="s">
        <v>57</v>
      </c>
      <c r="D28">
        <f t="shared" si="0"/>
        <v>4</v>
      </c>
      <c r="E28" s="2" t="s">
        <v>980</v>
      </c>
      <c r="G28" s="11">
        <f>ROUND(('Parameters definition'!C300)*32768,0)</f>
        <v>-737</v>
      </c>
      <c r="H28" s="9" t="str">
        <f>IF(G28&lt;&gt;"",IF(C28="float32",FLOAT2HEX(G28),DEC2HEX(G28,8)),"")</f>
        <v>FFFFFFFD1F</v>
      </c>
      <c r="I28" s="9">
        <f>IF(G28&lt;&gt;"",HEX2DEC(H28),"")</f>
        <v>-737</v>
      </c>
    </row>
    <row r="29" spans="1:9" ht="15" customHeight="1">
      <c r="A29" s="56">
        <f>IF(I29&lt;&gt;"",MAX(A$1:A28)+1,"")</f>
        <v>22</v>
      </c>
      <c r="B29" s="45" t="s">
        <v>849</v>
      </c>
      <c r="C29" t="s">
        <v>57</v>
      </c>
      <c r="D29">
        <f t="shared" si="0"/>
        <v>4</v>
      </c>
      <c r="E29" s="2" t="s">
        <v>850</v>
      </c>
      <c r="G29" s="11">
        <f>ROUND(('Parameters definition'!C234)/BASE_CURRENT*32768,0)</f>
        <v>-10464</v>
      </c>
      <c r="H29" s="9" t="str">
        <f>IF(G29&lt;&gt;"",IF(C29="float32",FLOAT2HEX(G29),DEC2HEX(G29,8)),"")</f>
        <v>FFFFFFD720</v>
      </c>
      <c r="I29" s="9">
        <f t="shared" si="1"/>
        <v>-10464</v>
      </c>
    </row>
    <row r="30" spans="1:9" ht="15" customHeight="1">
      <c r="A30" s="56">
        <f>IF(I30&lt;&gt;"",MAX(A$1:A29)+1,"")</f>
        <v>23</v>
      </c>
      <c r="B30" s="45" t="s">
        <v>981</v>
      </c>
      <c r="C30" t="s">
        <v>57</v>
      </c>
      <c r="D30">
        <f t="shared" si="0"/>
        <v>4</v>
      </c>
      <c r="E30" s="2" t="s">
        <v>982</v>
      </c>
      <c r="G30" s="11">
        <f>ROUND(('Parameters definition'!C301)*32768,0)</f>
        <v>-732</v>
      </c>
      <c r="H30" s="9" t="str">
        <f>IF(G30&lt;&gt;"",IF(C30="float32",FLOAT2HEX(G30),DEC2HEX(G30,8)),"")</f>
        <v>FFFFFFFD24</v>
      </c>
      <c r="I30" s="9">
        <f>IF(G30&lt;&gt;"",HEX2DEC(H30),"")</f>
        <v>-732</v>
      </c>
    </row>
    <row r="31" spans="1:9" ht="15" customHeight="1">
      <c r="A31" s="56">
        <f>IF(I31&lt;&gt;"",MAX(A$1:A30)+1,"")</f>
        <v>24</v>
      </c>
      <c r="B31" s="45" t="s">
        <v>851</v>
      </c>
      <c r="C31" t="s">
        <v>57</v>
      </c>
      <c r="D31">
        <f t="shared" si="0"/>
        <v>4</v>
      </c>
      <c r="E31" s="2" t="s">
        <v>852</v>
      </c>
      <c r="G31" s="11">
        <f>ROUND(('Parameters definition'!C235)/BASE_CURRENT*32768,0)</f>
        <v>-9966</v>
      </c>
      <c r="H31" s="9" t="str">
        <f>IF(G31&lt;&gt;"",IF(C31="float32",FLOAT2HEX(G31),DEC2HEX(G31,8)),"")</f>
        <v>FFFFFFD912</v>
      </c>
      <c r="I31" s="9">
        <f t="shared" si="1"/>
        <v>-9966</v>
      </c>
    </row>
    <row r="32" spans="1:9" ht="15" customHeight="1">
      <c r="A32" s="56">
        <f>IF(I32&lt;&gt;"",MAX(A$1:A31)+1,"")</f>
        <v>25</v>
      </c>
      <c r="B32" s="45" t="s">
        <v>983</v>
      </c>
      <c r="C32" t="s">
        <v>57</v>
      </c>
      <c r="D32">
        <f t="shared" si="0"/>
        <v>4</v>
      </c>
      <c r="E32" s="2" t="s">
        <v>984</v>
      </c>
      <c r="G32" s="11">
        <f>ROUND(('Parameters definition'!C302)*32768,0)</f>
        <v>-726</v>
      </c>
      <c r="H32" s="9" t="str">
        <f>IF(G32&lt;&gt;"",IF(C32="float32",FLOAT2HEX(G32),DEC2HEX(G32,8)),"")</f>
        <v>FFFFFFFD2A</v>
      </c>
      <c r="I32" s="9">
        <f>IF(G32&lt;&gt;"",HEX2DEC(H32),"")</f>
        <v>-726</v>
      </c>
    </row>
    <row r="33" spans="1:9" ht="15" customHeight="1">
      <c r="A33" s="56">
        <f>IF(I33&lt;&gt;"",MAX(A$1:A32)+1,"")</f>
        <v>26</v>
      </c>
      <c r="B33" s="45" t="s">
        <v>853</v>
      </c>
      <c r="C33" t="s">
        <v>57</v>
      </c>
      <c r="D33">
        <f t="shared" si="0"/>
        <v>4</v>
      </c>
      <c r="E33" s="2" t="s">
        <v>854</v>
      </c>
      <c r="G33" s="11">
        <f>ROUND(('Parameters definition'!C236)/BASE_CURRENT*32768,0)</f>
        <v>-9468</v>
      </c>
      <c r="H33" s="9" t="str">
        <f>IF(G33&lt;&gt;"",IF(C33="float32",FLOAT2HEX(G33),DEC2HEX(G33,8)),"")</f>
        <v>FFFFFFDB04</v>
      </c>
      <c r="I33" s="9">
        <f t="shared" si="1"/>
        <v>-9468</v>
      </c>
    </row>
    <row r="34" spans="1:9" ht="15" customHeight="1">
      <c r="A34" s="56">
        <f>IF(I34&lt;&gt;"",MAX(A$1:A33)+1,"")</f>
        <v>27</v>
      </c>
      <c r="B34" s="45" t="s">
        <v>985</v>
      </c>
      <c r="C34" t="s">
        <v>57</v>
      </c>
      <c r="D34">
        <f t="shared" si="0"/>
        <v>4</v>
      </c>
      <c r="E34" s="2" t="s">
        <v>986</v>
      </c>
      <c r="G34" s="11">
        <f>ROUND(('Parameters definition'!C303)*32768,0)</f>
        <v>-717</v>
      </c>
      <c r="H34" s="9" t="str">
        <f>IF(G34&lt;&gt;"",IF(C34="float32",FLOAT2HEX(G34),DEC2HEX(G34,8)),"")</f>
        <v>FFFFFFFD33</v>
      </c>
      <c r="I34" s="9">
        <f>IF(G34&lt;&gt;"",HEX2DEC(H34),"")</f>
        <v>-717</v>
      </c>
    </row>
    <row r="35" spans="1:9" ht="15" customHeight="1">
      <c r="A35" s="56">
        <f>IF(I35&lt;&gt;"",MAX(A$1:A34)+1,"")</f>
        <v>28</v>
      </c>
      <c r="B35" s="45" t="s">
        <v>855</v>
      </c>
      <c r="C35" t="s">
        <v>57</v>
      </c>
      <c r="D35">
        <f t="shared" si="0"/>
        <v>4</v>
      </c>
      <c r="E35" s="2" t="s">
        <v>856</v>
      </c>
      <c r="G35" s="11">
        <f>ROUND(('Parameters definition'!C237)/BASE_CURRENT*32768,0)</f>
        <v>-8969</v>
      </c>
      <c r="H35" s="9" t="str">
        <f>IF(G35&lt;&gt;"",IF(C35="float32",FLOAT2HEX(G35),DEC2HEX(G35,8)),"")</f>
        <v>FFFFFFDCF7</v>
      </c>
      <c r="I35" s="9">
        <f t="shared" si="1"/>
        <v>-8969</v>
      </c>
    </row>
    <row r="36" spans="1:9" ht="15" customHeight="1">
      <c r="A36" s="56">
        <f>IF(I36&lt;&gt;"",MAX(A$1:A35)+1,"")</f>
        <v>29</v>
      </c>
      <c r="B36" s="45" t="s">
        <v>987</v>
      </c>
      <c r="C36" t="s">
        <v>57</v>
      </c>
      <c r="D36">
        <f t="shared" si="0"/>
        <v>4</v>
      </c>
      <c r="E36" s="2" t="s">
        <v>988</v>
      </c>
      <c r="G36" s="11">
        <f>ROUND(('Parameters definition'!C304)*32768,0)</f>
        <v>-706</v>
      </c>
      <c r="H36" s="9" t="str">
        <f>IF(G36&lt;&gt;"",IF(C36="float32",FLOAT2HEX(G36),DEC2HEX(G36,8)),"")</f>
        <v>FFFFFFFD3E</v>
      </c>
      <c r="I36" s="9">
        <f>IF(G36&lt;&gt;"",HEX2DEC(H36),"")</f>
        <v>-706</v>
      </c>
    </row>
    <row r="37" spans="1:9" ht="15" customHeight="1">
      <c r="A37" s="56">
        <f>IF(I37&lt;&gt;"",MAX(A$1:A36)+1,"")</f>
        <v>30</v>
      </c>
      <c r="B37" s="45" t="s">
        <v>857</v>
      </c>
      <c r="C37" t="s">
        <v>57</v>
      </c>
      <c r="D37">
        <f t="shared" si="0"/>
        <v>4</v>
      </c>
      <c r="E37" s="2" t="s">
        <v>858</v>
      </c>
      <c r="G37" s="11">
        <f>ROUND(('Parameters definition'!C238)/BASE_CURRENT*32768,0)</f>
        <v>-8471</v>
      </c>
      <c r="H37" s="9" t="str">
        <f>IF(G37&lt;&gt;"",IF(C37="float32",FLOAT2HEX(G37),DEC2HEX(G37,8)),"")</f>
        <v>FFFFFFDEE9</v>
      </c>
      <c r="I37" s="9">
        <f t="shared" si="1"/>
        <v>-8471</v>
      </c>
    </row>
    <row r="38" spans="1:9" ht="15" customHeight="1">
      <c r="A38" s="56">
        <f>IF(I38&lt;&gt;"",MAX(A$1:A37)+1,"")</f>
        <v>31</v>
      </c>
      <c r="B38" s="45" t="s">
        <v>989</v>
      </c>
      <c r="C38" t="s">
        <v>57</v>
      </c>
      <c r="D38">
        <f t="shared" si="0"/>
        <v>4</v>
      </c>
      <c r="E38" s="2" t="s">
        <v>990</v>
      </c>
      <c r="G38" s="11">
        <f>ROUND(('Parameters definition'!C305)*32768,0)</f>
        <v>-691</v>
      </c>
      <c r="H38" s="9" t="str">
        <f>IF(G38&lt;&gt;"",IF(C38="float32",FLOAT2HEX(G38),DEC2HEX(G38,8)),"")</f>
        <v>FFFFFFFD4D</v>
      </c>
      <c r="I38" s="9">
        <f>IF(G38&lt;&gt;"",HEX2DEC(H38),"")</f>
        <v>-691</v>
      </c>
    </row>
    <row r="39" spans="1:9" ht="15" customHeight="1">
      <c r="A39" s="56">
        <f>IF(I39&lt;&gt;"",MAX(A$1:A38)+1,"")</f>
        <v>32</v>
      </c>
      <c r="B39" s="45" t="s">
        <v>859</v>
      </c>
      <c r="C39" t="s">
        <v>57</v>
      </c>
      <c r="D39">
        <f t="shared" ref="D39:D70" si="2">IF(OR(C39="sint64",C39="uint64",C39="double64"), 8, IF(OR(C39="sint32",C39="uint32",C39="float32"),4,IF(OR(C39="sint16",C39="uint16"),2,  IF(OR(C39="sint8",C39="uint8"),1,""))))</f>
        <v>4</v>
      </c>
      <c r="E39" s="2" t="s">
        <v>860</v>
      </c>
      <c r="G39" s="11">
        <f>ROUND(('Parameters definition'!C239)/BASE_CURRENT*32768,0)</f>
        <v>-7973</v>
      </c>
      <c r="H39" s="9" t="str">
        <f>IF(G39&lt;&gt;"",IF(C39="float32",FLOAT2HEX(G39),DEC2HEX(G39,8)),"")</f>
        <v>FFFFFFE0DB</v>
      </c>
      <c r="I39" s="9">
        <f t="shared" si="1"/>
        <v>-7973</v>
      </c>
    </row>
    <row r="40" spans="1:9" ht="15" customHeight="1">
      <c r="A40" s="56">
        <f>IF(I40&lt;&gt;"",MAX(A$1:A39)+1,"")</f>
        <v>33</v>
      </c>
      <c r="B40" s="45" t="s">
        <v>991</v>
      </c>
      <c r="C40" t="s">
        <v>57</v>
      </c>
      <c r="D40">
        <f t="shared" si="2"/>
        <v>4</v>
      </c>
      <c r="E40" s="2" t="s">
        <v>992</v>
      </c>
      <c r="G40" s="11">
        <f>ROUND(('Parameters definition'!C306)*32768,0)</f>
        <v>-671</v>
      </c>
      <c r="H40" s="9" t="str">
        <f>IF(G40&lt;&gt;"",IF(C40="float32",FLOAT2HEX(G40),DEC2HEX(G40,8)),"")</f>
        <v>FFFFFFFD61</v>
      </c>
      <c r="I40" s="9">
        <f>IF(G40&lt;&gt;"",HEX2DEC(H40),"")</f>
        <v>-671</v>
      </c>
    </row>
    <row r="41" spans="1:9" ht="15" customHeight="1">
      <c r="A41" s="56">
        <f>IF(I41&lt;&gt;"",MAX(A$1:A40)+1,"")</f>
        <v>34</v>
      </c>
      <c r="B41" s="45" t="s">
        <v>861</v>
      </c>
      <c r="C41" t="s">
        <v>57</v>
      </c>
      <c r="D41">
        <f t="shared" si="2"/>
        <v>4</v>
      </c>
      <c r="E41" s="2" t="s">
        <v>862</v>
      </c>
      <c r="G41" s="11">
        <f>ROUND(('Parameters definition'!C240)/BASE_CURRENT*32768,0)</f>
        <v>-7474</v>
      </c>
      <c r="H41" s="9" t="str">
        <f>IF(G41&lt;&gt;"",IF(C41="float32",FLOAT2HEX(G41),DEC2HEX(G41,8)),"")</f>
        <v>FFFFFFE2CE</v>
      </c>
      <c r="I41" s="9">
        <f t="shared" si="1"/>
        <v>-7474</v>
      </c>
    </row>
    <row r="42" spans="1:9" ht="15" customHeight="1">
      <c r="A42" s="56">
        <f>IF(I42&lt;&gt;"",MAX(A$1:A41)+1,"")</f>
        <v>35</v>
      </c>
      <c r="B42" s="45" t="s">
        <v>993</v>
      </c>
      <c r="C42" t="s">
        <v>57</v>
      </c>
      <c r="D42">
        <f t="shared" si="2"/>
        <v>4</v>
      </c>
      <c r="E42" s="2" t="s">
        <v>994</v>
      </c>
      <c r="G42" s="11">
        <f>ROUND(('Parameters definition'!C307)*32768,0)</f>
        <v>-647</v>
      </c>
      <c r="H42" s="9" t="str">
        <f>IF(G42&lt;&gt;"",IF(C42="float32",FLOAT2HEX(G42),DEC2HEX(G42,8)),"")</f>
        <v>FFFFFFFD79</v>
      </c>
      <c r="I42" s="9">
        <f>IF(G42&lt;&gt;"",HEX2DEC(H42),"")</f>
        <v>-647</v>
      </c>
    </row>
    <row r="43" spans="1:9" ht="15" customHeight="1">
      <c r="A43" s="56">
        <f>IF(I43&lt;&gt;"",MAX(A$1:A42)+1,"")</f>
        <v>36</v>
      </c>
      <c r="B43" s="45" t="s">
        <v>863</v>
      </c>
      <c r="C43" t="s">
        <v>57</v>
      </c>
      <c r="D43">
        <f t="shared" si="2"/>
        <v>4</v>
      </c>
      <c r="E43" s="2" t="s">
        <v>864</v>
      </c>
      <c r="G43" s="11">
        <f>ROUND(('Parameters definition'!C241)/BASE_CURRENT*32768,0)</f>
        <v>-6976</v>
      </c>
      <c r="H43" s="9" t="str">
        <f>IF(G43&lt;&gt;"",IF(C43="float32",FLOAT2HEX(G43),DEC2HEX(G43,8)),"")</f>
        <v>FFFFFFE4C0</v>
      </c>
      <c r="I43" s="9">
        <f t="shared" si="1"/>
        <v>-6976</v>
      </c>
    </row>
    <row r="44" spans="1:9" ht="15" customHeight="1">
      <c r="A44" s="56">
        <f>IF(I44&lt;&gt;"",MAX(A$1:A43)+1,"")</f>
        <v>37</v>
      </c>
      <c r="B44" s="45" t="s">
        <v>995</v>
      </c>
      <c r="C44" t="s">
        <v>57</v>
      </c>
      <c r="D44">
        <f t="shared" si="2"/>
        <v>4</v>
      </c>
      <c r="E44" s="2" t="s">
        <v>996</v>
      </c>
      <c r="G44" s="11">
        <f>ROUND(('Parameters definition'!C308)*32768,0)</f>
        <v>-618</v>
      </c>
      <c r="H44" s="9" t="str">
        <f>IF(G44&lt;&gt;"",IF(C44="float32",FLOAT2HEX(G44),DEC2HEX(G44,8)),"")</f>
        <v>FFFFFFFD96</v>
      </c>
      <c r="I44" s="9">
        <f>IF(G44&lt;&gt;"",HEX2DEC(H44),"")</f>
        <v>-618</v>
      </c>
    </row>
    <row r="45" spans="1:9" ht="15" customHeight="1">
      <c r="A45" s="56">
        <f>IF(I45&lt;&gt;"",MAX(A$1:A44)+1,"")</f>
        <v>38</v>
      </c>
      <c r="B45" s="45" t="s">
        <v>865</v>
      </c>
      <c r="C45" t="s">
        <v>57</v>
      </c>
      <c r="D45">
        <f t="shared" si="2"/>
        <v>4</v>
      </c>
      <c r="E45" s="2" t="s">
        <v>866</v>
      </c>
      <c r="G45" s="11">
        <f>ROUND(('Parameters definition'!C242)/BASE_CURRENT*32768,0)</f>
        <v>-6478</v>
      </c>
      <c r="H45" s="9" t="str">
        <f>IF(G45&lt;&gt;"",IF(C45="float32",FLOAT2HEX(G45),DEC2HEX(G45,8)),"")</f>
        <v>FFFFFFE6B2</v>
      </c>
      <c r="I45" s="9">
        <f t="shared" si="1"/>
        <v>-6478</v>
      </c>
    </row>
    <row r="46" spans="1:9" ht="15" customHeight="1">
      <c r="A46" s="56">
        <f>IF(I46&lt;&gt;"",MAX(A$1:A45)+1,"")</f>
        <v>39</v>
      </c>
      <c r="B46" s="45" t="s">
        <v>997</v>
      </c>
      <c r="C46" t="s">
        <v>57</v>
      </c>
      <c r="D46">
        <f t="shared" si="2"/>
        <v>4</v>
      </c>
      <c r="E46" s="2" t="s">
        <v>998</v>
      </c>
      <c r="G46" s="11">
        <f>ROUND(('Parameters definition'!C309)*32768,0)</f>
        <v>-597</v>
      </c>
      <c r="H46" s="9" t="str">
        <f>IF(G46&lt;&gt;"",IF(C46="float32",FLOAT2HEX(G46),DEC2HEX(G46,8)),"")</f>
        <v>FFFFFFFDAB</v>
      </c>
      <c r="I46" s="9">
        <f>IF(G46&lt;&gt;"",HEX2DEC(H46),"")</f>
        <v>-597</v>
      </c>
    </row>
    <row r="47" spans="1:9" ht="15" customHeight="1">
      <c r="A47" s="56">
        <f>IF(I47&lt;&gt;"",MAX(A$1:A46)+1,"")</f>
        <v>40</v>
      </c>
      <c r="B47" s="45" t="s">
        <v>867</v>
      </c>
      <c r="C47" t="s">
        <v>57</v>
      </c>
      <c r="D47">
        <f t="shared" si="2"/>
        <v>4</v>
      </c>
      <c r="E47" s="2" t="s">
        <v>868</v>
      </c>
      <c r="G47" s="11">
        <f>ROUND(('Parameters definition'!C243)/BASE_CURRENT*32768,0)</f>
        <v>-5980</v>
      </c>
      <c r="H47" s="9" t="str">
        <f>IF(G47&lt;&gt;"",IF(C47="float32",FLOAT2HEX(G47),DEC2HEX(G47,8)),"")</f>
        <v>FFFFFFE8A4</v>
      </c>
      <c r="I47" s="9">
        <f t="shared" si="1"/>
        <v>-5980</v>
      </c>
    </row>
    <row r="48" spans="1:9" ht="15" customHeight="1">
      <c r="A48" s="56">
        <f>IF(I48&lt;&gt;"",MAX(A$1:A47)+1,"")</f>
        <v>41</v>
      </c>
      <c r="B48" s="45" t="s">
        <v>999</v>
      </c>
      <c r="C48" t="s">
        <v>57</v>
      </c>
      <c r="D48">
        <f t="shared" si="2"/>
        <v>4</v>
      </c>
      <c r="E48" s="2" t="s">
        <v>1000</v>
      </c>
      <c r="G48" s="11">
        <f>ROUND(('Parameters definition'!C310)*32768,0)</f>
        <v>-574</v>
      </c>
      <c r="H48" s="9" t="str">
        <f>IF(G48&lt;&gt;"",IF(C48="float32",FLOAT2HEX(G48),DEC2HEX(G48,8)),"")</f>
        <v>FFFFFFFDC2</v>
      </c>
      <c r="I48" s="9">
        <f>IF(G48&lt;&gt;"",HEX2DEC(H48),"")</f>
        <v>-574</v>
      </c>
    </row>
    <row r="49" spans="1:9" ht="15" customHeight="1">
      <c r="A49" s="56">
        <f>IF(I49&lt;&gt;"",MAX(A$1:A48)+1,"")</f>
        <v>42</v>
      </c>
      <c r="B49" s="45" t="s">
        <v>869</v>
      </c>
      <c r="C49" t="s">
        <v>57</v>
      </c>
      <c r="D49">
        <f t="shared" si="2"/>
        <v>4</v>
      </c>
      <c r="E49" s="2" t="s">
        <v>870</v>
      </c>
      <c r="G49" s="11">
        <f>ROUND(('Parameters definition'!C244)/BASE_CURRENT*32768,0)</f>
        <v>-5481</v>
      </c>
      <c r="H49" s="9" t="str">
        <f>IF(G49&lt;&gt;"",IF(C49="float32",FLOAT2HEX(G49),DEC2HEX(G49,8)),"")</f>
        <v>FFFFFFEA97</v>
      </c>
      <c r="I49" s="9">
        <f t="shared" si="1"/>
        <v>-5481</v>
      </c>
    </row>
    <row r="50" spans="1:9" ht="15" customHeight="1">
      <c r="A50" s="56">
        <f>IF(I50&lt;&gt;"",MAX(A$1:A49)+1,"")</f>
        <v>43</v>
      </c>
      <c r="B50" s="45" t="s">
        <v>1001</v>
      </c>
      <c r="C50" t="s">
        <v>57</v>
      </c>
      <c r="D50">
        <f t="shared" si="2"/>
        <v>4</v>
      </c>
      <c r="E50" s="2" t="s">
        <v>1002</v>
      </c>
      <c r="G50" s="11">
        <f>ROUND(('Parameters definition'!C311)*32768,0)</f>
        <v>-555</v>
      </c>
      <c r="H50" s="9" t="str">
        <f>IF(G50&lt;&gt;"",IF(C50="float32",FLOAT2HEX(G50),DEC2HEX(G50,8)),"")</f>
        <v>FFFFFFFDD5</v>
      </c>
      <c r="I50" s="9">
        <f>IF(G50&lt;&gt;"",HEX2DEC(H50),"")</f>
        <v>-555</v>
      </c>
    </row>
    <row r="51" spans="1:9" ht="15" customHeight="1">
      <c r="A51" s="56">
        <f>IF(I51&lt;&gt;"",MAX(A$1:A50)+1,"")</f>
        <v>44</v>
      </c>
      <c r="B51" s="45" t="s">
        <v>871</v>
      </c>
      <c r="C51" t="s">
        <v>57</v>
      </c>
      <c r="D51">
        <f t="shared" si="2"/>
        <v>4</v>
      </c>
      <c r="E51" s="2" t="s">
        <v>872</v>
      </c>
      <c r="G51" s="11">
        <f>ROUND(('Parameters definition'!C245)/BASE_CURRENT*32768,0)</f>
        <v>-4983</v>
      </c>
      <c r="H51" s="9" t="str">
        <f>IF(G51&lt;&gt;"",IF(C51="float32",FLOAT2HEX(G51),DEC2HEX(G51,8)),"")</f>
        <v>FFFFFFEC89</v>
      </c>
      <c r="I51" s="9">
        <f t="shared" si="1"/>
        <v>-4983</v>
      </c>
    </row>
    <row r="52" spans="1:9" ht="15" customHeight="1">
      <c r="A52" s="56">
        <f>IF(I52&lt;&gt;"",MAX(A$1:A51)+1,"")</f>
        <v>45</v>
      </c>
      <c r="B52" s="45" t="s">
        <v>1003</v>
      </c>
      <c r="C52" t="s">
        <v>57</v>
      </c>
      <c r="D52">
        <f t="shared" si="2"/>
        <v>4</v>
      </c>
      <c r="E52" s="2" t="s">
        <v>1004</v>
      </c>
      <c r="G52" s="11">
        <f>ROUND(('Parameters definition'!C312)*32768,0)</f>
        <v>-537</v>
      </c>
      <c r="H52" s="9" t="str">
        <f>IF(G52&lt;&gt;"",IF(C52="float32",FLOAT2HEX(G52),DEC2HEX(G52,8)),"")</f>
        <v>FFFFFFFDE7</v>
      </c>
      <c r="I52" s="9">
        <f>IF(G52&lt;&gt;"",HEX2DEC(H52),"")</f>
        <v>-537</v>
      </c>
    </row>
    <row r="53" spans="1:9" ht="15" customHeight="1">
      <c r="A53" s="56">
        <f>IF(I53&lt;&gt;"",MAX(A$1:A52)+1,"")</f>
        <v>46</v>
      </c>
      <c r="B53" s="45" t="s">
        <v>873</v>
      </c>
      <c r="C53" t="s">
        <v>57</v>
      </c>
      <c r="D53">
        <f t="shared" si="2"/>
        <v>4</v>
      </c>
      <c r="E53" s="2" t="s">
        <v>874</v>
      </c>
      <c r="G53" s="11">
        <f>ROUND(('Parameters definition'!C246)/BASE_CURRENT*32768,0)</f>
        <v>-4485</v>
      </c>
      <c r="H53" s="9" t="str">
        <f>IF(G53&lt;&gt;"",IF(C53="float32",FLOAT2HEX(G53),DEC2HEX(G53,8)),"")</f>
        <v>FFFFFFEE7B</v>
      </c>
      <c r="I53" s="9">
        <f t="shared" si="1"/>
        <v>-4485</v>
      </c>
    </row>
    <row r="54" spans="1:9" ht="15" customHeight="1">
      <c r="A54" s="56">
        <f>IF(I54&lt;&gt;"",MAX(A$1:A53)+1,"")</f>
        <v>47</v>
      </c>
      <c r="B54" s="45" t="s">
        <v>1005</v>
      </c>
      <c r="C54" t="s">
        <v>57</v>
      </c>
      <c r="D54">
        <f t="shared" si="2"/>
        <v>4</v>
      </c>
      <c r="E54" s="2" t="s">
        <v>1006</v>
      </c>
      <c r="G54" s="11">
        <f>ROUND(('Parameters definition'!C313)*32768,0)</f>
        <v>-517</v>
      </c>
      <c r="H54" s="9" t="str">
        <f>IF(G54&lt;&gt;"",IF(C54="float32",FLOAT2HEX(G54),DEC2HEX(G54,8)),"")</f>
        <v>FFFFFFFDFB</v>
      </c>
      <c r="I54" s="9">
        <f>IF(G54&lt;&gt;"",HEX2DEC(H54),"")</f>
        <v>-517</v>
      </c>
    </row>
    <row r="55" spans="1:9" ht="15" customHeight="1">
      <c r="A55" s="56">
        <f>IF(I55&lt;&gt;"",MAX(A$1:A54)+1,"")</f>
        <v>48</v>
      </c>
      <c r="B55" s="45" t="s">
        <v>875</v>
      </c>
      <c r="C55" t="s">
        <v>57</v>
      </c>
      <c r="D55">
        <f t="shared" si="2"/>
        <v>4</v>
      </c>
      <c r="E55" s="2" t="s">
        <v>876</v>
      </c>
      <c r="G55" s="11">
        <f>ROUND(('Parameters definition'!C247)/BASE_CURRENT*32768,0)</f>
        <v>-3986</v>
      </c>
      <c r="H55" s="9" t="str">
        <f>IF(G55&lt;&gt;"",IF(C55="float32",FLOAT2HEX(G55),DEC2HEX(G55,8)),"")</f>
        <v>FFFFFFF06E</v>
      </c>
      <c r="I55" s="9">
        <f t="shared" si="1"/>
        <v>-3986</v>
      </c>
    </row>
    <row r="56" spans="1:9" ht="15" customHeight="1">
      <c r="A56" s="56">
        <f>IF(I56&lt;&gt;"",MAX(A$1:A55)+1,"")</f>
        <v>49</v>
      </c>
      <c r="B56" s="45" t="s">
        <v>1007</v>
      </c>
      <c r="C56" t="s">
        <v>57</v>
      </c>
      <c r="D56">
        <f t="shared" si="2"/>
        <v>4</v>
      </c>
      <c r="E56" s="2" t="s">
        <v>1008</v>
      </c>
      <c r="G56" s="11">
        <f>ROUND(('Parameters definition'!C314)*32768,0)</f>
        <v>-492</v>
      </c>
      <c r="H56" s="9" t="str">
        <f>IF(G56&lt;&gt;"",IF(C56="float32",FLOAT2HEX(G56),DEC2HEX(G56,8)),"")</f>
        <v>FFFFFFFE14</v>
      </c>
      <c r="I56" s="9">
        <f>IF(G56&lt;&gt;"",HEX2DEC(H56),"")</f>
        <v>-492</v>
      </c>
    </row>
    <row r="57" spans="1:9" ht="15" customHeight="1">
      <c r="A57" s="56">
        <f>IF(I57&lt;&gt;"",MAX(A$1:A56)+1,"")</f>
        <v>50</v>
      </c>
      <c r="B57" s="45" t="s">
        <v>877</v>
      </c>
      <c r="C57" t="s">
        <v>57</v>
      </c>
      <c r="D57">
        <f t="shared" si="2"/>
        <v>4</v>
      </c>
      <c r="E57" s="2" t="s">
        <v>878</v>
      </c>
      <c r="G57" s="11">
        <f>ROUND(('Parameters definition'!C248)/BASE_CURRENT*32768,0)</f>
        <v>-3488</v>
      </c>
      <c r="H57" s="9" t="str">
        <f>IF(G57&lt;&gt;"",IF(C57="float32",FLOAT2HEX(G57),DEC2HEX(G57,8)),"")</f>
        <v>FFFFFFF260</v>
      </c>
      <c r="I57" s="9">
        <f t="shared" si="1"/>
        <v>-3488</v>
      </c>
    </row>
    <row r="58" spans="1:9" ht="15" customHeight="1">
      <c r="A58" s="56">
        <f>IF(I58&lt;&gt;"",MAX(A$1:A57)+1,"")</f>
        <v>51</v>
      </c>
      <c r="B58" s="45" t="s">
        <v>1009</v>
      </c>
      <c r="C58" t="s">
        <v>57</v>
      </c>
      <c r="D58">
        <f t="shared" si="2"/>
        <v>4</v>
      </c>
      <c r="E58" s="2" t="s">
        <v>1010</v>
      </c>
      <c r="G58" s="11">
        <f>ROUND(('Parameters definition'!C315)*32768,0)</f>
        <v>-460</v>
      </c>
      <c r="H58" s="9" t="str">
        <f>IF(G58&lt;&gt;"",IF(C58="float32",FLOAT2HEX(G58),DEC2HEX(G58,8)),"")</f>
        <v>FFFFFFFE34</v>
      </c>
      <c r="I58" s="9">
        <f>IF(G58&lt;&gt;"",HEX2DEC(H58),"")</f>
        <v>-460</v>
      </c>
    </row>
    <row r="59" spans="1:9" ht="15" customHeight="1">
      <c r="A59" s="56">
        <f>IF(I59&lt;&gt;"",MAX(A$1:A58)+1,"")</f>
        <v>52</v>
      </c>
      <c r="B59" s="45" t="s">
        <v>879</v>
      </c>
      <c r="C59" t="s">
        <v>57</v>
      </c>
      <c r="D59">
        <f t="shared" si="2"/>
        <v>4</v>
      </c>
      <c r="E59" s="2" t="s">
        <v>880</v>
      </c>
      <c r="G59" s="11">
        <f>ROUND(('Parameters definition'!C249)/BASE_CURRENT*32768,0)</f>
        <v>-2990</v>
      </c>
      <c r="H59" s="9" t="str">
        <f>IF(G59&lt;&gt;"",IF(C59="float32",FLOAT2HEX(G59),DEC2HEX(G59,8)),"")</f>
        <v>FFFFFFF452</v>
      </c>
      <c r="I59" s="9">
        <f t="shared" si="1"/>
        <v>-2990</v>
      </c>
    </row>
    <row r="60" spans="1:9" ht="15" customHeight="1">
      <c r="A60" s="56">
        <f>IF(I60&lt;&gt;"",MAX(A$1:A59)+1,"")</f>
        <v>53</v>
      </c>
      <c r="B60" s="45" t="s">
        <v>1011</v>
      </c>
      <c r="C60" t="s">
        <v>57</v>
      </c>
      <c r="D60">
        <f t="shared" si="2"/>
        <v>4</v>
      </c>
      <c r="E60" s="2" t="s">
        <v>1012</v>
      </c>
      <c r="G60" s="11">
        <f>ROUND(('Parameters definition'!C316)*32768,0)</f>
        <v>-449</v>
      </c>
      <c r="H60" s="9" t="str">
        <f>IF(G60&lt;&gt;"",IF(C60="float32",FLOAT2HEX(G60),DEC2HEX(G60,8)),"")</f>
        <v>FFFFFFFE3F</v>
      </c>
      <c r="I60" s="9">
        <f>IF(G60&lt;&gt;"",HEX2DEC(H60),"")</f>
        <v>-449</v>
      </c>
    </row>
    <row r="61" spans="1:9" ht="15" customHeight="1">
      <c r="A61" s="56">
        <f>IF(I61&lt;&gt;"",MAX(A$1:A60)+1,"")</f>
        <v>54</v>
      </c>
      <c r="B61" s="45" t="s">
        <v>881</v>
      </c>
      <c r="C61" t="s">
        <v>57</v>
      </c>
      <c r="D61">
        <f t="shared" si="2"/>
        <v>4</v>
      </c>
      <c r="E61" s="2" t="s">
        <v>882</v>
      </c>
      <c r="G61" s="11">
        <f>ROUND(('Parameters definition'!C250)/BASE_CURRENT*32768,0)</f>
        <v>-2491</v>
      </c>
      <c r="H61" s="9" t="str">
        <f>IF(G61&lt;&gt;"",IF(C61="float32",FLOAT2HEX(G61),DEC2HEX(G61,8)),"")</f>
        <v>FFFFFFF645</v>
      </c>
      <c r="I61" s="9">
        <f t="shared" si="1"/>
        <v>-2491</v>
      </c>
    </row>
    <row r="62" spans="1:9" ht="15" customHeight="1">
      <c r="A62" s="56">
        <f>IF(I62&lt;&gt;"",MAX(A$1:A61)+1,"")</f>
        <v>55</v>
      </c>
      <c r="B62" s="45" t="s">
        <v>1013</v>
      </c>
      <c r="C62" t="s">
        <v>57</v>
      </c>
      <c r="D62">
        <f t="shared" si="2"/>
        <v>4</v>
      </c>
      <c r="E62" s="2" t="s">
        <v>1014</v>
      </c>
      <c r="G62" s="11">
        <f>ROUND(('Parameters definition'!C317)*32768,0)</f>
        <v>-442</v>
      </c>
      <c r="H62" s="9" t="str">
        <f>IF(G62&lt;&gt;"",IF(C62="float32",FLOAT2HEX(G62),DEC2HEX(G62,8)),"")</f>
        <v>FFFFFFFE46</v>
      </c>
      <c r="I62" s="9">
        <f>IF(G62&lt;&gt;"",HEX2DEC(H62),"")</f>
        <v>-442</v>
      </c>
    </row>
    <row r="63" spans="1:9" ht="15" customHeight="1">
      <c r="A63" s="56">
        <f>IF(I63&lt;&gt;"",MAX(A$1:A62)+1,"")</f>
        <v>56</v>
      </c>
      <c r="B63" s="45" t="s">
        <v>883</v>
      </c>
      <c r="C63" t="s">
        <v>57</v>
      </c>
      <c r="D63">
        <f t="shared" si="2"/>
        <v>4</v>
      </c>
      <c r="E63" s="2" t="s">
        <v>884</v>
      </c>
      <c r="G63" s="11">
        <f>ROUND(('Parameters definition'!C251)/BASE_CURRENT*32768,0)</f>
        <v>-1993</v>
      </c>
      <c r="H63" s="9" t="str">
        <f>IF(G63&lt;&gt;"",IF(C63="float32",FLOAT2HEX(G63),DEC2HEX(G63,8)),"")</f>
        <v>FFFFFFF837</v>
      </c>
      <c r="I63" s="9">
        <f t="shared" si="1"/>
        <v>-1993</v>
      </c>
    </row>
    <row r="64" spans="1:9" ht="15" customHeight="1">
      <c r="A64" s="56">
        <f>IF(I64&lt;&gt;"",MAX(A$1:A63)+1,"")</f>
        <v>57</v>
      </c>
      <c r="B64" s="45" t="s">
        <v>1015</v>
      </c>
      <c r="C64" t="s">
        <v>57</v>
      </c>
      <c r="D64">
        <f t="shared" si="2"/>
        <v>4</v>
      </c>
      <c r="E64" s="2" t="s">
        <v>1016</v>
      </c>
      <c r="G64" s="11">
        <f>ROUND(('Parameters definition'!C318)*32768,0)</f>
        <v>-435</v>
      </c>
      <c r="H64" s="9" t="str">
        <f>IF(G64&lt;&gt;"",IF(C64="float32",FLOAT2HEX(G64),DEC2HEX(G64,8)),"")</f>
        <v>FFFFFFFE4D</v>
      </c>
      <c r="I64" s="9">
        <f>IF(G64&lt;&gt;"",HEX2DEC(H64),"")</f>
        <v>-435</v>
      </c>
    </row>
    <row r="65" spans="1:9" ht="15" customHeight="1">
      <c r="A65" s="56">
        <f>IF(I65&lt;&gt;"",MAX(A$1:A64)+1,"")</f>
        <v>58</v>
      </c>
      <c r="B65" s="45" t="s">
        <v>885</v>
      </c>
      <c r="C65" t="s">
        <v>57</v>
      </c>
      <c r="D65">
        <f t="shared" si="2"/>
        <v>4</v>
      </c>
      <c r="E65" s="2" t="s">
        <v>886</v>
      </c>
      <c r="G65" s="11">
        <f>ROUND(('Parameters definition'!C252)/BASE_CURRENT*32768,0)</f>
        <v>-1495</v>
      </c>
      <c r="H65" s="9" t="str">
        <f>IF(G65&lt;&gt;"",IF(C65="float32",FLOAT2HEX(G65),DEC2HEX(G65,8)),"")</f>
        <v>FFFFFFFA29</v>
      </c>
      <c r="I65" s="9">
        <f t="shared" si="1"/>
        <v>-1495</v>
      </c>
    </row>
    <row r="66" spans="1:9" ht="15" customHeight="1">
      <c r="A66" s="56">
        <f>IF(I66&lt;&gt;"",MAX(A$1:A65)+1,"")</f>
        <v>59</v>
      </c>
      <c r="B66" s="45" t="s">
        <v>1017</v>
      </c>
      <c r="C66" t="s">
        <v>57</v>
      </c>
      <c r="D66">
        <f t="shared" si="2"/>
        <v>4</v>
      </c>
      <c r="E66" s="2" t="s">
        <v>1018</v>
      </c>
      <c r="G66" s="11">
        <f>ROUND(('Parameters definition'!C319)*32768,0)</f>
        <v>-425</v>
      </c>
      <c r="H66" s="9" t="str">
        <f>IF(G66&lt;&gt;"",IF(C66="float32",FLOAT2HEX(G66),DEC2HEX(G66,8)),"")</f>
        <v>FFFFFFFE57</v>
      </c>
      <c r="I66" s="9">
        <f>IF(G66&lt;&gt;"",HEX2DEC(H66),"")</f>
        <v>-425</v>
      </c>
    </row>
    <row r="67" spans="1:9" ht="15" customHeight="1">
      <c r="A67" s="56">
        <f>IF(I67&lt;&gt;"",MAX(A$1:A66)+1,"")</f>
        <v>60</v>
      </c>
      <c r="B67" s="45" t="s">
        <v>887</v>
      </c>
      <c r="C67" t="s">
        <v>57</v>
      </c>
      <c r="D67">
        <f t="shared" si="2"/>
        <v>4</v>
      </c>
      <c r="E67" s="2" t="s">
        <v>888</v>
      </c>
      <c r="G67" s="11">
        <f>ROUND(('Parameters definition'!C253)/BASE_CURRENT*32768,0)</f>
        <v>-997</v>
      </c>
      <c r="H67" s="9" t="str">
        <f>IF(G67&lt;&gt;"",IF(C67="float32",FLOAT2HEX(G67),DEC2HEX(G67,8)),"")</f>
        <v>FFFFFFFC1B</v>
      </c>
      <c r="I67" s="9">
        <f t="shared" si="1"/>
        <v>-997</v>
      </c>
    </row>
    <row r="68" spans="1:9" ht="15" customHeight="1">
      <c r="A68" s="56">
        <f>IF(I68&lt;&gt;"",MAX(A$1:A67)+1,"")</f>
        <v>61</v>
      </c>
      <c r="B68" s="45" t="s">
        <v>1019</v>
      </c>
      <c r="C68" t="s">
        <v>57</v>
      </c>
      <c r="D68">
        <f t="shared" si="2"/>
        <v>4</v>
      </c>
      <c r="E68" s="2" t="s">
        <v>1020</v>
      </c>
      <c r="G68" s="11">
        <f>ROUND(('Parameters definition'!C320)*32768,0)</f>
        <v>-389</v>
      </c>
      <c r="H68" s="9" t="str">
        <f>IF(G68&lt;&gt;"",IF(C68="float32",FLOAT2HEX(G68),DEC2HEX(G68,8)),"")</f>
        <v>FFFFFFFE7B</v>
      </c>
      <c r="I68" s="9">
        <f>IF(G68&lt;&gt;"",HEX2DEC(H68),"")</f>
        <v>-389</v>
      </c>
    </row>
    <row r="69" spans="1:9" ht="15" customHeight="1">
      <c r="A69" s="56">
        <f>IF(I69&lt;&gt;"",MAX(A$1:A68)+1,"")</f>
        <v>62</v>
      </c>
      <c r="B69" s="45" t="s">
        <v>889</v>
      </c>
      <c r="C69" t="s">
        <v>57</v>
      </c>
      <c r="D69">
        <f t="shared" si="2"/>
        <v>4</v>
      </c>
      <c r="E69" s="2" t="s">
        <v>890</v>
      </c>
      <c r="G69" s="11">
        <f>ROUND(('Parameters definition'!C254)/BASE_CURRENT*32768,0)</f>
        <v>-498</v>
      </c>
      <c r="H69" s="9" t="str">
        <f>IF(G69&lt;&gt;"",IF(C69="float32",FLOAT2HEX(G69),DEC2HEX(G69,8)),"")</f>
        <v>FFFFFFFE0E</v>
      </c>
      <c r="I69" s="9">
        <f t="shared" si="1"/>
        <v>-498</v>
      </c>
    </row>
    <row r="70" spans="1:9" ht="15" customHeight="1">
      <c r="A70" s="56">
        <f>IF(I70&lt;&gt;"",MAX(A$1:A69)+1,"")</f>
        <v>63</v>
      </c>
      <c r="B70" s="45" t="s">
        <v>1021</v>
      </c>
      <c r="C70" t="s">
        <v>57</v>
      </c>
      <c r="D70">
        <f t="shared" si="2"/>
        <v>4</v>
      </c>
      <c r="E70" s="2" t="s">
        <v>1022</v>
      </c>
      <c r="G70" s="11">
        <f>ROUND(('Parameters definition'!C321)*32768,0)</f>
        <v>-354</v>
      </c>
      <c r="H70" s="9" t="str">
        <f>IF(G70&lt;&gt;"",IF(C70="float32",FLOAT2HEX(G70),DEC2HEX(G70,8)),"")</f>
        <v>FFFFFFFE9E</v>
      </c>
      <c r="I70" s="9">
        <f>IF(G70&lt;&gt;"",HEX2DEC(H70),"")</f>
        <v>-354</v>
      </c>
    </row>
    <row r="71" spans="1:9" ht="15" customHeight="1">
      <c r="A71" s="56">
        <f>IF(I71&lt;&gt;"",MAX(A$1:A70)+1,"")</f>
        <v>64</v>
      </c>
      <c r="B71" s="45" t="s">
        <v>891</v>
      </c>
      <c r="C71" t="s">
        <v>57</v>
      </c>
      <c r="D71">
        <f t="shared" ref="D71:D102" si="3">IF(OR(C71="sint64",C71="uint64",C71="double64"), 8, IF(OR(C71="sint32",C71="uint32",C71="float32"),4,IF(OR(C71="sint16",C71="uint16"),2,  IF(OR(C71="sint8",C71="uint8"),1,""))))</f>
        <v>4</v>
      </c>
      <c r="E71" s="2" t="s">
        <v>892</v>
      </c>
      <c r="G71" s="11">
        <f>ROUND(('Parameters definition'!C255)/BASE_CURRENT*32768,0)</f>
        <v>0</v>
      </c>
      <c r="H71" s="9" t="str">
        <f>IF(G71&lt;&gt;"",IF(C71="float32",FLOAT2HEX(G71),DEC2HEX(G71,8)),"")</f>
        <v>00000000</v>
      </c>
      <c r="I71" s="9">
        <f t="shared" si="1"/>
        <v>0</v>
      </c>
    </row>
    <row r="72" spans="1:9" ht="15" customHeight="1">
      <c r="A72" s="56">
        <f>IF(I72&lt;&gt;"",MAX(A$1:A71)+1,"")</f>
        <v>65</v>
      </c>
      <c r="B72" s="45" t="s">
        <v>1023</v>
      </c>
      <c r="C72" t="s">
        <v>57</v>
      </c>
      <c r="D72">
        <f t="shared" si="3"/>
        <v>4</v>
      </c>
      <c r="E72" s="2" t="s">
        <v>1024</v>
      </c>
      <c r="G72" s="11">
        <f>ROUND(('Parameters definition'!C322)*32768,0)</f>
        <v>0</v>
      </c>
      <c r="H72" s="9" t="str">
        <f>IF(G72&lt;&gt;"",IF(C72="float32",FLOAT2HEX(G72),DEC2HEX(G72,8)),"")</f>
        <v>00000000</v>
      </c>
      <c r="I72" s="9">
        <f>IF(G72&lt;&gt;"",HEX2DEC(H72),"")</f>
        <v>0</v>
      </c>
    </row>
    <row r="73" spans="1:9" ht="15" customHeight="1">
      <c r="A73" s="56">
        <f>IF(I73&lt;&gt;"",MAX(A$1:A72)+1,"")</f>
        <v>66</v>
      </c>
      <c r="B73" s="45" t="s">
        <v>893</v>
      </c>
      <c r="C73" t="s">
        <v>57</v>
      </c>
      <c r="D73">
        <f t="shared" si="3"/>
        <v>4</v>
      </c>
      <c r="E73" s="2" t="s">
        <v>894</v>
      </c>
      <c r="G73" s="11">
        <f>ROUND(('Parameters definition'!C256)/BASE_CURRENT*32768,0)</f>
        <v>498</v>
      </c>
      <c r="H73" s="9" t="str">
        <f>IF(G73&lt;&gt;"",IF(C73="float32",FLOAT2HEX(G73),DEC2HEX(G73,8)),"")</f>
        <v>000001F2</v>
      </c>
      <c r="I73" s="9">
        <f t="shared" si="1"/>
        <v>498</v>
      </c>
    </row>
    <row r="74" spans="1:9" ht="15" customHeight="1">
      <c r="A74" s="56">
        <f>IF(I74&lt;&gt;"",MAX(A$1:A73)+1,"")</f>
        <v>67</v>
      </c>
      <c r="B74" s="45" t="s">
        <v>1025</v>
      </c>
      <c r="C74" t="s">
        <v>57</v>
      </c>
      <c r="D74">
        <f t="shared" si="3"/>
        <v>4</v>
      </c>
      <c r="E74" s="2" t="s">
        <v>1026</v>
      </c>
      <c r="G74" s="11">
        <f>ROUND(('Parameters definition'!C323)*32768,0)</f>
        <v>354</v>
      </c>
      <c r="H74" s="9" t="str">
        <f>IF(G74&lt;&gt;"",IF(C74="float32",FLOAT2HEX(G74),DEC2HEX(G74,8)),"")</f>
        <v>00000162</v>
      </c>
      <c r="I74" s="9">
        <f>IF(G74&lt;&gt;"",HEX2DEC(H74),"")</f>
        <v>354</v>
      </c>
    </row>
    <row r="75" spans="1:9" ht="15" customHeight="1">
      <c r="A75" s="56">
        <f>IF(I75&lt;&gt;"",MAX(A$1:A74)+1,"")</f>
        <v>68</v>
      </c>
      <c r="B75" s="45" t="s">
        <v>895</v>
      </c>
      <c r="C75" t="s">
        <v>57</v>
      </c>
      <c r="D75">
        <f t="shared" si="3"/>
        <v>4</v>
      </c>
      <c r="E75" s="2" t="s">
        <v>896</v>
      </c>
      <c r="G75" s="11">
        <f>ROUND(('Parameters definition'!C257)/BASE_CURRENT*32768,0)</f>
        <v>997</v>
      </c>
      <c r="H75" s="9" t="str">
        <f>IF(G75&lt;&gt;"",IF(C75="float32",FLOAT2HEX(G75),DEC2HEX(G75,8)),"")</f>
        <v>000003E5</v>
      </c>
      <c r="I75" s="9">
        <f t="shared" si="1"/>
        <v>997</v>
      </c>
    </row>
    <row r="76" spans="1:9" ht="15" customHeight="1">
      <c r="A76" s="56">
        <f>IF(I76&lt;&gt;"",MAX(A$1:A75)+1,"")</f>
        <v>69</v>
      </c>
      <c r="B76" s="45" t="s">
        <v>1027</v>
      </c>
      <c r="C76" t="s">
        <v>57</v>
      </c>
      <c r="D76">
        <f t="shared" si="3"/>
        <v>4</v>
      </c>
      <c r="E76" s="2" t="s">
        <v>1028</v>
      </c>
      <c r="G76" s="11">
        <f>ROUND(('Parameters definition'!C324)*32768,0)</f>
        <v>389</v>
      </c>
      <c r="H76" s="9" t="str">
        <f>IF(G76&lt;&gt;"",IF(C76="float32",FLOAT2HEX(G76),DEC2HEX(G76,8)),"")</f>
        <v>00000185</v>
      </c>
      <c r="I76" s="9">
        <f>IF(G76&lt;&gt;"",HEX2DEC(H76),"")</f>
        <v>389</v>
      </c>
    </row>
    <row r="77" spans="1:9" ht="15" customHeight="1">
      <c r="A77" s="56">
        <f>IF(I77&lt;&gt;"",MAX(A$1:A76)+1,"")</f>
        <v>70</v>
      </c>
      <c r="B77" s="45" t="s">
        <v>897</v>
      </c>
      <c r="C77" t="s">
        <v>57</v>
      </c>
      <c r="D77">
        <f t="shared" si="3"/>
        <v>4</v>
      </c>
      <c r="E77" s="2" t="s">
        <v>898</v>
      </c>
      <c r="G77" s="11">
        <f>ROUND(('Parameters definition'!C258)/BASE_CURRENT*32768,0)</f>
        <v>1495</v>
      </c>
      <c r="H77" s="9" t="str">
        <f>IF(G77&lt;&gt;"",IF(C77="float32",FLOAT2HEX(G77),DEC2HEX(G77,8)),"")</f>
        <v>000005D7</v>
      </c>
      <c r="I77" s="9">
        <f t="shared" si="1"/>
        <v>1495</v>
      </c>
    </row>
    <row r="78" spans="1:9" ht="15" customHeight="1">
      <c r="A78" s="56">
        <f>IF(I78&lt;&gt;"",MAX(A$1:A77)+1,"")</f>
        <v>71</v>
      </c>
      <c r="B78" s="45" t="s">
        <v>1029</v>
      </c>
      <c r="C78" t="s">
        <v>57</v>
      </c>
      <c r="D78">
        <f t="shared" si="3"/>
        <v>4</v>
      </c>
      <c r="E78" s="2" t="s">
        <v>1030</v>
      </c>
      <c r="G78" s="11">
        <f>ROUND(('Parameters definition'!C325)*32768,0)</f>
        <v>425</v>
      </c>
      <c r="H78" s="9" t="str">
        <f>IF(G78&lt;&gt;"",IF(C78="float32",FLOAT2HEX(G78),DEC2HEX(G78,8)),"")</f>
        <v>000001A9</v>
      </c>
      <c r="I78" s="9">
        <f>IF(G78&lt;&gt;"",HEX2DEC(H78),"")</f>
        <v>425</v>
      </c>
    </row>
    <row r="79" spans="1:9" ht="15" customHeight="1">
      <c r="A79" s="56">
        <f>IF(I79&lt;&gt;"",MAX(A$1:A78)+1,"")</f>
        <v>72</v>
      </c>
      <c r="B79" s="45" t="s">
        <v>899</v>
      </c>
      <c r="C79" t="s">
        <v>57</v>
      </c>
      <c r="D79">
        <f t="shared" si="3"/>
        <v>4</v>
      </c>
      <c r="E79" s="2" t="s">
        <v>900</v>
      </c>
      <c r="G79" s="11">
        <f>ROUND(('Parameters definition'!C259)/BASE_CURRENT*32768,0)</f>
        <v>1993</v>
      </c>
      <c r="H79" s="9" t="str">
        <f>IF(G79&lt;&gt;"",IF(C79="float32",FLOAT2HEX(G79),DEC2HEX(G79,8)),"")</f>
        <v>000007C9</v>
      </c>
      <c r="I79" s="9">
        <f t="shared" si="1"/>
        <v>1993</v>
      </c>
    </row>
    <row r="80" spans="1:9" ht="15" customHeight="1">
      <c r="A80" s="56">
        <f>IF(I80&lt;&gt;"",MAX(A$1:A79)+1,"")</f>
        <v>73</v>
      </c>
      <c r="B80" s="45" t="s">
        <v>1031</v>
      </c>
      <c r="C80" t="s">
        <v>57</v>
      </c>
      <c r="D80">
        <f t="shared" si="3"/>
        <v>4</v>
      </c>
      <c r="E80" s="2" t="s">
        <v>1032</v>
      </c>
      <c r="G80" s="11">
        <f>ROUND(('Parameters definition'!C326)*32768,0)</f>
        <v>439</v>
      </c>
      <c r="H80" s="9" t="str">
        <f>IF(G80&lt;&gt;"",IF(C80="float32",FLOAT2HEX(G80),DEC2HEX(G80,8)),"")</f>
        <v>000001B7</v>
      </c>
      <c r="I80" s="9">
        <f>IF(G80&lt;&gt;"",HEX2DEC(H80),"")</f>
        <v>439</v>
      </c>
    </row>
    <row r="81" spans="1:9" ht="15" customHeight="1">
      <c r="A81" s="56">
        <f>IF(I81&lt;&gt;"",MAX(A$1:A80)+1,"")</f>
        <v>74</v>
      </c>
      <c r="B81" s="45" t="s">
        <v>901</v>
      </c>
      <c r="C81" t="s">
        <v>57</v>
      </c>
      <c r="D81">
        <f t="shared" si="3"/>
        <v>4</v>
      </c>
      <c r="E81" s="2" t="s">
        <v>902</v>
      </c>
      <c r="G81" s="11">
        <f>ROUND(('Parameters definition'!C260)/BASE_CURRENT*32768,0)</f>
        <v>2491</v>
      </c>
      <c r="H81" s="9" t="str">
        <f>IF(G81&lt;&gt;"",IF(C81="float32",FLOAT2HEX(G81),DEC2HEX(G81,8)),"")</f>
        <v>000009BB</v>
      </c>
      <c r="I81" s="9">
        <f t="shared" si="1"/>
        <v>2491</v>
      </c>
    </row>
    <row r="82" spans="1:9" ht="15" customHeight="1">
      <c r="A82" s="56">
        <f>IF(I82&lt;&gt;"",MAX(A$1:A81)+1,"")</f>
        <v>75</v>
      </c>
      <c r="B82" s="45" t="s">
        <v>1033</v>
      </c>
      <c r="C82" t="s">
        <v>57</v>
      </c>
      <c r="D82">
        <f t="shared" si="3"/>
        <v>4</v>
      </c>
      <c r="E82" s="2" t="s">
        <v>1034</v>
      </c>
      <c r="G82" s="11">
        <f>ROUND(('Parameters definition'!C327)*32768,0)</f>
        <v>446</v>
      </c>
      <c r="H82" s="9" t="str">
        <f>IF(G82&lt;&gt;"",IF(C82="float32",FLOAT2HEX(G82),DEC2HEX(G82,8)),"")</f>
        <v>000001BE</v>
      </c>
      <c r="I82" s="9">
        <f>IF(G82&lt;&gt;"",HEX2DEC(H82),"")</f>
        <v>446</v>
      </c>
    </row>
    <row r="83" spans="1:9" ht="15" customHeight="1">
      <c r="A83" s="56">
        <f>IF(I83&lt;&gt;"",MAX(A$1:A82)+1,"")</f>
        <v>76</v>
      </c>
      <c r="B83" s="45" t="s">
        <v>903</v>
      </c>
      <c r="C83" t="s">
        <v>57</v>
      </c>
      <c r="D83">
        <f t="shared" si="3"/>
        <v>4</v>
      </c>
      <c r="E83" s="2" t="s">
        <v>904</v>
      </c>
      <c r="G83" s="11">
        <f>ROUND(('Parameters definition'!C261)/BASE_CURRENT*32768,0)</f>
        <v>2990</v>
      </c>
      <c r="H83" s="9" t="str">
        <f>IF(G83&lt;&gt;"",IF(C83="float32",FLOAT2HEX(G83),DEC2HEX(G83,8)),"")</f>
        <v>00000BAE</v>
      </c>
      <c r="I83" s="9">
        <f t="shared" si="1"/>
        <v>2990</v>
      </c>
    </row>
    <row r="84" spans="1:9" ht="15" customHeight="1">
      <c r="A84" s="56">
        <f>IF(I84&lt;&gt;"",MAX(A$1:A83)+1,"")</f>
        <v>77</v>
      </c>
      <c r="B84" s="45" t="s">
        <v>1035</v>
      </c>
      <c r="C84" t="s">
        <v>57</v>
      </c>
      <c r="D84">
        <f t="shared" si="3"/>
        <v>4</v>
      </c>
      <c r="E84" s="2" t="s">
        <v>1036</v>
      </c>
      <c r="G84" s="11">
        <f>ROUND(('Parameters definition'!C328)*32768,0)</f>
        <v>495</v>
      </c>
      <c r="H84" s="9" t="str">
        <f>IF(G84&lt;&gt;"",IF(C84="float32",FLOAT2HEX(G84),DEC2HEX(G84,8)),"")</f>
        <v>000001EF</v>
      </c>
      <c r="I84" s="9">
        <f>IF(G84&lt;&gt;"",HEX2DEC(H84),"")</f>
        <v>495</v>
      </c>
    </row>
    <row r="85" spans="1:9" ht="15" customHeight="1">
      <c r="A85" s="56">
        <f>IF(I85&lt;&gt;"",MAX(A$1:A84)+1,"")</f>
        <v>78</v>
      </c>
      <c r="B85" s="45" t="s">
        <v>905</v>
      </c>
      <c r="C85" t="s">
        <v>57</v>
      </c>
      <c r="D85">
        <f t="shared" si="3"/>
        <v>4</v>
      </c>
      <c r="E85" s="2" t="s">
        <v>906</v>
      </c>
      <c r="G85" s="11">
        <f>ROUND(('Parameters definition'!C262)/BASE_CURRENT*32768,0)</f>
        <v>3488</v>
      </c>
      <c r="H85" s="9" t="str">
        <f>IF(G85&lt;&gt;"",IF(C85="float32",FLOAT2HEX(G85),DEC2HEX(G85,8)),"")</f>
        <v>00000DA0</v>
      </c>
      <c r="I85" s="9">
        <f t="shared" si="1"/>
        <v>3488</v>
      </c>
    </row>
    <row r="86" spans="1:9" ht="15" customHeight="1">
      <c r="A86" s="56">
        <f>IF(I86&lt;&gt;"",MAX(A$1:A85)+1,"")</f>
        <v>79</v>
      </c>
      <c r="B86" s="45" t="s">
        <v>1037</v>
      </c>
      <c r="C86" t="s">
        <v>57</v>
      </c>
      <c r="D86">
        <f t="shared" si="3"/>
        <v>4</v>
      </c>
      <c r="E86" s="2" t="s">
        <v>1038</v>
      </c>
      <c r="G86" s="11">
        <f>ROUND(('Parameters definition'!C329)*32768,0)</f>
        <v>532</v>
      </c>
      <c r="H86" s="9" t="str">
        <f>IF(G86&lt;&gt;"",IF(C86="float32",FLOAT2HEX(G86),DEC2HEX(G86,8)),"")</f>
        <v>00000214</v>
      </c>
      <c r="I86" s="9">
        <f>IF(G86&lt;&gt;"",HEX2DEC(H86),"")</f>
        <v>532</v>
      </c>
    </row>
    <row r="87" spans="1:9" ht="15" customHeight="1">
      <c r="A87" s="56">
        <f>IF(I87&lt;&gt;"",MAX(A$1:A86)+1,"")</f>
        <v>80</v>
      </c>
      <c r="B87" s="45" t="s">
        <v>907</v>
      </c>
      <c r="C87" t="s">
        <v>57</v>
      </c>
      <c r="D87">
        <f t="shared" si="3"/>
        <v>4</v>
      </c>
      <c r="E87" s="2" t="s">
        <v>908</v>
      </c>
      <c r="G87" s="11">
        <f>ROUND(('Parameters definition'!C263)/BASE_CURRENT*32768,0)</f>
        <v>3986</v>
      </c>
      <c r="H87" s="9" t="str">
        <f>IF(G87&lt;&gt;"",IF(C87="float32",FLOAT2HEX(G87),DEC2HEX(G87,8)),"")</f>
        <v>00000F92</v>
      </c>
      <c r="I87" s="9">
        <f t="shared" si="1"/>
        <v>3986</v>
      </c>
    </row>
    <row r="88" spans="1:9" ht="15" customHeight="1">
      <c r="A88" s="56">
        <f>IF(I88&lt;&gt;"",MAX(A$1:A87)+1,"")</f>
        <v>81</v>
      </c>
      <c r="B88" s="45" t="s">
        <v>1039</v>
      </c>
      <c r="C88" t="s">
        <v>57</v>
      </c>
      <c r="D88">
        <f t="shared" si="3"/>
        <v>4</v>
      </c>
      <c r="E88" s="2" t="s">
        <v>1040</v>
      </c>
      <c r="G88" s="11">
        <f>ROUND(('Parameters definition'!C330)*32768,0)</f>
        <v>551</v>
      </c>
      <c r="H88" s="9" t="str">
        <f>IF(G88&lt;&gt;"",IF(C88="float32",FLOAT2HEX(G88),DEC2HEX(G88,8)),"")</f>
        <v>00000227</v>
      </c>
      <c r="I88" s="9">
        <f>IF(G88&lt;&gt;"",HEX2DEC(H88),"")</f>
        <v>551</v>
      </c>
    </row>
    <row r="89" spans="1:9" ht="15" customHeight="1">
      <c r="A89" s="56">
        <f>IF(I89&lt;&gt;"",MAX(A$1:A88)+1,"")</f>
        <v>82</v>
      </c>
      <c r="B89" s="45" t="s">
        <v>909</v>
      </c>
      <c r="C89" t="s">
        <v>57</v>
      </c>
      <c r="D89">
        <f t="shared" si="3"/>
        <v>4</v>
      </c>
      <c r="E89" s="2" t="s">
        <v>910</v>
      </c>
      <c r="G89" s="11">
        <f>ROUND(('Parameters definition'!C264)/BASE_CURRENT*32768,0)</f>
        <v>4485</v>
      </c>
      <c r="H89" s="9" t="str">
        <f>IF(G89&lt;&gt;"",IF(C89="float32",FLOAT2HEX(G89),DEC2HEX(G89,8)),"")</f>
        <v>00001185</v>
      </c>
      <c r="I89" s="9">
        <f t="shared" si="1"/>
        <v>4485</v>
      </c>
    </row>
    <row r="90" spans="1:9" ht="15" customHeight="1">
      <c r="A90" s="56">
        <f>IF(I90&lt;&gt;"",MAX(A$1:A89)+1,"")</f>
        <v>83</v>
      </c>
      <c r="B90" s="45" t="s">
        <v>1041</v>
      </c>
      <c r="C90" t="s">
        <v>57</v>
      </c>
      <c r="D90">
        <f t="shared" si="3"/>
        <v>4</v>
      </c>
      <c r="E90" s="2" t="s">
        <v>1042</v>
      </c>
      <c r="G90" s="11">
        <f>ROUND(('Parameters definition'!C331)*32768,0)</f>
        <v>572</v>
      </c>
      <c r="H90" s="9" t="str">
        <f>IF(G90&lt;&gt;"",IF(C90="float32",FLOAT2HEX(G90),DEC2HEX(G90,8)),"")</f>
        <v>0000023C</v>
      </c>
      <c r="I90" s="9">
        <f>IF(G90&lt;&gt;"",HEX2DEC(H90),"")</f>
        <v>572</v>
      </c>
    </row>
    <row r="91" spans="1:9" ht="15" customHeight="1">
      <c r="A91" s="56">
        <f>IF(I91&lt;&gt;"",MAX(A$1:A90)+1,"")</f>
        <v>84</v>
      </c>
      <c r="B91" s="45" t="s">
        <v>911</v>
      </c>
      <c r="C91" t="s">
        <v>57</v>
      </c>
      <c r="D91">
        <f t="shared" si="3"/>
        <v>4</v>
      </c>
      <c r="E91" s="2" t="s">
        <v>912</v>
      </c>
      <c r="G91" s="11">
        <f>ROUND(('Parameters definition'!C265)/BASE_CURRENT*32768,0)</f>
        <v>4983</v>
      </c>
      <c r="H91" s="9" t="str">
        <f>IF(G91&lt;&gt;"",IF(C91="float32",FLOAT2HEX(G91),DEC2HEX(G91,8)),"")</f>
        <v>00001377</v>
      </c>
      <c r="I91" s="9">
        <f t="shared" si="1"/>
        <v>4983</v>
      </c>
    </row>
    <row r="92" spans="1:9" ht="15" customHeight="1">
      <c r="A92" s="56">
        <f>IF(I92&lt;&gt;"",MAX(A$1:A91)+1,"")</f>
        <v>85</v>
      </c>
      <c r="B92" s="45" t="s">
        <v>1043</v>
      </c>
      <c r="C92" t="s">
        <v>57</v>
      </c>
      <c r="D92">
        <f t="shared" si="3"/>
        <v>4</v>
      </c>
      <c r="E92" s="2" t="s">
        <v>1044</v>
      </c>
      <c r="G92" s="11">
        <f>ROUND(('Parameters definition'!C332)*32768,0)</f>
        <v>598</v>
      </c>
      <c r="H92" s="9" t="str">
        <f>IF(G92&lt;&gt;"",IF(C92="float32",FLOAT2HEX(G92),DEC2HEX(G92,8)),"")</f>
        <v>00000256</v>
      </c>
      <c r="I92" s="9">
        <f>IF(G92&lt;&gt;"",HEX2DEC(H92),"")</f>
        <v>598</v>
      </c>
    </row>
    <row r="93" spans="1:9" ht="15" customHeight="1">
      <c r="A93" s="56">
        <f>IF(I93&lt;&gt;"",MAX(A$1:A92)+1,"")</f>
        <v>86</v>
      </c>
      <c r="B93" s="45" t="s">
        <v>913</v>
      </c>
      <c r="C93" t="s">
        <v>57</v>
      </c>
      <c r="D93">
        <f t="shared" si="3"/>
        <v>4</v>
      </c>
      <c r="E93" s="2" t="s">
        <v>914</v>
      </c>
      <c r="G93" s="11">
        <f>ROUND(('Parameters definition'!C266)/BASE_CURRENT*32768,0)</f>
        <v>5481</v>
      </c>
      <c r="H93" s="9" t="str">
        <f>IF(G93&lt;&gt;"",IF(C93="float32",FLOAT2HEX(G93),DEC2HEX(G93,8)),"")</f>
        <v>00001569</v>
      </c>
      <c r="I93" s="9">
        <f t="shared" si="1"/>
        <v>5481</v>
      </c>
    </row>
    <row r="94" spans="1:9" ht="15" customHeight="1">
      <c r="A94" s="56">
        <f>IF(I94&lt;&gt;"",MAX(A$1:A93)+1,"")</f>
        <v>87</v>
      </c>
      <c r="B94" s="45" t="s">
        <v>1045</v>
      </c>
      <c r="C94" t="s">
        <v>57</v>
      </c>
      <c r="D94">
        <f t="shared" si="3"/>
        <v>4</v>
      </c>
      <c r="E94" s="2" t="s">
        <v>1046</v>
      </c>
      <c r="G94" s="11">
        <f>ROUND(('Parameters definition'!C333)*32768,0)</f>
        <v>627</v>
      </c>
      <c r="H94" s="9" t="str">
        <f>IF(G94&lt;&gt;"",IF(C94="float32",FLOAT2HEX(G94),DEC2HEX(G94,8)),"")</f>
        <v>00000273</v>
      </c>
      <c r="I94" s="9">
        <f>IF(G94&lt;&gt;"",HEX2DEC(H94),"")</f>
        <v>627</v>
      </c>
    </row>
    <row r="95" spans="1:9" ht="15" customHeight="1">
      <c r="A95" s="56">
        <f>IF(I95&lt;&gt;"",MAX(A$1:A94)+1,"")</f>
        <v>88</v>
      </c>
      <c r="B95" s="45" t="s">
        <v>915</v>
      </c>
      <c r="C95" t="s">
        <v>57</v>
      </c>
      <c r="D95">
        <f t="shared" si="3"/>
        <v>4</v>
      </c>
      <c r="E95" s="2" t="s">
        <v>916</v>
      </c>
      <c r="G95" s="11">
        <f>ROUND(('Parameters definition'!C267)/BASE_CURRENT*32768,0)</f>
        <v>5980</v>
      </c>
      <c r="H95" s="9" t="str">
        <f>IF(G95&lt;&gt;"",IF(C95="float32",FLOAT2HEX(G95),DEC2HEX(G95,8)),"")</f>
        <v>0000175C</v>
      </c>
      <c r="I95" s="9">
        <f t="shared" si="1"/>
        <v>5980</v>
      </c>
    </row>
    <row r="96" spans="1:9" ht="15" customHeight="1">
      <c r="A96" s="56">
        <f>IF(I96&lt;&gt;"",MAX(A$1:A95)+1,"")</f>
        <v>89</v>
      </c>
      <c r="B96" s="45" t="s">
        <v>1047</v>
      </c>
      <c r="C96" t="s">
        <v>57</v>
      </c>
      <c r="D96">
        <f t="shared" si="3"/>
        <v>4</v>
      </c>
      <c r="E96" s="2" t="s">
        <v>1048</v>
      </c>
      <c r="G96" s="11">
        <f>ROUND(('Parameters definition'!C334)*32768,0)</f>
        <v>657</v>
      </c>
      <c r="H96" s="9" t="str">
        <f>IF(G96&lt;&gt;"",IF(C96="float32",FLOAT2HEX(G96),DEC2HEX(G96,8)),"")</f>
        <v>00000291</v>
      </c>
      <c r="I96" s="9">
        <f>IF(G96&lt;&gt;"",HEX2DEC(H96),"")</f>
        <v>657</v>
      </c>
    </row>
    <row r="97" spans="1:9" ht="15" customHeight="1">
      <c r="A97" s="56">
        <f>IF(I97&lt;&gt;"",MAX(A$1:A96)+1,"")</f>
        <v>90</v>
      </c>
      <c r="B97" s="45" t="s">
        <v>917</v>
      </c>
      <c r="C97" t="s">
        <v>57</v>
      </c>
      <c r="D97">
        <f t="shared" si="3"/>
        <v>4</v>
      </c>
      <c r="E97" s="2" t="s">
        <v>918</v>
      </c>
      <c r="G97" s="11">
        <f>ROUND(('Parameters definition'!C268)/BASE_CURRENT*32768,0)</f>
        <v>6478</v>
      </c>
      <c r="H97" s="9" t="str">
        <f>IF(G97&lt;&gt;"",IF(C97="float32",FLOAT2HEX(G97),DEC2HEX(G97,8)),"")</f>
        <v>0000194E</v>
      </c>
      <c r="I97" s="9">
        <f t="shared" si="1"/>
        <v>6478</v>
      </c>
    </row>
    <row r="98" spans="1:9" ht="15" customHeight="1">
      <c r="A98" s="56">
        <f>IF(I98&lt;&gt;"",MAX(A$1:A97)+1,"")</f>
        <v>91</v>
      </c>
      <c r="B98" s="45" t="s">
        <v>1049</v>
      </c>
      <c r="C98" t="s">
        <v>57</v>
      </c>
      <c r="D98">
        <f t="shared" si="3"/>
        <v>4</v>
      </c>
      <c r="E98" s="2" t="s">
        <v>1050</v>
      </c>
      <c r="G98" s="11">
        <f>ROUND(('Parameters definition'!C335)*32768,0)</f>
        <v>686</v>
      </c>
      <c r="H98" s="9" t="str">
        <f>IF(G98&lt;&gt;"",IF(C98="float32",FLOAT2HEX(G98),DEC2HEX(G98,8)),"")</f>
        <v>000002AE</v>
      </c>
      <c r="I98" s="9">
        <f>IF(G98&lt;&gt;"",HEX2DEC(H98),"")</f>
        <v>686</v>
      </c>
    </row>
    <row r="99" spans="1:9" ht="15" customHeight="1">
      <c r="A99" s="56">
        <f>IF(I99&lt;&gt;"",MAX(A$1:A98)+1,"")</f>
        <v>92</v>
      </c>
      <c r="B99" s="45" t="s">
        <v>919</v>
      </c>
      <c r="C99" t="s">
        <v>57</v>
      </c>
      <c r="D99">
        <f t="shared" si="3"/>
        <v>4</v>
      </c>
      <c r="E99" s="2" t="s">
        <v>920</v>
      </c>
      <c r="G99" s="11">
        <f>ROUND(('Parameters definition'!C269)/BASE_CURRENT*32768,0)</f>
        <v>6976</v>
      </c>
      <c r="H99" s="9" t="str">
        <f>IF(G99&lt;&gt;"",IF(C99="float32",FLOAT2HEX(G99),DEC2HEX(G99,8)),"")</f>
        <v>00001B40</v>
      </c>
      <c r="I99" s="9">
        <f t="shared" si="1"/>
        <v>6976</v>
      </c>
    </row>
    <row r="100" spans="1:9" ht="15" customHeight="1">
      <c r="A100" s="56">
        <f>IF(I100&lt;&gt;"",MAX(A$1:A99)+1,"")</f>
        <v>93</v>
      </c>
      <c r="B100" s="45" t="s">
        <v>1051</v>
      </c>
      <c r="C100" t="s">
        <v>57</v>
      </c>
      <c r="D100">
        <f t="shared" si="3"/>
        <v>4</v>
      </c>
      <c r="E100" s="2" t="s">
        <v>1052</v>
      </c>
      <c r="G100" s="11">
        <f>ROUND(('Parameters definition'!C336)*32768,0)</f>
        <v>687</v>
      </c>
      <c r="H100" s="9" t="str">
        <f>IF(G100&lt;&gt;"",IF(C100="float32",FLOAT2HEX(G100),DEC2HEX(G100,8)),"")</f>
        <v>000002AF</v>
      </c>
      <c r="I100" s="9">
        <f>IF(G100&lt;&gt;"",HEX2DEC(H100),"")</f>
        <v>687</v>
      </c>
    </row>
    <row r="101" spans="1:9" ht="15" customHeight="1">
      <c r="A101" s="56">
        <f>IF(I101&lt;&gt;"",MAX(A$1:A100)+1,"")</f>
        <v>94</v>
      </c>
      <c r="B101" s="45" t="s">
        <v>921</v>
      </c>
      <c r="C101" t="s">
        <v>57</v>
      </c>
      <c r="D101">
        <f t="shared" si="3"/>
        <v>4</v>
      </c>
      <c r="E101" s="2" t="s">
        <v>922</v>
      </c>
      <c r="G101" s="11">
        <f>ROUND(('Parameters definition'!C270)/BASE_CURRENT*32768,0)</f>
        <v>7474</v>
      </c>
      <c r="H101" s="9" t="str">
        <f>IF(G101&lt;&gt;"",IF(C101="float32",FLOAT2HEX(G101),DEC2HEX(G101,8)),"")</f>
        <v>00001D32</v>
      </c>
      <c r="I101" s="9">
        <f t="shared" si="1"/>
        <v>7474</v>
      </c>
    </row>
    <row r="102" spans="1:9" ht="15" customHeight="1">
      <c r="A102" s="56">
        <f>IF(I102&lt;&gt;"",MAX(A$1:A101)+1,"")</f>
        <v>95</v>
      </c>
      <c r="B102" s="45" t="s">
        <v>1053</v>
      </c>
      <c r="C102" t="s">
        <v>57</v>
      </c>
      <c r="D102">
        <f t="shared" si="3"/>
        <v>4</v>
      </c>
      <c r="E102" s="2" t="s">
        <v>1054</v>
      </c>
      <c r="G102" s="11">
        <f>ROUND(('Parameters definition'!C337)*32768,0)</f>
        <v>720</v>
      </c>
      <c r="H102" s="9" t="str">
        <f>IF(G102&lt;&gt;"",IF(C102="float32",FLOAT2HEX(G102),DEC2HEX(G102,8)),"")</f>
        <v>000002D0</v>
      </c>
      <c r="I102" s="9">
        <f>IF(G102&lt;&gt;"",HEX2DEC(H102),"")</f>
        <v>720</v>
      </c>
    </row>
    <row r="103" spans="1:9" ht="15" customHeight="1">
      <c r="A103" s="56">
        <f>IF(I103&lt;&gt;"",MAX(A$1:A102)+1,"")</f>
        <v>96</v>
      </c>
      <c r="B103" s="45" t="s">
        <v>923</v>
      </c>
      <c r="C103" t="s">
        <v>57</v>
      </c>
      <c r="D103">
        <f t="shared" ref="D103:D120" si="4">IF(OR(C103="sint64",C103="uint64",C103="double64"), 8, IF(OR(C103="sint32",C103="uint32",C103="float32"),4,IF(OR(C103="sint16",C103="uint16"),2,  IF(OR(C103="sint8",C103="uint8"),1,""))))</f>
        <v>4</v>
      </c>
      <c r="E103" s="2" t="s">
        <v>924</v>
      </c>
      <c r="G103" s="11">
        <f>ROUND(('Parameters definition'!C271)/BASE_CURRENT*32768,0)</f>
        <v>7973</v>
      </c>
      <c r="H103" s="9" t="str">
        <f>IF(G103&lt;&gt;"",IF(C103="float32",FLOAT2HEX(G103),DEC2HEX(G103,8)),"")</f>
        <v>00001F25</v>
      </c>
      <c r="I103" s="9">
        <f t="shared" si="1"/>
        <v>7973</v>
      </c>
    </row>
    <row r="104" spans="1:9" ht="15" customHeight="1">
      <c r="A104" s="56">
        <f>IF(I104&lt;&gt;"",MAX(A$1:A103)+1,"")</f>
        <v>97</v>
      </c>
      <c r="B104" s="45" t="s">
        <v>1055</v>
      </c>
      <c r="C104" t="s">
        <v>57</v>
      </c>
      <c r="D104">
        <f t="shared" si="4"/>
        <v>4</v>
      </c>
      <c r="E104" s="2" t="s">
        <v>1056</v>
      </c>
      <c r="G104" s="11">
        <f>ROUND(('Parameters definition'!C338)*32768,0)</f>
        <v>739</v>
      </c>
      <c r="H104" s="9" t="str">
        <f>IF(G104&lt;&gt;"",IF(C104="float32",FLOAT2HEX(G104),DEC2HEX(G104,8)),"")</f>
        <v>000002E3</v>
      </c>
      <c r="I104" s="9">
        <f>IF(G104&lt;&gt;"",HEX2DEC(H104),"")</f>
        <v>739</v>
      </c>
    </row>
    <row r="105" spans="1:9" ht="15" customHeight="1">
      <c r="A105" s="56">
        <f>IF(I105&lt;&gt;"",MAX(A$1:A104)+1,"")</f>
        <v>98</v>
      </c>
      <c r="B105" s="45" t="s">
        <v>925</v>
      </c>
      <c r="C105" t="s">
        <v>57</v>
      </c>
      <c r="D105">
        <f t="shared" si="4"/>
        <v>4</v>
      </c>
      <c r="E105" s="2" t="s">
        <v>926</v>
      </c>
      <c r="G105" s="11">
        <f>ROUND(('Parameters definition'!C272)/BASE_CURRENT*32768,0)</f>
        <v>8471</v>
      </c>
      <c r="H105" s="9" t="str">
        <f>IF(G105&lt;&gt;"",IF(C105="float32",FLOAT2HEX(G105),DEC2HEX(G105,8)),"")</f>
        <v>00002117</v>
      </c>
      <c r="I105" s="9">
        <f t="shared" si="1"/>
        <v>8471</v>
      </c>
    </row>
    <row r="106" spans="1:9" ht="15" customHeight="1">
      <c r="A106" s="56">
        <f>IF(I106&lt;&gt;"",MAX(A$1:A105)+1,"")</f>
        <v>99</v>
      </c>
      <c r="B106" s="45" t="s">
        <v>1057</v>
      </c>
      <c r="C106" t="s">
        <v>57</v>
      </c>
      <c r="D106">
        <f t="shared" si="4"/>
        <v>4</v>
      </c>
      <c r="E106" s="2" t="s">
        <v>1058</v>
      </c>
      <c r="G106" s="11">
        <f>ROUND(('Parameters definition'!C339)*32768,0)</f>
        <v>750</v>
      </c>
      <c r="H106" s="9" t="str">
        <f>IF(G106&lt;&gt;"",IF(C106="float32",FLOAT2HEX(G106),DEC2HEX(G106,8)),"")</f>
        <v>000002EE</v>
      </c>
      <c r="I106" s="9">
        <f>IF(G106&lt;&gt;"",HEX2DEC(H106),"")</f>
        <v>750</v>
      </c>
    </row>
    <row r="107" spans="1:9" ht="15" customHeight="1">
      <c r="A107" s="56">
        <f>IF(I107&lt;&gt;"",MAX(A$1:A106)+1,"")</f>
        <v>100</v>
      </c>
      <c r="B107" s="45" t="s">
        <v>927</v>
      </c>
      <c r="C107" t="s">
        <v>57</v>
      </c>
      <c r="D107">
        <f t="shared" si="4"/>
        <v>4</v>
      </c>
      <c r="E107" s="2" t="s">
        <v>928</v>
      </c>
      <c r="G107" s="11">
        <f>ROUND(('Parameters definition'!C273)/BASE_CURRENT*32768,0)</f>
        <v>8969</v>
      </c>
      <c r="H107" s="9" t="str">
        <f>IF(G107&lt;&gt;"",IF(C107="float32",FLOAT2HEX(G107),DEC2HEX(G107,8)),"")</f>
        <v>00002309</v>
      </c>
      <c r="I107" s="9">
        <f t="shared" si="1"/>
        <v>8969</v>
      </c>
    </row>
    <row r="108" spans="1:9" ht="15" customHeight="1">
      <c r="A108" s="56">
        <f>IF(I108&lt;&gt;"",MAX(A$1:A107)+1,"")</f>
        <v>101</v>
      </c>
      <c r="B108" s="45" t="s">
        <v>1059</v>
      </c>
      <c r="C108" t="s">
        <v>57</v>
      </c>
      <c r="D108">
        <f t="shared" si="4"/>
        <v>4</v>
      </c>
      <c r="E108" s="2" t="s">
        <v>1060</v>
      </c>
      <c r="G108" s="11">
        <f>ROUND(('Parameters definition'!C340)*32768,0)</f>
        <v>756</v>
      </c>
      <c r="H108" s="9" t="str">
        <f>IF(G108&lt;&gt;"",IF(C108="float32",FLOAT2HEX(G108),DEC2HEX(G108,8)),"")</f>
        <v>000002F4</v>
      </c>
      <c r="I108" s="9">
        <f>IF(G108&lt;&gt;"",HEX2DEC(H108),"")</f>
        <v>756</v>
      </c>
    </row>
    <row r="109" spans="1:9" ht="15" customHeight="1">
      <c r="A109" s="56">
        <f>IF(I109&lt;&gt;"",MAX(A$1:A108)+1,"")</f>
        <v>102</v>
      </c>
      <c r="B109" s="45" t="s">
        <v>929</v>
      </c>
      <c r="C109" t="s">
        <v>57</v>
      </c>
      <c r="D109">
        <f t="shared" si="4"/>
        <v>4</v>
      </c>
      <c r="E109" s="2" t="s">
        <v>930</v>
      </c>
      <c r="G109" s="11">
        <f>ROUND(('Parameters definition'!C274)/BASE_CURRENT*32768,0)</f>
        <v>9468</v>
      </c>
      <c r="H109" s="9" t="str">
        <f>IF(G109&lt;&gt;"",IF(C109="float32",FLOAT2HEX(G109),DEC2HEX(G109,8)),"")</f>
        <v>000024FC</v>
      </c>
      <c r="I109" s="9">
        <f t="shared" si="1"/>
        <v>9468</v>
      </c>
    </row>
    <row r="110" spans="1:9" ht="15" customHeight="1">
      <c r="A110" s="56">
        <f>IF(I110&lt;&gt;"",MAX(A$1:A109)+1,"")</f>
        <v>103</v>
      </c>
      <c r="B110" s="45" t="s">
        <v>1061</v>
      </c>
      <c r="C110" t="s">
        <v>57</v>
      </c>
      <c r="D110">
        <f t="shared" si="4"/>
        <v>4</v>
      </c>
      <c r="E110" s="2" t="s">
        <v>1062</v>
      </c>
      <c r="G110" s="11">
        <f>ROUND(('Parameters definition'!C341)*32768,0)</f>
        <v>760</v>
      </c>
      <c r="H110" s="9" t="str">
        <f>IF(G110&lt;&gt;"",IF(C110="float32",FLOAT2HEX(G110),DEC2HEX(G110,8)),"")</f>
        <v>000002F8</v>
      </c>
      <c r="I110" s="9">
        <f>IF(G110&lt;&gt;"",HEX2DEC(H110),"")</f>
        <v>760</v>
      </c>
    </row>
    <row r="111" spans="1:9" ht="15" customHeight="1">
      <c r="A111" s="56">
        <f>IF(I111&lt;&gt;"",MAX(A$1:A110)+1,"")</f>
        <v>104</v>
      </c>
      <c r="B111" s="45" t="s">
        <v>931</v>
      </c>
      <c r="C111" t="s">
        <v>57</v>
      </c>
      <c r="D111">
        <f t="shared" si="4"/>
        <v>4</v>
      </c>
      <c r="E111" s="2" t="s">
        <v>932</v>
      </c>
      <c r="G111" s="11">
        <f>ROUND(('Parameters definition'!C275)/BASE_CURRENT*32768,0)</f>
        <v>9966</v>
      </c>
      <c r="H111" s="9" t="str">
        <f>IF(G111&lt;&gt;"",IF(C111="float32",FLOAT2HEX(G111),DEC2HEX(G111,8)),"")</f>
        <v>000026EE</v>
      </c>
      <c r="I111" s="9">
        <f t="shared" si="1"/>
        <v>9966</v>
      </c>
    </row>
    <row r="112" spans="1:9" ht="15" customHeight="1">
      <c r="A112" s="56">
        <f>IF(I112&lt;&gt;"",MAX(A$1:A111)+1,"")</f>
        <v>105</v>
      </c>
      <c r="B112" s="45" t="s">
        <v>1063</v>
      </c>
      <c r="C112" t="s">
        <v>57</v>
      </c>
      <c r="D112">
        <f t="shared" si="4"/>
        <v>4</v>
      </c>
      <c r="E112" s="2" t="s">
        <v>1064</v>
      </c>
      <c r="G112" s="11">
        <f>ROUND(('Parameters definition'!C342)*32768,0)</f>
        <v>762</v>
      </c>
      <c r="H112" s="9" t="str">
        <f>IF(G112&lt;&gt;"",IF(C112="float32",FLOAT2HEX(G112),DEC2HEX(G112,8)),"")</f>
        <v>000002FA</v>
      </c>
      <c r="I112" s="9">
        <f>IF(G112&lt;&gt;"",HEX2DEC(H112),"")</f>
        <v>762</v>
      </c>
    </row>
    <row r="113" spans="1:9" ht="15" customHeight="1">
      <c r="A113" s="56">
        <f>IF(I113&lt;&gt;"",MAX(A$1:A112)+1,"")</f>
        <v>106</v>
      </c>
      <c r="B113" s="45" t="s">
        <v>933</v>
      </c>
      <c r="C113" t="s">
        <v>57</v>
      </c>
      <c r="D113">
        <f t="shared" si="4"/>
        <v>4</v>
      </c>
      <c r="E113" s="2" t="s">
        <v>934</v>
      </c>
      <c r="G113" s="11">
        <f>ROUND(('Parameters definition'!C276)/BASE_CURRENT*32768,0)</f>
        <v>10464</v>
      </c>
      <c r="H113" s="9" t="str">
        <f>IF(G113&lt;&gt;"",IF(C113="float32",FLOAT2HEX(G113),DEC2HEX(G113,8)),"")</f>
        <v>000028E0</v>
      </c>
      <c r="I113" s="9">
        <f t="shared" si="1"/>
        <v>10464</v>
      </c>
    </row>
    <row r="114" spans="1:9" ht="15" customHeight="1">
      <c r="A114" s="56">
        <f>IF(I114&lt;&gt;"",MAX(A$1:A113)+1,"")</f>
        <v>107</v>
      </c>
      <c r="B114" s="45" t="s">
        <v>1065</v>
      </c>
      <c r="C114" t="s">
        <v>57</v>
      </c>
      <c r="D114">
        <f t="shared" si="4"/>
        <v>4</v>
      </c>
      <c r="E114" s="2" t="s">
        <v>1066</v>
      </c>
      <c r="G114" s="11">
        <f>ROUND(('Parameters definition'!C343)*32768,0)</f>
        <v>765</v>
      </c>
      <c r="H114" s="9" t="str">
        <f>IF(G114&lt;&gt;"",IF(C114="float32",FLOAT2HEX(G114),DEC2HEX(G114,8)),"")</f>
        <v>000002FD</v>
      </c>
      <c r="I114" s="9">
        <f>IF(G114&lt;&gt;"",HEX2DEC(H114),"")</f>
        <v>765</v>
      </c>
    </row>
    <row r="115" spans="1:9" ht="15" customHeight="1">
      <c r="A115" s="56">
        <f>IF(I115&lt;&gt;"",MAX(A$1:A114)+1,"")</f>
        <v>108</v>
      </c>
      <c r="B115" s="45" t="s">
        <v>935</v>
      </c>
      <c r="C115" t="s">
        <v>57</v>
      </c>
      <c r="D115">
        <f t="shared" si="4"/>
        <v>4</v>
      </c>
      <c r="E115" s="2" t="s">
        <v>936</v>
      </c>
      <c r="G115" s="11">
        <f>ROUND(('Parameters definition'!C277)/BASE_CURRENT*32768,0)</f>
        <v>10963</v>
      </c>
      <c r="H115" s="9" t="str">
        <f>IF(G115&lt;&gt;"",IF(C115="float32",FLOAT2HEX(G115),DEC2HEX(G115,8)),"")</f>
        <v>00002AD3</v>
      </c>
      <c r="I115" s="9">
        <f t="shared" si="1"/>
        <v>10963</v>
      </c>
    </row>
    <row r="116" spans="1:9" ht="15" customHeight="1">
      <c r="A116" s="56">
        <f>IF(I116&lt;&gt;"",MAX(A$1:A115)+1,"")</f>
        <v>109</v>
      </c>
      <c r="B116" s="45" t="s">
        <v>1067</v>
      </c>
      <c r="C116" t="s">
        <v>57</v>
      </c>
      <c r="D116">
        <f t="shared" si="4"/>
        <v>4</v>
      </c>
      <c r="E116" s="2" t="s">
        <v>1068</v>
      </c>
      <c r="G116" s="11">
        <f>ROUND(('Parameters definition'!C344)*32768,0)</f>
        <v>769</v>
      </c>
      <c r="H116" s="9" t="str">
        <f>IF(G116&lt;&gt;"",IF(C116="float32",FLOAT2HEX(G116),DEC2HEX(G116,8)),"")</f>
        <v>00000301</v>
      </c>
      <c r="I116" s="9">
        <f>IF(G116&lt;&gt;"",HEX2DEC(H116),"")</f>
        <v>769</v>
      </c>
    </row>
    <row r="117" spans="1:9" ht="15" customHeight="1">
      <c r="A117" s="56">
        <f>IF(I117&lt;&gt;"",MAX(A$1:A116)+1,"")</f>
        <v>110</v>
      </c>
      <c r="B117" s="45" t="s">
        <v>937</v>
      </c>
      <c r="C117" t="s">
        <v>57</v>
      </c>
      <c r="D117">
        <f t="shared" si="4"/>
        <v>4</v>
      </c>
      <c r="E117" s="2" t="s">
        <v>938</v>
      </c>
      <c r="G117" s="11">
        <f>ROUND(('Parameters definition'!C278)/BASE_CURRENT*32768,0)</f>
        <v>11461</v>
      </c>
      <c r="H117" s="9" t="str">
        <f>IF(G117&lt;&gt;"",IF(C117="float32",FLOAT2HEX(G117),DEC2HEX(G117,8)),"")</f>
        <v>00002CC5</v>
      </c>
      <c r="I117" s="9">
        <f t="shared" si="1"/>
        <v>11461</v>
      </c>
    </row>
    <row r="118" spans="1:9" ht="15" customHeight="1">
      <c r="A118" s="56">
        <f>IF(I118&lt;&gt;"",MAX(A$1:A117)+1,"")</f>
        <v>111</v>
      </c>
      <c r="B118" s="45" t="s">
        <v>1069</v>
      </c>
      <c r="C118" t="s">
        <v>57</v>
      </c>
      <c r="D118">
        <f t="shared" si="4"/>
        <v>4</v>
      </c>
      <c r="E118" s="2" t="s">
        <v>1070</v>
      </c>
      <c r="G118" s="11">
        <f>ROUND(('Parameters definition'!C345)*32768,0)</f>
        <v>773</v>
      </c>
      <c r="H118" s="9" t="str">
        <f>IF(G118&lt;&gt;"",IF(C118="float32",FLOAT2HEX(G118),DEC2HEX(G118,8)),"")</f>
        <v>00000305</v>
      </c>
      <c r="I118" s="9">
        <f>IF(G118&lt;&gt;"",HEX2DEC(H118),"")</f>
        <v>773</v>
      </c>
    </row>
    <row r="119" spans="1:9" ht="15" customHeight="1">
      <c r="A119" s="56">
        <f>IF(I119&lt;&gt;"",MAX(A$1:A118)+1,"")</f>
        <v>112</v>
      </c>
      <c r="B119" s="45" t="s">
        <v>939</v>
      </c>
      <c r="C119" t="s">
        <v>57</v>
      </c>
      <c r="D119">
        <f t="shared" si="4"/>
        <v>4</v>
      </c>
      <c r="E119" s="2" t="s">
        <v>940</v>
      </c>
      <c r="G119" s="11">
        <f>ROUND(('Parameters definition'!C279)/BASE_CURRENT*32768,0)</f>
        <v>11959</v>
      </c>
      <c r="H119" s="9" t="str">
        <f>IF(G119&lt;&gt;"",IF(C119="float32",FLOAT2HEX(G119),DEC2HEX(G119,8)),"")</f>
        <v>00002EB7</v>
      </c>
      <c r="I119" s="9">
        <f t="shared" si="1"/>
        <v>11959</v>
      </c>
    </row>
    <row r="120" spans="1:9" ht="15" customHeight="1">
      <c r="A120" s="56">
        <f>IF(I120&lt;&gt;"",MAX(A$1:A119)+1,"")</f>
        <v>113</v>
      </c>
      <c r="B120" s="45" t="s">
        <v>1071</v>
      </c>
      <c r="C120" t="s">
        <v>57</v>
      </c>
      <c r="D120">
        <f t="shared" si="4"/>
        <v>4</v>
      </c>
      <c r="E120" s="2" t="s">
        <v>1072</v>
      </c>
      <c r="G120" s="11">
        <f>ROUND(('Parameters definition'!C346)*32768,0)</f>
        <v>778</v>
      </c>
      <c r="H120" s="9" t="str">
        <f>IF(G120&lt;&gt;"",IF(C120="float32",FLOAT2HEX(G120),DEC2HEX(G120,8)),"")</f>
        <v>0000030A</v>
      </c>
      <c r="I120" s="9">
        <f>IF(G120&lt;&gt;"",HEX2DEC(H120),"")</f>
        <v>778</v>
      </c>
    </row>
    <row r="121" spans="1:9" ht="15" customHeight="1">
      <c r="A121" s="56">
        <f>IF(I121&lt;&gt;"",MAX(A$1:A120)+1,"")</f>
        <v>114</v>
      </c>
      <c r="B121" s="45" t="s">
        <v>941</v>
      </c>
      <c r="C121" t="s">
        <v>57</v>
      </c>
      <c r="D121">
        <f t="shared" ref="D121:D137" si="5">IF(OR(C121="sint64",C121="uint64",C121="double64"), 8, IF(OR(C121="sint32",C121="uint32",C121="float32"),4,IF(OR(C121="sint16",C121="uint16"),2,  IF(OR(C121="sint8",C121="uint8"),1,""))))</f>
        <v>4</v>
      </c>
      <c r="E121" s="2" t="s">
        <v>942</v>
      </c>
      <c r="G121" s="11">
        <f>ROUND(('Parameters definition'!C280)/BASE_CURRENT*32768,0)</f>
        <v>12457</v>
      </c>
      <c r="H121" s="9" t="str">
        <f>IF(G121&lt;&gt;"",IF(C121="float32",FLOAT2HEX(G121),DEC2HEX(G121,8)),"")</f>
        <v>000030A9</v>
      </c>
      <c r="I121" s="9">
        <f t="shared" si="1"/>
        <v>12457</v>
      </c>
    </row>
    <row r="122" spans="1:9" ht="15" customHeight="1">
      <c r="A122" s="56">
        <f>IF(I122&lt;&gt;"",MAX(A$1:A121)+1,"")</f>
        <v>115</v>
      </c>
      <c r="B122" s="45" t="s">
        <v>1073</v>
      </c>
      <c r="C122" t="s">
        <v>57</v>
      </c>
      <c r="D122">
        <f>IF(OR(C122="sint64",C122="uint64",C122="double64"), 8, IF(OR(C122="sint32",C122="uint32",C122="float32"),4,IF(OR(C122="sint16",C122="uint16"),2,  IF(OR(C122="sint8",C122="uint8"),1,""))))</f>
        <v>4</v>
      </c>
      <c r="E122" s="2" t="s">
        <v>1074</v>
      </c>
      <c r="G122" s="11">
        <f>ROUND(('Parameters definition'!C347)*32768,0)</f>
        <v>783</v>
      </c>
      <c r="H122" s="9" t="str">
        <f>IF(G122&lt;&gt;"",IF(C122="float32",FLOAT2HEX(G122),DEC2HEX(G122,8)),"")</f>
        <v>0000030F</v>
      </c>
      <c r="I122" s="9">
        <f>IF(G122&lt;&gt;"",HEX2DEC(H122),"")</f>
        <v>783</v>
      </c>
    </row>
    <row r="123" spans="1:9" ht="15" customHeight="1">
      <c r="A123" s="56">
        <f>IF(I123&lt;&gt;"",MAX(A$1:A122)+1,"")</f>
        <v>116</v>
      </c>
      <c r="B123" s="45" t="s">
        <v>943</v>
      </c>
      <c r="C123" t="s">
        <v>57</v>
      </c>
      <c r="D123">
        <f t="shared" si="5"/>
        <v>4</v>
      </c>
      <c r="E123" s="2" t="s">
        <v>944</v>
      </c>
      <c r="G123" s="11">
        <f>ROUND(('Parameters definition'!C281)/BASE_CURRENT*32768,0)</f>
        <v>12956</v>
      </c>
      <c r="H123" s="9" t="str">
        <f>IF(G123&lt;&gt;"",IF(C123="float32",FLOAT2HEX(G123),DEC2HEX(G123,8)),"")</f>
        <v>0000329C</v>
      </c>
      <c r="I123" s="9">
        <f t="shared" ref="I123:I137" si="6">IF(G123&lt;&gt;"",HEX2DEC(H123),"")</f>
        <v>12956</v>
      </c>
    </row>
    <row r="124" spans="1:9" ht="15" customHeight="1">
      <c r="A124" s="56">
        <f>IF(I124&lt;&gt;"",MAX(A$1:A123)+1,"")</f>
        <v>117</v>
      </c>
      <c r="B124" s="45" t="s">
        <v>1075</v>
      </c>
      <c r="C124" t="s">
        <v>57</v>
      </c>
      <c r="D124">
        <f>IF(OR(C124="sint64",C124="uint64",C124="double64"), 8, IF(OR(C124="sint32",C124="uint32",C124="float32"),4,IF(OR(C124="sint16",C124="uint16"),2,  IF(OR(C124="sint8",C124="uint8"),1,""))))</f>
        <v>4</v>
      </c>
      <c r="E124" s="2" t="s">
        <v>1076</v>
      </c>
      <c r="G124" s="11">
        <f>ROUND(('Parameters definition'!C348)*32768,0)</f>
        <v>788</v>
      </c>
      <c r="H124" s="9" t="str">
        <f>IF(G124&lt;&gt;"",IF(C124="float32",FLOAT2HEX(G124),DEC2HEX(G124,8)),"")</f>
        <v>00000314</v>
      </c>
      <c r="I124" s="9">
        <f>IF(G124&lt;&gt;"",HEX2DEC(H124),"")</f>
        <v>788</v>
      </c>
    </row>
    <row r="125" spans="1:9" ht="15" customHeight="1">
      <c r="A125" s="56">
        <f>IF(I125&lt;&gt;"",MAX(A$1:A124)+1,"")</f>
        <v>118</v>
      </c>
      <c r="B125" s="45" t="s">
        <v>945</v>
      </c>
      <c r="C125" t="s">
        <v>57</v>
      </c>
      <c r="D125">
        <f t="shared" si="5"/>
        <v>4</v>
      </c>
      <c r="E125" s="2" t="s">
        <v>946</v>
      </c>
      <c r="G125" s="11">
        <f>ROUND(('Parameters definition'!C282)/BASE_CURRENT*32768,0)</f>
        <v>13454</v>
      </c>
      <c r="H125" s="9" t="str">
        <f>IF(G125&lt;&gt;"",IF(C125="float32",FLOAT2HEX(G125),DEC2HEX(G125,8)),"")</f>
        <v>0000348E</v>
      </c>
      <c r="I125" s="9">
        <f t="shared" si="6"/>
        <v>13454</v>
      </c>
    </row>
    <row r="126" spans="1:9" ht="15" customHeight="1">
      <c r="A126" s="56">
        <f>IF(I126&lt;&gt;"",MAX(A$1:A125)+1,"")</f>
        <v>119</v>
      </c>
      <c r="B126" s="45" t="s">
        <v>1077</v>
      </c>
      <c r="C126" t="s">
        <v>57</v>
      </c>
      <c r="D126">
        <f>IF(OR(C126="sint64",C126="uint64",C126="double64"), 8, IF(OR(C126="sint32",C126="uint32",C126="float32"),4,IF(OR(C126="sint16",C126="uint16"),2,  IF(OR(C126="sint8",C126="uint8"),1,""))))</f>
        <v>4</v>
      </c>
      <c r="E126" s="2" t="s">
        <v>1078</v>
      </c>
      <c r="G126" s="11">
        <f>ROUND(('Parameters definition'!C349)*32768,0)</f>
        <v>793</v>
      </c>
      <c r="H126" s="9" t="str">
        <f>IF(G126&lt;&gt;"",IF(C126="float32",FLOAT2HEX(G126),DEC2HEX(G126,8)),"")</f>
        <v>00000319</v>
      </c>
      <c r="I126" s="9">
        <f>IF(G126&lt;&gt;"",HEX2DEC(H126),"")</f>
        <v>793</v>
      </c>
    </row>
    <row r="127" spans="1:9" ht="15" customHeight="1">
      <c r="A127" s="56">
        <f>IF(I127&lt;&gt;"",MAX(A$1:A126)+1,"")</f>
        <v>120</v>
      </c>
      <c r="B127" s="45" t="s">
        <v>947</v>
      </c>
      <c r="C127" t="s">
        <v>57</v>
      </c>
      <c r="D127">
        <f t="shared" si="5"/>
        <v>4</v>
      </c>
      <c r="E127" s="2" t="s">
        <v>948</v>
      </c>
      <c r="G127" s="11">
        <f>ROUND(('Parameters definition'!C283)/BASE_CURRENT*32768,0)</f>
        <v>13952</v>
      </c>
      <c r="H127" s="9" t="str">
        <f>IF(G127&lt;&gt;"",IF(C127="float32",FLOAT2HEX(G127),DEC2HEX(G127,8)),"")</f>
        <v>00003680</v>
      </c>
      <c r="I127" s="9">
        <f t="shared" si="6"/>
        <v>13952</v>
      </c>
    </row>
    <row r="128" spans="1:9" ht="15" customHeight="1">
      <c r="A128" s="56">
        <f>IF(I128&lt;&gt;"",MAX(A$1:A127)+1,"")</f>
        <v>121</v>
      </c>
      <c r="B128" s="45" t="s">
        <v>1079</v>
      </c>
      <c r="C128" t="s">
        <v>57</v>
      </c>
      <c r="D128">
        <f>IF(OR(C128="sint64",C128="uint64",C128="double64"), 8, IF(OR(C128="sint32",C128="uint32",C128="float32"),4,IF(OR(C128="sint16",C128="uint16"),2,  IF(OR(C128="sint8",C128="uint8"),1,""))))</f>
        <v>4</v>
      </c>
      <c r="E128" s="2" t="s">
        <v>1080</v>
      </c>
      <c r="G128" s="11">
        <f>ROUND(('Parameters definition'!C350)*32768,0)</f>
        <v>796</v>
      </c>
      <c r="H128" s="9" t="str">
        <f>IF(G128&lt;&gt;"",IF(C128="float32",FLOAT2HEX(G128),DEC2HEX(G128,8)),"")</f>
        <v>0000031C</v>
      </c>
      <c r="I128" s="9">
        <f>IF(G128&lt;&gt;"",HEX2DEC(H128),"")</f>
        <v>796</v>
      </c>
    </row>
    <row r="129" spans="1:9" ht="15" customHeight="1">
      <c r="A129" s="56">
        <f>IF(I129&lt;&gt;"",MAX(A$1:A128)+1,"")</f>
        <v>122</v>
      </c>
      <c r="B129" s="45" t="s">
        <v>949</v>
      </c>
      <c r="C129" t="s">
        <v>57</v>
      </c>
      <c r="D129">
        <f t="shared" si="5"/>
        <v>4</v>
      </c>
      <c r="E129" s="2" t="s">
        <v>950</v>
      </c>
      <c r="G129" s="11">
        <f>ROUND(('Parameters definition'!C284)/BASE_CURRENT*32768,0)</f>
        <v>14451</v>
      </c>
      <c r="H129" s="9" t="str">
        <f>IF(G129&lt;&gt;"",IF(C129="float32",FLOAT2HEX(G129),DEC2HEX(G129,8)),"")</f>
        <v>00003873</v>
      </c>
      <c r="I129" s="9">
        <f t="shared" si="6"/>
        <v>14451</v>
      </c>
    </row>
    <row r="130" spans="1:9" ht="15" customHeight="1">
      <c r="A130" s="56">
        <f>IF(I130&lt;&gt;"",MAX(A$1:A129)+1,"")</f>
        <v>123</v>
      </c>
      <c r="B130" s="45" t="s">
        <v>1081</v>
      </c>
      <c r="C130" t="s">
        <v>57</v>
      </c>
      <c r="D130">
        <f>IF(OR(C130="sint64",C130="uint64",C130="double64"), 8, IF(OR(C130="sint32",C130="uint32",C130="float32"),4,IF(OR(C130="sint16",C130="uint16"),2,  IF(OR(C130="sint8",C130="uint8"),1,""))))</f>
        <v>4</v>
      </c>
      <c r="E130" s="2" t="s">
        <v>1082</v>
      </c>
      <c r="G130" s="11">
        <f>ROUND(('Parameters definition'!C351)*32768,0)</f>
        <v>800</v>
      </c>
      <c r="H130" s="9" t="str">
        <f>IF(G130&lt;&gt;"",IF(C130="float32",FLOAT2HEX(G130),DEC2HEX(G130,8)),"")</f>
        <v>00000320</v>
      </c>
      <c r="I130" s="9">
        <f>IF(G130&lt;&gt;"",HEX2DEC(H130),"")</f>
        <v>800</v>
      </c>
    </row>
    <row r="131" spans="1:9" ht="15" customHeight="1">
      <c r="A131" s="56">
        <f>IF(I131&lt;&gt;"",MAX(A$1:A130)+1,"")</f>
        <v>124</v>
      </c>
      <c r="B131" s="45" t="s">
        <v>951</v>
      </c>
      <c r="C131" t="s">
        <v>57</v>
      </c>
      <c r="D131">
        <f t="shared" si="5"/>
        <v>4</v>
      </c>
      <c r="E131" s="2" t="s">
        <v>952</v>
      </c>
      <c r="G131" s="11">
        <f>ROUND(('Parameters definition'!C285)/BASE_CURRENT*32768,0)</f>
        <v>14949</v>
      </c>
      <c r="H131" s="9" t="str">
        <f>IF(G131&lt;&gt;"",IF(C131="float32",FLOAT2HEX(G131),DEC2HEX(G131,8)),"")</f>
        <v>00003A65</v>
      </c>
      <c r="I131" s="9">
        <f t="shared" si="6"/>
        <v>14949</v>
      </c>
    </row>
    <row r="132" spans="1:9" ht="15" customHeight="1">
      <c r="A132" s="56">
        <f>IF(I132&lt;&gt;"",MAX(A$1:A131)+1,"")</f>
        <v>125</v>
      </c>
      <c r="B132" s="45" t="s">
        <v>1083</v>
      </c>
      <c r="C132" t="s">
        <v>57</v>
      </c>
      <c r="D132">
        <f>IF(OR(C132="sint64",C132="uint64",C132="double64"), 8, IF(OR(C132="sint32",C132="uint32",C132="float32"),4,IF(OR(C132="sint16",C132="uint16"),2,  IF(OR(C132="sint8",C132="uint8"),1,""))))</f>
        <v>4</v>
      </c>
      <c r="E132" s="2" t="s">
        <v>1084</v>
      </c>
      <c r="G132" s="11">
        <f>ROUND(('Parameters definition'!C352)*32768,0)</f>
        <v>803</v>
      </c>
      <c r="H132" s="9" t="str">
        <f>IF(G132&lt;&gt;"",IF(C132="float32",FLOAT2HEX(G132),DEC2HEX(G132,8)),"")</f>
        <v>00000323</v>
      </c>
      <c r="I132" s="9">
        <f>IF(G132&lt;&gt;"",HEX2DEC(H132),"")</f>
        <v>803</v>
      </c>
    </row>
    <row r="133" spans="1:9" ht="15" customHeight="1">
      <c r="A133" s="56">
        <f>IF(I133&lt;&gt;"",MAX(A$1:A132)+1,"")</f>
        <v>126</v>
      </c>
      <c r="B133" s="45" t="s">
        <v>953</v>
      </c>
      <c r="C133" t="s">
        <v>57</v>
      </c>
      <c r="D133">
        <f t="shared" si="5"/>
        <v>4</v>
      </c>
      <c r="E133" s="2" t="s">
        <v>954</v>
      </c>
      <c r="G133" s="11">
        <f>ROUND(('Parameters definition'!C286)/BASE_CURRENT*32768,0)</f>
        <v>15447</v>
      </c>
      <c r="H133" s="9" t="str">
        <f>IF(G133&lt;&gt;"",IF(C133="float32",FLOAT2HEX(G133),DEC2HEX(G133,8)),"")</f>
        <v>00003C57</v>
      </c>
      <c r="I133" s="9">
        <f t="shared" si="6"/>
        <v>15447</v>
      </c>
    </row>
    <row r="134" spans="1:9" ht="15" customHeight="1">
      <c r="A134" s="56">
        <f>IF(I134&lt;&gt;"",MAX(A$1:A133)+1,"")</f>
        <v>127</v>
      </c>
      <c r="B134" s="45" t="s">
        <v>1085</v>
      </c>
      <c r="C134" t="s">
        <v>57</v>
      </c>
      <c r="D134">
        <f>IF(OR(C134="sint64",C134="uint64",C134="double64"), 8, IF(OR(C134="sint32",C134="uint32",C134="float32"),4,IF(OR(C134="sint16",C134="uint16"),2,  IF(OR(C134="sint8",C134="uint8"),1,""))))</f>
        <v>4</v>
      </c>
      <c r="E134" s="2" t="s">
        <v>1086</v>
      </c>
      <c r="G134" s="11">
        <f>ROUND(('Parameters definition'!C353)*32768,0)</f>
        <v>807</v>
      </c>
      <c r="H134" s="9" t="str">
        <f>IF(G134&lt;&gt;"",IF(C134="float32",FLOAT2HEX(G134),DEC2HEX(G134,8)),"")</f>
        <v>00000327</v>
      </c>
      <c r="I134" s="9">
        <f>IF(G134&lt;&gt;"",HEX2DEC(H134),"")</f>
        <v>807</v>
      </c>
    </row>
    <row r="135" spans="1:9" ht="15" customHeight="1">
      <c r="A135" s="56">
        <f>IF(I135&lt;&gt;"",MAX(A$1:A134)+1,"")</f>
        <v>128</v>
      </c>
      <c r="B135" s="45" t="s">
        <v>955</v>
      </c>
      <c r="C135" t="s">
        <v>57</v>
      </c>
      <c r="D135">
        <f t="shared" si="5"/>
        <v>4</v>
      </c>
      <c r="E135" s="2" t="s">
        <v>956</v>
      </c>
      <c r="G135" s="11">
        <f>ROUND(('Parameters definition'!C287)/BASE_CURRENT*32768,0)</f>
        <v>15945</v>
      </c>
      <c r="H135" s="9" t="str">
        <f>IF(G135&lt;&gt;"",IF(C135="float32",FLOAT2HEX(G135),DEC2HEX(G135,8)),"")</f>
        <v>00003E49</v>
      </c>
      <c r="I135" s="9">
        <f t="shared" si="6"/>
        <v>15945</v>
      </c>
    </row>
    <row r="136" spans="1:9" ht="15" customHeight="1">
      <c r="A136" s="56">
        <f>IF(I136&lt;&gt;"",MAX(A$1:A135)+1,"")</f>
        <v>129</v>
      </c>
      <c r="B136" s="45" t="s">
        <v>1087</v>
      </c>
      <c r="C136" t="s">
        <v>57</v>
      </c>
      <c r="D136">
        <f>IF(OR(C136="sint64",C136="uint64",C136="double64"), 8, IF(OR(C136="sint32",C136="uint32",C136="float32"),4,IF(OR(C136="sint16",C136="uint16"),2,  IF(OR(C136="sint8",C136="uint8"),1,""))))</f>
        <v>4</v>
      </c>
      <c r="E136" s="2" t="s">
        <v>1088</v>
      </c>
      <c r="G136" s="11">
        <f>ROUND(('Parameters definition'!C354)*32768,0)</f>
        <v>814</v>
      </c>
      <c r="H136" s="9" t="str">
        <f>IF(G136&lt;&gt;"",IF(C136="float32",FLOAT2HEX(G136),DEC2HEX(G136,8)),"")</f>
        <v>0000032E</v>
      </c>
      <c r="I136" s="9">
        <f>IF(G136&lt;&gt;"",HEX2DEC(H136),"")</f>
        <v>814</v>
      </c>
    </row>
    <row r="137" spans="1:9" ht="15" customHeight="1">
      <c r="A137" s="56">
        <f>IF(I137&lt;&gt;"",MAX(A$1:A136)+1,"")</f>
        <v>130</v>
      </c>
      <c r="B137" s="45" t="s">
        <v>957</v>
      </c>
      <c r="C137" t="s">
        <v>57</v>
      </c>
      <c r="D137">
        <f t="shared" si="5"/>
        <v>4</v>
      </c>
      <c r="E137" s="2" t="s">
        <v>958</v>
      </c>
      <c r="G137" s="11">
        <f>ROUND(('Parameters definition'!C288)/BASE_CURRENT*32768,0)</f>
        <v>15945</v>
      </c>
      <c r="H137" s="9" t="str">
        <f>IF(G137&lt;&gt;"",IF(C137="float32",FLOAT2HEX(G137),DEC2HEX(G137,8)),"")</f>
        <v>00003E49</v>
      </c>
      <c r="I137" s="9">
        <f t="shared" si="6"/>
        <v>15945</v>
      </c>
    </row>
    <row r="138" spans="1:9" ht="15" customHeight="1">
      <c r="A138" s="56">
        <f>IF(I138&lt;&gt;"",MAX(A$1:A137)+1,"")</f>
        <v>131</v>
      </c>
      <c r="B138" s="45" t="s">
        <v>1089</v>
      </c>
      <c r="C138" t="s">
        <v>57</v>
      </c>
      <c r="D138">
        <f>IF(OR(C138="sint64",C138="uint64",C138="double64"), 8, IF(OR(C138="sint32",C138="uint32",C138="float32"),4,IF(OR(C138="sint16",C138="uint16"),2,  IF(OR(C138="sint8",C138="uint8"),1,""))))</f>
        <v>4</v>
      </c>
      <c r="E138" s="2" t="s">
        <v>1090</v>
      </c>
      <c r="G138" s="11">
        <f>ROUND(('Parameters definition'!C355)*32768,0)</f>
        <v>814</v>
      </c>
      <c r="H138" s="9" t="str">
        <f>IF(G138&lt;&gt;"",IF(C138="float32",FLOAT2HEX(G138),DEC2HEX(G138,8)),"")</f>
        <v>0000032E</v>
      </c>
      <c r="I138" s="9">
        <f>IF(G138&lt;&gt;"",HEX2DEC(H138),"")</f>
        <v>814</v>
      </c>
    </row>
    <row r="139" spans="1:9">
      <c r="A139" s="96">
        <f>IF(I139&lt;&gt;"",MAX(A$1:A138)+1,"")</f>
        <v>132</v>
      </c>
      <c r="B139" s="97" t="s">
        <v>3118</v>
      </c>
      <c r="C139" s="103" t="s">
        <v>57</v>
      </c>
      <c r="D139" s="103">
        <f>IF(OR(C139="sint64",C139="uint64",C139="double64"), 8, IF(OR(C139="sint32",C139="uint32",C139="float32"),4,IF(OR(C139="sint16",C139="uint16"),2,  IF(OR(C139="sint8",C139="uint8"),1,""))))</f>
        <v>4</v>
      </c>
      <c r="E139" s="89" t="s">
        <v>3117</v>
      </c>
      <c r="F139" s="103"/>
      <c r="G139" s="103">
        <f>ROUND(BASE_CURRENT/('Parameters definition'!C224-'Parameters definition'!C223),0)</f>
        <v>66</v>
      </c>
      <c r="H139" s="94" t="str">
        <f>IF(G139&lt;&gt;"",IF(C139="float32",FLOAT2HEX(G139),DEC2HEX(G139,8)),"")</f>
        <v>00000042</v>
      </c>
      <c r="I139" s="94">
        <f>IF(G139&lt;&gt;"",HEX2DEC(H139),"")</f>
        <v>66</v>
      </c>
    </row>
    <row r="140" spans="1:9">
      <c r="A140" s="96">
        <f>IF(I140&lt;&gt;"",MAX(A$1:A139)+1,"")</f>
        <v>133</v>
      </c>
      <c r="B140" s="97" t="s">
        <v>3124</v>
      </c>
      <c r="C140" s="103" t="s">
        <v>57</v>
      </c>
      <c r="D140" s="103">
        <f>IF(OR(C140="sint64",C140="uint64",C140="double64"), 8, IF(OR(C140="sint32",C140="uint32",C140="float32"),4,IF(OR(C140="sint16",C140="uint16"),2,  IF(OR(C140="sint8",C140="uint8"),1,""))))</f>
        <v>4</v>
      </c>
      <c r="E140" s="89" t="s">
        <v>3125</v>
      </c>
      <c r="F140" s="103"/>
      <c r="G140" s="103">
        <f>(A138+1)/2-1</f>
        <v>65</v>
      </c>
      <c r="H140" s="94" t="str">
        <f>IF(G140&lt;&gt;"",IF(C140="float32",FLOAT2HEX(G140),DEC2HEX(G140,8)),"")</f>
        <v>00000041</v>
      </c>
      <c r="I140" s="94">
        <f>IF(G140&lt;&gt;"",HEX2DEC(H140),"")</f>
        <v>65</v>
      </c>
    </row>
    <row r="143" spans="1:9">
      <c r="A143" s="22"/>
      <c r="H143" s="9" t="str">
        <f>IF(G143&lt;&gt;"",IF(C143="float32",FLOAT2HEX(G143),DEC2HEX(G143,8)),"")</f>
        <v/>
      </c>
      <c r="I143" s="9" t="str">
        <f t="shared" ref="I143:I171" si="7">IF(G143&lt;&gt;"",HEX2DEC(H143),"")</f>
        <v/>
      </c>
    </row>
    <row r="144" spans="1:9">
      <c r="A144" s="22"/>
      <c r="H144" s="9" t="str">
        <f>IF(G144&lt;&gt;"",IF(C144="float32",FLOAT2HEX(G144),DEC2HEX(G144,8)),"")</f>
        <v/>
      </c>
      <c r="I144" s="9" t="str">
        <f t="shared" si="7"/>
        <v/>
      </c>
    </row>
    <row r="145" spans="1:9">
      <c r="A145" s="22"/>
      <c r="H145" s="9" t="str">
        <f>IF(G145&lt;&gt;"",IF(C145="float32",FLOAT2HEX(G145),DEC2HEX(G145,8)),"")</f>
        <v/>
      </c>
      <c r="I145" s="9" t="str">
        <f t="shared" si="7"/>
        <v/>
      </c>
    </row>
    <row r="146" spans="1:9">
      <c r="A146" s="22"/>
      <c r="H146" s="9" t="str">
        <f>IF(G146&lt;&gt;"",IF(C146="float32",FLOAT2HEX(G146),DEC2HEX(G146,8)),"")</f>
        <v/>
      </c>
      <c r="I146" s="9" t="str">
        <f t="shared" si="7"/>
        <v/>
      </c>
    </row>
    <row r="147" spans="1:9">
      <c r="A147" s="22"/>
      <c r="H147" s="9" t="str">
        <f>IF(G147&lt;&gt;"",IF(C147="float32",FLOAT2HEX(G147),DEC2HEX(G147,8)),"")</f>
        <v/>
      </c>
      <c r="I147" s="9" t="str">
        <f t="shared" si="7"/>
        <v/>
      </c>
    </row>
    <row r="148" spans="1:9">
      <c r="A148" s="22"/>
      <c r="H148" s="9" t="str">
        <f>IF(G148&lt;&gt;"",IF(C148="float32",FLOAT2HEX(G148),DEC2HEX(G148,8)),"")</f>
        <v/>
      </c>
      <c r="I148" s="9" t="str">
        <f t="shared" si="7"/>
        <v/>
      </c>
    </row>
    <row r="149" spans="1:9">
      <c r="A149" s="22"/>
      <c r="H149" s="9" t="str">
        <f>IF(G149&lt;&gt;"",IF(C149="float32",FLOAT2HEX(G149),DEC2HEX(G149,8)),"")</f>
        <v/>
      </c>
      <c r="I149" s="9" t="str">
        <f t="shared" si="7"/>
        <v/>
      </c>
    </row>
    <row r="150" spans="1:9">
      <c r="A150" s="22"/>
      <c r="H150" s="9" t="str">
        <f>IF(G150&lt;&gt;"",IF(C150="float32",FLOAT2HEX(G150),DEC2HEX(G150,8)),"")</f>
        <v/>
      </c>
      <c r="I150" s="9" t="str">
        <f t="shared" si="7"/>
        <v/>
      </c>
    </row>
    <row r="151" spans="1:9">
      <c r="A151" s="22"/>
      <c r="H151" s="9" t="str">
        <f>IF(G151&lt;&gt;"",IF(C151="float32",FLOAT2HEX(G151),DEC2HEX(G151,8)),"")</f>
        <v/>
      </c>
      <c r="I151" s="9" t="str">
        <f t="shared" si="7"/>
        <v/>
      </c>
    </row>
    <row r="152" spans="1:9">
      <c r="A152" s="22"/>
      <c r="H152" s="9" t="str">
        <f>IF(G152&lt;&gt;"",IF(C152="float32",FLOAT2HEX(G152),DEC2HEX(G152,8)),"")</f>
        <v/>
      </c>
      <c r="I152" s="9" t="str">
        <f t="shared" si="7"/>
        <v/>
      </c>
    </row>
    <row r="153" spans="1:9">
      <c r="A153" s="22"/>
      <c r="H153" s="9" t="str">
        <f>IF(G153&lt;&gt;"",IF(C153="float32",FLOAT2HEX(G153),DEC2HEX(G153,8)),"")</f>
        <v/>
      </c>
      <c r="I153" s="9" t="str">
        <f t="shared" si="7"/>
        <v/>
      </c>
    </row>
    <row r="154" spans="1:9">
      <c r="A154" s="22"/>
      <c r="H154" s="9" t="str">
        <f>IF(G154&lt;&gt;"",IF(C154="float32",FLOAT2HEX(G154),DEC2HEX(G154,8)),"")</f>
        <v/>
      </c>
      <c r="I154" s="9" t="str">
        <f t="shared" si="7"/>
        <v/>
      </c>
    </row>
    <row r="155" spans="1:9">
      <c r="A155" s="22"/>
      <c r="H155" s="9" t="str">
        <f>IF(G155&lt;&gt;"",IF(C155="float32",FLOAT2HEX(G155),DEC2HEX(G155,8)),"")</f>
        <v/>
      </c>
      <c r="I155" s="9" t="str">
        <f t="shared" si="7"/>
        <v/>
      </c>
    </row>
    <row r="156" spans="1:9">
      <c r="A156" s="22"/>
      <c r="H156" s="9" t="str">
        <f>IF(G156&lt;&gt;"",IF(C156="float32",FLOAT2HEX(G156),DEC2HEX(G156,8)),"")</f>
        <v/>
      </c>
      <c r="I156" s="9" t="str">
        <f t="shared" si="7"/>
        <v/>
      </c>
    </row>
    <row r="157" spans="1:9">
      <c r="A157" s="22"/>
      <c r="H157" s="9" t="str">
        <f>IF(G157&lt;&gt;"",IF(C157="float32",FLOAT2HEX(G157),DEC2HEX(G157,8)),"")</f>
        <v/>
      </c>
      <c r="I157" s="9" t="str">
        <f t="shared" si="7"/>
        <v/>
      </c>
    </row>
    <row r="158" spans="1:9">
      <c r="A158" s="22"/>
      <c r="H158" s="9" t="str">
        <f>IF(G158&lt;&gt;"",IF(C158="float32",FLOAT2HEX(G158),DEC2HEX(G158,8)),"")</f>
        <v/>
      </c>
      <c r="I158" s="9" t="str">
        <f t="shared" si="7"/>
        <v/>
      </c>
    </row>
    <row r="159" spans="1:9">
      <c r="A159" s="22"/>
      <c r="H159" s="9" t="str">
        <f>IF(G159&lt;&gt;"",IF(C159="float32",FLOAT2HEX(G159),DEC2HEX(G159,8)),"")</f>
        <v/>
      </c>
      <c r="I159" s="9" t="str">
        <f t="shared" si="7"/>
        <v/>
      </c>
    </row>
    <row r="160" spans="1:9">
      <c r="A160" s="22" t="str">
        <f>IF(I160&lt;&gt;"",MAX(A$1:A159)+1,"")</f>
        <v/>
      </c>
      <c r="H160" s="9" t="str">
        <f>IF(G160&lt;&gt;"",IF(C160="float32",FLOAT2HEX(G160),DEC2HEX(G160,8)),"")</f>
        <v/>
      </c>
      <c r="I160" s="9" t="str">
        <f t="shared" si="7"/>
        <v/>
      </c>
    </row>
    <row r="161" spans="1:9">
      <c r="A161" s="22" t="str">
        <f>IF(I161&lt;&gt;"",MAX(A$1:A160)+1,"")</f>
        <v/>
      </c>
      <c r="H161" s="9" t="str">
        <f>IF(G161&lt;&gt;"",IF(C161="float32",FLOAT2HEX(G161),DEC2HEX(G161,8)),"")</f>
        <v/>
      </c>
      <c r="I161" s="9" t="str">
        <f t="shared" si="7"/>
        <v/>
      </c>
    </row>
    <row r="162" spans="1:9">
      <c r="A162" s="22" t="str">
        <f>IF(I162&lt;&gt;"",MAX(A$1:A161)+1,"")</f>
        <v/>
      </c>
      <c r="H162" s="9" t="str">
        <f>IF(G162&lt;&gt;"",IF(C162="float32",FLOAT2HEX(G162),DEC2HEX(G162,8)),"")</f>
        <v/>
      </c>
      <c r="I162" s="9" t="str">
        <f t="shared" si="7"/>
        <v/>
      </c>
    </row>
    <row r="163" spans="1:9">
      <c r="A163" s="22" t="str">
        <f>IF(I163&lt;&gt;"",MAX(A$1:A162)+1,"")</f>
        <v/>
      </c>
      <c r="H163" s="9" t="str">
        <f>IF(G163&lt;&gt;"",IF(C163="float32",FLOAT2HEX(G163),DEC2HEX(G163,8)),"")</f>
        <v/>
      </c>
      <c r="I163" s="9" t="str">
        <f t="shared" si="7"/>
        <v/>
      </c>
    </row>
    <row r="164" spans="1:9">
      <c r="A164" s="22" t="str">
        <f>IF(I164&lt;&gt;"",MAX(A$1:A163)+1,"")</f>
        <v/>
      </c>
      <c r="H164" s="9" t="str">
        <f>IF(G164&lt;&gt;"",IF(C164="float32",FLOAT2HEX(G164),DEC2HEX(G164,8)),"")</f>
        <v/>
      </c>
      <c r="I164" s="9" t="str">
        <f t="shared" si="7"/>
        <v/>
      </c>
    </row>
    <row r="165" spans="1:9">
      <c r="A165" s="22" t="str">
        <f>IF(I165&lt;&gt;"",MAX(A$1:A164)+1,"")</f>
        <v/>
      </c>
      <c r="H165" s="9" t="str">
        <f>IF(G165&lt;&gt;"",IF(C165="float32",FLOAT2HEX(G165),DEC2HEX(G165,8)),"")</f>
        <v/>
      </c>
      <c r="I165" s="9" t="str">
        <f t="shared" si="7"/>
        <v/>
      </c>
    </row>
    <row r="166" spans="1:9">
      <c r="H166" s="9" t="str">
        <f>IF(G166&lt;&gt;"",IF(C166="float32",FLOAT2HEX(G166),DEC2HEX(G166,8)),"")</f>
        <v/>
      </c>
      <c r="I166" s="9" t="str">
        <f t="shared" si="7"/>
        <v/>
      </c>
    </row>
    <row r="167" spans="1:9">
      <c r="H167" s="9" t="str">
        <f>IF(G167&lt;&gt;"",IF(C167="float32",FLOAT2HEX(G167),DEC2HEX(G167,8)),"")</f>
        <v/>
      </c>
      <c r="I167" s="9" t="str">
        <f t="shared" si="7"/>
        <v/>
      </c>
    </row>
    <row r="168" spans="1:9">
      <c r="H168" s="9" t="str">
        <f>IF(G168&lt;&gt;"",IF(C168="float32",FLOAT2HEX(G168),DEC2HEX(G168,8)),"")</f>
        <v/>
      </c>
      <c r="I168" s="9" t="str">
        <f t="shared" si="7"/>
        <v/>
      </c>
    </row>
    <row r="169" spans="1:9">
      <c r="H169" s="9" t="str">
        <f>IF(G169&lt;&gt;"",IF(C169="float32",FLOAT2HEX(G169),DEC2HEX(G169,8)),"")</f>
        <v/>
      </c>
      <c r="I169" s="9" t="str">
        <f t="shared" si="7"/>
        <v/>
      </c>
    </row>
    <row r="170" spans="1:9">
      <c r="H170" s="9" t="str">
        <f>IF(G170&lt;&gt;"",IF(C170="float32",FLOAT2HEX(G170),DEC2HEX(G170,8)),"")</f>
        <v/>
      </c>
      <c r="I170" s="9" t="str">
        <f t="shared" si="7"/>
        <v/>
      </c>
    </row>
    <row r="171" spans="1:9">
      <c r="H171" s="9" t="str">
        <f>IF(G171&lt;&gt;"",IF(C171="float32",FLOAT2HEX(G171),DEC2HEX(G171,8)),"")</f>
        <v/>
      </c>
      <c r="I171" s="9" t="str">
        <f t="shared" si="7"/>
        <v/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3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5"/>
  <dimension ref="A1:U170"/>
  <sheetViews>
    <sheetView zoomScale="85" zoomScaleNormal="85" workbookViewId="0">
      <pane ySplit="5" topLeftCell="A147" activePane="bottomLeft" state="frozen"/>
      <selection activeCell="A285" sqref="A285"/>
      <selection pane="bottomLeft" activeCell="G170" sqref="G170"/>
    </sheetView>
  </sheetViews>
  <sheetFormatPr defaultRowHeight="1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1" width="9.140625" style="95"/>
    <col min="22" max="16384" width="9.140625" style="103"/>
  </cols>
  <sheetData>
    <row r="1" spans="1:21" ht="28.5" customHeight="1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  <c r="L1" s="10"/>
    </row>
    <row r="2" spans="1:21" s="94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6"/>
      <c r="M2" s="13"/>
      <c r="N2" s="13"/>
      <c r="O2" s="13"/>
      <c r="P2" s="13"/>
      <c r="Q2" s="13"/>
      <c r="R2" s="13"/>
      <c r="S2" s="13"/>
      <c r="T2" s="13"/>
      <c r="U2" s="13"/>
    </row>
    <row r="3" spans="1:21" s="94" customFormat="1" ht="19.5" customHeight="1">
      <c r="A3" s="23"/>
      <c r="B3" s="115" t="s">
        <v>194</v>
      </c>
      <c r="C3" s="115"/>
      <c r="D3" s="24">
        <f>SUM(D7:D1485)</f>
        <v>656</v>
      </c>
      <c r="E3" s="24"/>
      <c r="F3" s="24"/>
      <c r="G3" s="24"/>
      <c r="H3" s="25"/>
      <c r="I3" s="16"/>
      <c r="J3" s="16"/>
      <c r="K3" s="16"/>
      <c r="L3" s="16"/>
      <c r="M3" s="13"/>
      <c r="N3" s="13"/>
      <c r="O3" s="13"/>
      <c r="P3" s="13"/>
      <c r="Q3" s="13"/>
      <c r="R3" s="13"/>
      <c r="S3" s="13"/>
      <c r="T3" s="13"/>
      <c r="U3" s="13"/>
    </row>
    <row r="4" spans="1:21" s="94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6"/>
      <c r="M4" s="13"/>
      <c r="N4" s="13"/>
      <c r="O4" s="13"/>
      <c r="P4" s="13"/>
      <c r="Q4" s="13"/>
      <c r="R4" s="13"/>
      <c r="S4" s="13"/>
      <c r="T4" s="13"/>
      <c r="U4" s="13"/>
    </row>
    <row r="5" spans="1:21" s="94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6"/>
      <c r="M5" s="13"/>
      <c r="N5" s="13"/>
      <c r="O5" s="13"/>
      <c r="P5" s="13"/>
      <c r="Q5" s="13"/>
      <c r="R5" s="13"/>
      <c r="S5" s="13"/>
      <c r="T5" s="13"/>
      <c r="U5" s="13"/>
    </row>
    <row r="6" spans="1:21" s="94" customFormat="1" ht="20.25" customHeight="1">
      <c r="A6" s="96"/>
      <c r="B6" s="82" t="s">
        <v>1167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6"/>
      <c r="M6" s="13"/>
      <c r="N6" s="13"/>
      <c r="O6" s="13"/>
      <c r="P6" s="13"/>
      <c r="Q6" s="13"/>
      <c r="R6" s="13"/>
      <c r="S6" s="13"/>
      <c r="T6" s="13"/>
      <c r="U6" s="13"/>
    </row>
    <row r="7" spans="1:21" s="95" customFormat="1" ht="15" customHeight="1">
      <c r="A7" s="96">
        <v>0</v>
      </c>
      <c r="B7" s="97" t="s">
        <v>1330</v>
      </c>
      <c r="C7" s="103" t="s">
        <v>57</v>
      </c>
      <c r="D7" s="103">
        <f t="shared" ref="D7:D38" si="0">IF(OR(C7="sint64",C7="uint64",C7="double64"), 8, IF(OR(C7="sint32",C7="uint32",C7="float32"),4,IF(OR(C7="sint16",C7="uint16"),2,  IF(OR(C7="sint8",C7="uint8"),1,""))))</f>
        <v>4</v>
      </c>
      <c r="E7" s="89" t="s">
        <v>1492</v>
      </c>
      <c r="F7" s="103"/>
      <c r="G7" s="95">
        <f>ROUND((32768/BASE_TORQ) * MTPATorque_0,0)</f>
        <v>0</v>
      </c>
      <c r="H7" s="94" t="str">
        <f>IF(G7&lt;&gt;"",IF(C7="float32",FLOAT2HEX(G7),DEC2HEX(G7,8)),"")</f>
        <v>00000000</v>
      </c>
      <c r="I7" s="94">
        <f>IF(G7&lt;&gt;"",HEX2DEC(H7),"")</f>
        <v>0</v>
      </c>
    </row>
    <row r="8" spans="1:21" s="95" customFormat="1" ht="15" customHeight="1">
      <c r="A8" s="96">
        <f>IF(I8&lt;&gt;"",MAX(A$1:A7)+1,"")</f>
        <v>1</v>
      </c>
      <c r="B8" s="74" t="s">
        <v>1411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1493</v>
      </c>
      <c r="F8" s="103"/>
      <c r="G8" s="95">
        <f>ROUND((32768/BASE_FLUX) * MTPAFlux_0,0)</f>
        <v>8749</v>
      </c>
      <c r="H8" s="94" t="str">
        <f>IF(G8&lt;&gt;"",IF(C8="float32",FLOAT2HEX(G8),DEC2HEX(G8,8)),"")</f>
        <v>0000222D</v>
      </c>
      <c r="I8" s="94">
        <f>IF(G8&lt;&gt;"",HEX2DEC(H8),"")</f>
        <v>8749</v>
      </c>
    </row>
    <row r="9" spans="1:21" s="95" customFormat="1" ht="15" customHeight="1">
      <c r="A9" s="96">
        <f>IF(I9&lt;&gt;"",MAX(A$1:A8)+1,"")</f>
        <v>2</v>
      </c>
      <c r="B9" s="97" t="s">
        <v>1331</v>
      </c>
      <c r="C9" s="103" t="s">
        <v>57</v>
      </c>
      <c r="D9" s="103">
        <f t="shared" si="0"/>
        <v>4</v>
      </c>
      <c r="E9" s="89" t="s">
        <v>1494</v>
      </c>
      <c r="F9" s="103"/>
      <c r="G9" s="95">
        <f>ROUND((32768/BASE_TORQ) * MTPATorque_1,0)</f>
        <v>107</v>
      </c>
      <c r="H9" s="94" t="str">
        <f>IF(G9&lt;&gt;"",IF(C9="float32",FLOAT2HEX(G9),DEC2HEX(G9,8)),"")</f>
        <v>0000006B</v>
      </c>
      <c r="I9" s="94">
        <f>IF(G9&lt;&gt;"",HEX2DEC(H9),"")</f>
        <v>107</v>
      </c>
    </row>
    <row r="10" spans="1:21" s="95" customFormat="1" ht="15" customHeight="1">
      <c r="A10" s="96">
        <f>IF(I10&lt;&gt;"",MAX(A$1:A9)+1,"")</f>
        <v>3</v>
      </c>
      <c r="B10" s="74" t="s">
        <v>1412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1495</v>
      </c>
      <c r="F10" s="103"/>
      <c r="G10" s="95">
        <f>ROUND((32768/BASE_FLUX) * MTPAFlux_1,0)</f>
        <v>8749</v>
      </c>
      <c r="H10" s="94" t="str">
        <f>IF(G10&lt;&gt;"",IF(C10="float32",FLOAT2HEX(G10),DEC2HEX(G10,8)),"")</f>
        <v>0000222D</v>
      </c>
      <c r="I10" s="94">
        <f>IF(G10&lt;&gt;"",HEX2DEC(H10),"")</f>
        <v>8749</v>
      </c>
    </row>
    <row r="11" spans="1:21" s="95" customFormat="1" ht="15" customHeight="1">
      <c r="A11" s="96">
        <f>IF(I11&lt;&gt;"",MAX(A$1:A10)+1,"")</f>
        <v>4</v>
      </c>
      <c r="B11" s="97" t="s">
        <v>1332</v>
      </c>
      <c r="C11" s="103" t="s">
        <v>57</v>
      </c>
      <c r="D11" s="103">
        <f t="shared" si="0"/>
        <v>4</v>
      </c>
      <c r="E11" s="89" t="s">
        <v>1496</v>
      </c>
      <c r="F11" s="103"/>
      <c r="G11" s="95">
        <f>ROUND((32768/BASE_TORQ) * MTPATorque_2,0)</f>
        <v>215</v>
      </c>
      <c r="H11" s="94" t="str">
        <f>IF(G11&lt;&gt;"",IF(C11="float32",FLOAT2HEX(G11),DEC2HEX(G11,8)),"")</f>
        <v>000000D7</v>
      </c>
      <c r="I11" s="94">
        <f t="shared" ref="I11:I38" si="1">IF(G11&lt;&gt;"",HEX2DEC(H11),"")</f>
        <v>215</v>
      </c>
    </row>
    <row r="12" spans="1:21" s="95" customFormat="1" ht="15" customHeight="1">
      <c r="A12" s="96">
        <f>IF(I12&lt;&gt;"",MAX(A$1:A11)+1,"")</f>
        <v>5</v>
      </c>
      <c r="B12" s="74" t="s">
        <v>1413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1497</v>
      </c>
      <c r="F12" s="103"/>
      <c r="G12" s="95">
        <f>ROUND((32768/BASE_FLUX) * MTPAFlux_2,0)</f>
        <v>8773</v>
      </c>
      <c r="H12" s="94" t="str">
        <f>IF(G12&lt;&gt;"",IF(C12="float32",FLOAT2HEX(G12),DEC2HEX(G12,8)),"")</f>
        <v>00002245</v>
      </c>
      <c r="I12" s="94">
        <f>IF(G12&lt;&gt;"",HEX2DEC(H12),"")</f>
        <v>8773</v>
      </c>
    </row>
    <row r="13" spans="1:21" s="95" customFormat="1" ht="15" customHeight="1">
      <c r="A13" s="96">
        <f>IF(I13&lt;&gt;"",MAX(A$1:A12)+1,"")</f>
        <v>6</v>
      </c>
      <c r="B13" s="97" t="s">
        <v>1333</v>
      </c>
      <c r="C13" s="103" t="s">
        <v>57</v>
      </c>
      <c r="D13" s="103">
        <f t="shared" si="0"/>
        <v>4</v>
      </c>
      <c r="E13" s="89" t="s">
        <v>1498</v>
      </c>
      <c r="F13" s="103"/>
      <c r="G13" s="95">
        <f>ROUND((32768/BASE_TORQ) * MTPATorque_3,0)</f>
        <v>322</v>
      </c>
      <c r="H13" s="94" t="str">
        <f>IF(G13&lt;&gt;"",IF(C13="float32",FLOAT2HEX(G13),DEC2HEX(G13,8)),"")</f>
        <v>00000142</v>
      </c>
      <c r="I13" s="94">
        <f t="shared" si="1"/>
        <v>322</v>
      </c>
    </row>
    <row r="14" spans="1:21" s="95" customFormat="1" ht="15" customHeight="1">
      <c r="A14" s="96">
        <f>IF(I14&lt;&gt;"",MAX(A$1:A13)+1,"")</f>
        <v>7</v>
      </c>
      <c r="B14" s="74" t="s">
        <v>1414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1499</v>
      </c>
      <c r="F14" s="103"/>
      <c r="G14" s="95">
        <f>ROUND((32768/BASE_FLUX) * MTPAFlux_3,0)</f>
        <v>8797</v>
      </c>
      <c r="H14" s="94" t="str">
        <f>IF(G14&lt;&gt;"",IF(C14="float32",FLOAT2HEX(G14),DEC2HEX(G14,8)),"")</f>
        <v>0000225D</v>
      </c>
      <c r="I14" s="94">
        <f>IF(G14&lt;&gt;"",HEX2DEC(H14),"")</f>
        <v>8797</v>
      </c>
    </row>
    <row r="15" spans="1:21" s="95" customFormat="1" ht="15" customHeight="1">
      <c r="A15" s="96">
        <f>IF(I15&lt;&gt;"",MAX(A$1:A14)+1,"")</f>
        <v>8</v>
      </c>
      <c r="B15" s="97" t="s">
        <v>1334</v>
      </c>
      <c r="C15" s="103" t="s">
        <v>57</v>
      </c>
      <c r="D15" s="103">
        <f t="shared" si="0"/>
        <v>4</v>
      </c>
      <c r="E15" s="89" t="s">
        <v>1500</v>
      </c>
      <c r="F15" s="103"/>
      <c r="G15" s="95">
        <f>ROUND((32768/BASE_TORQ) * MTPATorque_4,0)</f>
        <v>429</v>
      </c>
      <c r="H15" s="94" t="str">
        <f>IF(G15&lt;&gt;"",IF(C15="float32",FLOAT2HEX(G15),DEC2HEX(G15,8)),"")</f>
        <v>000001AD</v>
      </c>
      <c r="I15" s="94">
        <f t="shared" si="1"/>
        <v>429</v>
      </c>
    </row>
    <row r="16" spans="1:21" s="95" customFormat="1" ht="15" customHeight="1">
      <c r="A16" s="96">
        <f>IF(I16&lt;&gt;"",MAX(A$1:A15)+1,"")</f>
        <v>9</v>
      </c>
      <c r="B16" s="74" t="s">
        <v>1415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1501</v>
      </c>
      <c r="F16" s="103"/>
      <c r="G16" s="95">
        <f>ROUND((32768/BASE_FLUX) * MTPAFlux_4,0)</f>
        <v>8833</v>
      </c>
      <c r="H16" s="94" t="str">
        <f>IF(G16&lt;&gt;"",IF(C16="float32",FLOAT2HEX(G16),DEC2HEX(G16,8)),"")</f>
        <v>00002281</v>
      </c>
      <c r="I16" s="94">
        <f>IF(G16&lt;&gt;"",HEX2DEC(H16),"")</f>
        <v>8833</v>
      </c>
    </row>
    <row r="17" spans="1:9" s="95" customFormat="1" ht="15" customHeight="1">
      <c r="A17" s="96">
        <f>IF(I17&lt;&gt;"",MAX(A$1:A16)+1,"")</f>
        <v>10</v>
      </c>
      <c r="B17" s="97" t="s">
        <v>1335</v>
      </c>
      <c r="C17" s="103" t="s">
        <v>57</v>
      </c>
      <c r="D17" s="103">
        <f t="shared" si="0"/>
        <v>4</v>
      </c>
      <c r="E17" s="89" t="s">
        <v>1502</v>
      </c>
      <c r="F17" s="103"/>
      <c r="G17" s="95">
        <f>ROUND((32768/BASE_TORQ) * MTPATorque_5,0)</f>
        <v>537</v>
      </c>
      <c r="H17" s="94" t="str">
        <f>IF(G17&lt;&gt;"",IF(C17="float32",FLOAT2HEX(G17),DEC2HEX(G17,8)),"")</f>
        <v>00000219</v>
      </c>
      <c r="I17" s="94">
        <f t="shared" si="1"/>
        <v>537</v>
      </c>
    </row>
    <row r="18" spans="1:9" s="95" customFormat="1" ht="15" customHeight="1">
      <c r="A18" s="96">
        <f>IF(I18&lt;&gt;"",MAX(A$1:A17)+1,"")</f>
        <v>11</v>
      </c>
      <c r="B18" s="74" t="s">
        <v>1416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1503</v>
      </c>
      <c r="F18" s="103"/>
      <c r="G18" s="95">
        <f>ROUND((32768/BASE_FLUX) * MTPAFlux_5,0)</f>
        <v>8870</v>
      </c>
      <c r="H18" s="94" t="str">
        <f>IF(G18&lt;&gt;"",IF(C18="float32",FLOAT2HEX(G18),DEC2HEX(G18,8)),"")</f>
        <v>000022A6</v>
      </c>
      <c r="I18" s="94">
        <f>IF(G18&lt;&gt;"",HEX2DEC(H18),"")</f>
        <v>8870</v>
      </c>
    </row>
    <row r="19" spans="1:9" s="95" customFormat="1" ht="15" customHeight="1">
      <c r="A19" s="96">
        <f>IF(I19&lt;&gt;"",MAX(A$1:A18)+1,"")</f>
        <v>12</v>
      </c>
      <c r="B19" s="97" t="s">
        <v>1336</v>
      </c>
      <c r="C19" s="103" t="s">
        <v>57</v>
      </c>
      <c r="D19" s="103">
        <f t="shared" si="0"/>
        <v>4</v>
      </c>
      <c r="E19" s="89" t="s">
        <v>1504</v>
      </c>
      <c r="F19" s="103"/>
      <c r="G19" s="95">
        <f>ROUND((32768/BASE_TORQ) * MTPATorque_6,0)</f>
        <v>644</v>
      </c>
      <c r="H19" s="94" t="str">
        <f>IF(G19&lt;&gt;"",IF(C19="float32",FLOAT2HEX(G19),DEC2HEX(G19,8)),"")</f>
        <v>00000284</v>
      </c>
      <c r="I19" s="94">
        <f t="shared" si="1"/>
        <v>644</v>
      </c>
    </row>
    <row r="20" spans="1:9" s="95" customFormat="1" ht="15" customHeight="1">
      <c r="A20" s="96">
        <f>IF(I20&lt;&gt;"",MAX(A$1:A19)+1,"")</f>
        <v>13</v>
      </c>
      <c r="B20" s="74" t="s">
        <v>1417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1505</v>
      </c>
      <c r="F20" s="103"/>
      <c r="G20" s="95">
        <f>ROUND((32768/BASE_FLUX) * MTPAFlux_6,0)</f>
        <v>8930</v>
      </c>
      <c r="H20" s="94" t="str">
        <f>IF(G20&lt;&gt;"",IF(C20="float32",FLOAT2HEX(G20),DEC2HEX(G20,8)),"")</f>
        <v>000022E2</v>
      </c>
      <c r="I20" s="94">
        <f>IF(G20&lt;&gt;"",HEX2DEC(H20),"")</f>
        <v>8930</v>
      </c>
    </row>
    <row r="21" spans="1:9" s="95" customFormat="1" ht="15" customHeight="1">
      <c r="A21" s="96">
        <f>IF(I21&lt;&gt;"",MAX(A$1:A20)+1,"")</f>
        <v>14</v>
      </c>
      <c r="B21" s="97" t="s">
        <v>1337</v>
      </c>
      <c r="C21" s="103" t="s">
        <v>57</v>
      </c>
      <c r="D21" s="103">
        <f t="shared" si="0"/>
        <v>4</v>
      </c>
      <c r="E21" s="89" t="s">
        <v>1506</v>
      </c>
      <c r="F21" s="103"/>
      <c r="G21" s="95">
        <f>ROUND((32768/BASE_TORQ) * MTPATorque_7,0)</f>
        <v>751</v>
      </c>
      <c r="H21" s="94" t="str">
        <f>IF(G21&lt;&gt;"",IF(C21="float32",FLOAT2HEX(G21),DEC2HEX(G21,8)),"")</f>
        <v>000002EF</v>
      </c>
      <c r="I21" s="94">
        <f t="shared" si="1"/>
        <v>751</v>
      </c>
    </row>
    <row r="22" spans="1:9" s="95" customFormat="1" ht="15" customHeight="1">
      <c r="A22" s="96">
        <f>IF(I22&lt;&gt;"",MAX(A$1:A21)+1,"")</f>
        <v>15</v>
      </c>
      <c r="B22" s="74" t="s">
        <v>1418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1507</v>
      </c>
      <c r="F22" s="103"/>
      <c r="G22" s="95">
        <f>ROUND((32768/BASE_FLUX) * MTPAFlux_7,0)</f>
        <v>9003</v>
      </c>
      <c r="H22" s="94" t="str">
        <f>IF(G22&lt;&gt;"",IF(C22="float32",FLOAT2HEX(G22),DEC2HEX(G22,8)),"")</f>
        <v>0000232B</v>
      </c>
      <c r="I22" s="94">
        <f>IF(G22&lt;&gt;"",HEX2DEC(H22),"")</f>
        <v>9003</v>
      </c>
    </row>
    <row r="23" spans="1:9" s="95" customFormat="1" ht="15" customHeight="1">
      <c r="A23" s="96">
        <f>IF(I23&lt;&gt;"",MAX(A$1:A22)+1,"")</f>
        <v>16</v>
      </c>
      <c r="B23" s="97" t="s">
        <v>1338</v>
      </c>
      <c r="C23" s="103" t="s">
        <v>57</v>
      </c>
      <c r="D23" s="103">
        <f t="shared" si="0"/>
        <v>4</v>
      </c>
      <c r="E23" s="89" t="s">
        <v>1508</v>
      </c>
      <c r="F23" s="103"/>
      <c r="G23" s="95">
        <f>ROUND((32768/BASE_TORQ) * MTPATorque_8,0)</f>
        <v>859</v>
      </c>
      <c r="H23" s="94" t="str">
        <f>IF(G23&lt;&gt;"",IF(C23="float32",FLOAT2HEX(G23),DEC2HEX(G23,8)),"")</f>
        <v>0000035B</v>
      </c>
      <c r="I23" s="94">
        <f t="shared" si="1"/>
        <v>859</v>
      </c>
    </row>
    <row r="24" spans="1:9" s="95" customFormat="1" ht="15" customHeight="1">
      <c r="A24" s="96">
        <f>IF(I24&lt;&gt;"",MAX(A$1:A23)+1,"")</f>
        <v>17</v>
      </c>
      <c r="B24" s="74" t="s">
        <v>1419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1509</v>
      </c>
      <c r="F24" s="103"/>
      <c r="G24" s="95">
        <f>ROUND((32768/BASE_FLUX) * MTPAFlux_8,0)</f>
        <v>9075</v>
      </c>
      <c r="H24" s="94" t="str">
        <f>IF(G24&lt;&gt;"",IF(C24="float32",FLOAT2HEX(G24),DEC2HEX(G24,8)),"")</f>
        <v>00002373</v>
      </c>
      <c r="I24" s="94">
        <f>IF(G24&lt;&gt;"",HEX2DEC(H24),"")</f>
        <v>9075</v>
      </c>
    </row>
    <row r="25" spans="1:9" s="95" customFormat="1" ht="15" customHeight="1">
      <c r="A25" s="96">
        <f>IF(I25&lt;&gt;"",MAX(A$1:A24)+1,"")</f>
        <v>18</v>
      </c>
      <c r="B25" s="97" t="s">
        <v>1339</v>
      </c>
      <c r="C25" s="103" t="s">
        <v>57</v>
      </c>
      <c r="D25" s="103">
        <f t="shared" si="0"/>
        <v>4</v>
      </c>
      <c r="E25" s="89" t="s">
        <v>1510</v>
      </c>
      <c r="F25" s="103"/>
      <c r="G25" s="95">
        <f>ROUND((32768/BASE_TORQ) * MTPATorque_9,0)</f>
        <v>966</v>
      </c>
      <c r="H25" s="94" t="str">
        <f>IF(G25&lt;&gt;"",IF(C25="float32",FLOAT2HEX(G25),DEC2HEX(G25,8)),"")</f>
        <v>000003C6</v>
      </c>
      <c r="I25" s="94">
        <f t="shared" si="1"/>
        <v>966</v>
      </c>
    </row>
    <row r="26" spans="1:9" s="95" customFormat="1" ht="15" customHeight="1">
      <c r="A26" s="96">
        <f>IF(I26&lt;&gt;"",MAX(A$1:A25)+1,"")</f>
        <v>19</v>
      </c>
      <c r="B26" s="74" t="s">
        <v>1420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1511</v>
      </c>
      <c r="F26" s="103"/>
      <c r="G26" s="95">
        <f>ROUND((32768/BASE_FLUX) * MTPAFlux_9,0)</f>
        <v>9160</v>
      </c>
      <c r="H26" s="94" t="str">
        <f>IF(G26&lt;&gt;"",IF(C26="float32",FLOAT2HEX(G26),DEC2HEX(G26,8)),"")</f>
        <v>000023C8</v>
      </c>
      <c r="I26" s="94">
        <f>IF(G26&lt;&gt;"",HEX2DEC(H26),"")</f>
        <v>9160</v>
      </c>
    </row>
    <row r="27" spans="1:9" s="95" customFormat="1" ht="15" customHeight="1">
      <c r="A27" s="96">
        <f>IF(I27&lt;&gt;"",MAX(A$1:A26)+1,"")</f>
        <v>20</v>
      </c>
      <c r="B27" s="97" t="s">
        <v>1340</v>
      </c>
      <c r="C27" s="103" t="s">
        <v>57</v>
      </c>
      <c r="D27" s="103">
        <f t="shared" si="0"/>
        <v>4</v>
      </c>
      <c r="E27" s="89" t="s">
        <v>1512</v>
      </c>
      <c r="F27" s="103"/>
      <c r="G27" s="95">
        <f>ROUND((32768/BASE_TORQ) * MTPATorque_10,0)</f>
        <v>1073</v>
      </c>
      <c r="H27" s="94" t="str">
        <f>IF(G27&lt;&gt;"",IF(C27="float32",FLOAT2HEX(G27),DEC2HEX(G27,8)),"")</f>
        <v>00000431</v>
      </c>
      <c r="I27" s="94">
        <f t="shared" si="1"/>
        <v>1073</v>
      </c>
    </row>
    <row r="28" spans="1:9" s="95" customFormat="1" ht="15" customHeight="1">
      <c r="A28" s="96">
        <f>IF(I28&lt;&gt;"",MAX(A$1:A27)+1,"")</f>
        <v>21</v>
      </c>
      <c r="B28" s="74" t="s">
        <v>1421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1513</v>
      </c>
      <c r="F28" s="103"/>
      <c r="G28" s="95">
        <f>ROUND((32768/BASE_FLUX) * MTPAFlux_10,0)</f>
        <v>9257</v>
      </c>
      <c r="H28" s="94" t="str">
        <f>IF(G28&lt;&gt;"",IF(C28="float32",FLOAT2HEX(G28),DEC2HEX(G28,8)),"")</f>
        <v>00002429</v>
      </c>
      <c r="I28" s="94">
        <f>IF(G28&lt;&gt;"",HEX2DEC(H28),"")</f>
        <v>9257</v>
      </c>
    </row>
    <row r="29" spans="1:9" s="95" customFormat="1" ht="15" customHeight="1">
      <c r="A29" s="96">
        <f>IF(I29&lt;&gt;"",MAX(A$1:A28)+1,"")</f>
        <v>22</v>
      </c>
      <c r="B29" s="97" t="s">
        <v>1341</v>
      </c>
      <c r="C29" s="103" t="s">
        <v>57</v>
      </c>
      <c r="D29" s="103">
        <f t="shared" si="0"/>
        <v>4</v>
      </c>
      <c r="E29" s="89" t="s">
        <v>1514</v>
      </c>
      <c r="F29" s="103"/>
      <c r="G29" s="95">
        <f>ROUND((32768/BASE_TORQ) * MTPATorque_11,0)</f>
        <v>1181</v>
      </c>
      <c r="H29" s="94" t="str">
        <f>IF(G29&lt;&gt;"",IF(C29="float32",FLOAT2HEX(G29),DEC2HEX(G29,8)),"")</f>
        <v>0000049D</v>
      </c>
      <c r="I29" s="94">
        <f t="shared" si="1"/>
        <v>1181</v>
      </c>
    </row>
    <row r="30" spans="1:9" s="95" customFormat="1" ht="15" customHeight="1">
      <c r="A30" s="96">
        <f>IF(I30&lt;&gt;"",MAX(A$1:A29)+1,"")</f>
        <v>23</v>
      </c>
      <c r="B30" s="74" t="s">
        <v>1422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1515</v>
      </c>
      <c r="F30" s="103"/>
      <c r="G30" s="95">
        <f>ROUND((32768/BASE_FLUX) * MTPAFlux_11,0)</f>
        <v>9366</v>
      </c>
      <c r="H30" s="94" t="str">
        <f>IF(G30&lt;&gt;"",IF(C30="float32",FLOAT2HEX(G30),DEC2HEX(G30,8)),"")</f>
        <v>00002496</v>
      </c>
      <c r="I30" s="94">
        <f>IF(G30&lt;&gt;"",HEX2DEC(H30),"")</f>
        <v>9366</v>
      </c>
    </row>
    <row r="31" spans="1:9" s="95" customFormat="1" ht="15" customHeight="1">
      <c r="A31" s="96">
        <f>IF(I31&lt;&gt;"",MAX(A$1:A30)+1,"")</f>
        <v>24</v>
      </c>
      <c r="B31" s="97" t="s">
        <v>1342</v>
      </c>
      <c r="C31" s="103" t="s">
        <v>57</v>
      </c>
      <c r="D31" s="103">
        <f t="shared" si="0"/>
        <v>4</v>
      </c>
      <c r="E31" s="89" t="s">
        <v>1516</v>
      </c>
      <c r="F31" s="103"/>
      <c r="G31" s="95">
        <f>ROUND((32768/BASE_TORQ) * MTPATorque_12,0)</f>
        <v>1288</v>
      </c>
      <c r="H31" s="94" t="str">
        <f>IF(G31&lt;&gt;"",IF(C31="float32",FLOAT2HEX(G31),DEC2HEX(G31,8)),"")</f>
        <v>00000508</v>
      </c>
      <c r="I31" s="94">
        <f t="shared" si="1"/>
        <v>1288</v>
      </c>
    </row>
    <row r="32" spans="1:9" s="95" customFormat="1" ht="15" customHeight="1">
      <c r="A32" s="96">
        <f>IF(I32&lt;&gt;"",MAX(A$1:A31)+1,"")</f>
        <v>25</v>
      </c>
      <c r="B32" s="74" t="s">
        <v>1423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1517</v>
      </c>
      <c r="F32" s="103"/>
      <c r="G32" s="95">
        <f>ROUND((32768/BASE_FLUX) * MTPAFlux_12,0)</f>
        <v>9487</v>
      </c>
      <c r="H32" s="94" t="str">
        <f>IF(G32&lt;&gt;"",IF(C32="float32",FLOAT2HEX(G32),DEC2HEX(G32,8)),"")</f>
        <v>0000250F</v>
      </c>
      <c r="I32" s="94">
        <f>IF(G32&lt;&gt;"",HEX2DEC(H32),"")</f>
        <v>9487</v>
      </c>
    </row>
    <row r="33" spans="1:9" s="95" customFormat="1" ht="15" customHeight="1">
      <c r="A33" s="96">
        <f>IF(I33&lt;&gt;"",MAX(A$1:A32)+1,"")</f>
        <v>26</v>
      </c>
      <c r="B33" s="97" t="s">
        <v>1343</v>
      </c>
      <c r="C33" s="103" t="s">
        <v>57</v>
      </c>
      <c r="D33" s="103">
        <f t="shared" si="0"/>
        <v>4</v>
      </c>
      <c r="E33" s="89" t="s">
        <v>1518</v>
      </c>
      <c r="F33" s="103"/>
      <c r="G33" s="95">
        <f>ROUND((32768/BASE_TORQ) * MTPATorque_13,0)</f>
        <v>1395</v>
      </c>
      <c r="H33" s="94" t="str">
        <f>IF(G33&lt;&gt;"",IF(C33="float32",FLOAT2HEX(G33),DEC2HEX(G33,8)),"")</f>
        <v>00000573</v>
      </c>
      <c r="I33" s="94">
        <f t="shared" si="1"/>
        <v>1395</v>
      </c>
    </row>
    <row r="34" spans="1:9" s="95" customFormat="1" ht="15" customHeight="1">
      <c r="A34" s="96">
        <f>IF(I34&lt;&gt;"",MAX(A$1:A33)+1,"")</f>
        <v>27</v>
      </c>
      <c r="B34" s="74" t="s">
        <v>1424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1519</v>
      </c>
      <c r="F34" s="103"/>
      <c r="G34" s="95">
        <f>ROUND((32768/BASE_FLUX) * MTPAFlux_13,0)</f>
        <v>9608</v>
      </c>
      <c r="H34" s="94" t="str">
        <f>IF(G34&lt;&gt;"",IF(C34="float32",FLOAT2HEX(G34),DEC2HEX(G34,8)),"")</f>
        <v>00002588</v>
      </c>
      <c r="I34" s="94">
        <f>IF(G34&lt;&gt;"",HEX2DEC(H34),"")</f>
        <v>9608</v>
      </c>
    </row>
    <row r="35" spans="1:9" s="95" customFormat="1" ht="15" customHeight="1">
      <c r="A35" s="96">
        <f>IF(I35&lt;&gt;"",MAX(A$1:A34)+1,"")</f>
        <v>28</v>
      </c>
      <c r="B35" s="97" t="s">
        <v>1344</v>
      </c>
      <c r="C35" s="103" t="s">
        <v>57</v>
      </c>
      <c r="D35" s="103">
        <f t="shared" si="0"/>
        <v>4</v>
      </c>
      <c r="E35" s="89" t="s">
        <v>1520</v>
      </c>
      <c r="F35" s="103"/>
      <c r="G35" s="95">
        <f>ROUND((32768/BASE_TORQ) * MTPATorque_14,0)</f>
        <v>1503</v>
      </c>
      <c r="H35" s="94" t="str">
        <f>IF(G35&lt;&gt;"",IF(C35="float32",FLOAT2HEX(G35),DEC2HEX(G35,8)),"")</f>
        <v>000005DF</v>
      </c>
      <c r="I35" s="94">
        <f t="shared" si="1"/>
        <v>1503</v>
      </c>
    </row>
    <row r="36" spans="1:9" s="95" customFormat="1" ht="15" customHeight="1">
      <c r="A36" s="96">
        <f>IF(I36&lt;&gt;"",MAX(A$1:A35)+1,"")</f>
        <v>29</v>
      </c>
      <c r="B36" s="74" t="s">
        <v>1425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1521</v>
      </c>
      <c r="F36" s="103"/>
      <c r="G36" s="95">
        <f>ROUND((32768/BASE_FLUX) * MTPAFlux_14,0)</f>
        <v>9753</v>
      </c>
      <c r="H36" s="94" t="str">
        <f>IF(G36&lt;&gt;"",IF(C36="float32",FLOAT2HEX(G36),DEC2HEX(G36,8)),"")</f>
        <v>00002619</v>
      </c>
      <c r="I36" s="94">
        <f>IF(G36&lt;&gt;"",HEX2DEC(H36),"")</f>
        <v>9753</v>
      </c>
    </row>
    <row r="37" spans="1:9" s="95" customFormat="1" ht="15" customHeight="1">
      <c r="A37" s="96">
        <f>IF(I37&lt;&gt;"",MAX(A$1:A36)+1,"")</f>
        <v>30</v>
      </c>
      <c r="B37" s="97" t="s">
        <v>1345</v>
      </c>
      <c r="C37" s="103" t="s">
        <v>57</v>
      </c>
      <c r="D37" s="103">
        <f t="shared" si="0"/>
        <v>4</v>
      </c>
      <c r="E37" s="89" t="s">
        <v>1522</v>
      </c>
      <c r="F37" s="103"/>
      <c r="G37" s="95">
        <f>ROUND((32768/BASE_TORQ) * MTPATorque_15,0)</f>
        <v>1610</v>
      </c>
      <c r="H37" s="94" t="str">
        <f>IF(G37&lt;&gt;"",IF(C37="float32",FLOAT2HEX(G37),DEC2HEX(G37,8)),"")</f>
        <v>0000064A</v>
      </c>
      <c r="I37" s="94">
        <f t="shared" si="1"/>
        <v>1610</v>
      </c>
    </row>
    <row r="38" spans="1:9" s="95" customFormat="1" ht="15" customHeight="1">
      <c r="A38" s="96">
        <f>IF(I38&lt;&gt;"",MAX(A$1:A37)+1,"")</f>
        <v>31</v>
      </c>
      <c r="B38" s="74" t="s">
        <v>1426</v>
      </c>
      <c r="C38" s="103" t="s">
        <v>57</v>
      </c>
      <c r="D38" s="103">
        <f t="shared" si="0"/>
        <v>4</v>
      </c>
      <c r="E38" s="89" t="s">
        <v>1523</v>
      </c>
      <c r="F38" s="103"/>
      <c r="G38" s="95">
        <f>ROUND((32768/BASE_FLUX) * MTPAFlux_15,0)</f>
        <v>9886</v>
      </c>
      <c r="H38" s="94" t="str">
        <f>IF(G38&lt;&gt;"",IF(C38="float32",FLOAT2HEX(G38),DEC2HEX(G38,8)),"")</f>
        <v>0000269E</v>
      </c>
      <c r="I38" s="94">
        <f t="shared" si="1"/>
        <v>9886</v>
      </c>
    </row>
    <row r="39" spans="1:9" s="95" customFormat="1" ht="15" customHeight="1">
      <c r="A39" s="96">
        <f>IF(I39&lt;&gt;"",MAX(A$1:A38)+1,"")</f>
        <v>32</v>
      </c>
      <c r="B39" s="97" t="s">
        <v>1346</v>
      </c>
      <c r="C39" s="103" t="s">
        <v>57</v>
      </c>
      <c r="D39" s="103">
        <f t="shared" ref="D39:D102" si="2">IF(OR(C39="sint64",C39="uint64",C39="double64"), 8, IF(OR(C39="sint32",C39="uint32",C39="float32"),4,IF(OR(C39="sint16",C39="uint16"),2,  IF(OR(C39="sint8",C39="uint8"),1,""))))</f>
        <v>4</v>
      </c>
      <c r="E39" s="89" t="s">
        <v>1524</v>
      </c>
      <c r="F39" s="103"/>
      <c r="G39" s="95">
        <f>ROUND((32768/BASE_TORQ) * MTPATorque_16,0)</f>
        <v>1717</v>
      </c>
      <c r="H39" s="94" t="str">
        <f>IF(G39&lt;&gt;"",IF(C39="float32",FLOAT2HEX(G39),DEC2HEX(G39,8)),"")</f>
        <v>000006B5</v>
      </c>
      <c r="I39" s="94">
        <f t="shared" ref="I39:I102" si="3">IF(G39&lt;&gt;"",HEX2DEC(H39),"")</f>
        <v>1717</v>
      </c>
    </row>
    <row r="40" spans="1:9">
      <c r="A40" s="96">
        <f>IF(I40&lt;&gt;"",MAX(A$1:A39)+1,"")</f>
        <v>33</v>
      </c>
      <c r="B40" s="74" t="s">
        <v>1427</v>
      </c>
      <c r="C40" s="103" t="s">
        <v>57</v>
      </c>
      <c r="D40" s="103">
        <f t="shared" si="2"/>
        <v>4</v>
      </c>
      <c r="E40" s="89" t="s">
        <v>1525</v>
      </c>
      <c r="G40" s="103">
        <f>ROUND((32768/BASE_FLUX) * MTPAFlux_16,0)</f>
        <v>10043</v>
      </c>
      <c r="H40" s="94" t="str">
        <f>IF(G40&lt;&gt;"",IF(C40="float32",FLOAT2HEX(G40),DEC2HEX(G40,8)),"")</f>
        <v>0000273B</v>
      </c>
      <c r="I40" s="94">
        <f t="shared" si="3"/>
        <v>10043</v>
      </c>
    </row>
    <row r="41" spans="1:9">
      <c r="A41" s="96">
        <f>IF(I41&lt;&gt;"",MAX(A$1:A40)+1,"")</f>
        <v>34</v>
      </c>
      <c r="B41" s="97" t="s">
        <v>1347</v>
      </c>
      <c r="C41" s="103" t="s">
        <v>57</v>
      </c>
      <c r="D41" s="103">
        <f t="shared" si="2"/>
        <v>4</v>
      </c>
      <c r="E41" s="89" t="s">
        <v>1526</v>
      </c>
      <c r="G41" s="103">
        <f>ROUND((32768/BASE_TORQ) * MTPATorque_17,0)</f>
        <v>1825</v>
      </c>
      <c r="H41" s="94" t="str">
        <f>IF(G41&lt;&gt;"",IF(C41="float32",FLOAT2HEX(G41),DEC2HEX(G41,8)),"")</f>
        <v>00000721</v>
      </c>
      <c r="I41" s="94">
        <f t="shared" si="3"/>
        <v>1825</v>
      </c>
    </row>
    <row r="42" spans="1:9">
      <c r="A42" s="96">
        <f>IF(I42&lt;&gt;"",MAX(A$1:A41)+1,"")</f>
        <v>35</v>
      </c>
      <c r="B42" s="74" t="s">
        <v>1428</v>
      </c>
      <c r="C42" s="103" t="s">
        <v>57</v>
      </c>
      <c r="D42" s="103">
        <f t="shared" si="2"/>
        <v>4</v>
      </c>
      <c r="E42" s="89" t="s">
        <v>1527</v>
      </c>
      <c r="G42" s="103">
        <f>ROUND((32768/BASE_FLUX) * MTPAFlux_17,0)</f>
        <v>10099</v>
      </c>
      <c r="H42" s="94" t="str">
        <f>IF(G42&lt;&gt;"",IF(C42="float32",FLOAT2HEX(G42),DEC2HEX(G42,8)),"")</f>
        <v>00002773</v>
      </c>
      <c r="I42" s="94">
        <f t="shared" si="3"/>
        <v>10099</v>
      </c>
    </row>
    <row r="43" spans="1:9">
      <c r="A43" s="96">
        <f>IF(I43&lt;&gt;"",MAX(A$1:A42)+1,"")</f>
        <v>36</v>
      </c>
      <c r="B43" s="97" t="s">
        <v>1348</v>
      </c>
      <c r="C43" s="103" t="s">
        <v>57</v>
      </c>
      <c r="D43" s="103">
        <f t="shared" si="2"/>
        <v>4</v>
      </c>
      <c r="E43" s="89" t="s">
        <v>1528</v>
      </c>
      <c r="G43" s="103">
        <f>ROUND((32768/BASE_TORQ) * MTPATorque_18,0)</f>
        <v>1932</v>
      </c>
      <c r="H43" s="94" t="str">
        <f>IF(G43&lt;&gt;"",IF(C43="float32",FLOAT2HEX(G43),DEC2HEX(G43,8)),"")</f>
        <v>0000078C</v>
      </c>
      <c r="I43" s="94">
        <f t="shared" si="3"/>
        <v>1932</v>
      </c>
    </row>
    <row r="44" spans="1:9">
      <c r="A44" s="96">
        <f>IF(I44&lt;&gt;"",MAX(A$1:A43)+1,"")</f>
        <v>37</v>
      </c>
      <c r="B44" s="74" t="s">
        <v>1429</v>
      </c>
      <c r="C44" s="103" t="s">
        <v>57</v>
      </c>
      <c r="D44" s="103">
        <f t="shared" si="2"/>
        <v>4</v>
      </c>
      <c r="E44" s="89" t="s">
        <v>1529</v>
      </c>
      <c r="G44" s="103">
        <f>ROUND((32768/BASE_FLUX) * MTPAFlux_18,0)</f>
        <v>10175</v>
      </c>
      <c r="H44" s="94" t="str">
        <f>IF(G44&lt;&gt;"",IF(C44="float32",FLOAT2HEX(G44),DEC2HEX(G44,8)),"")</f>
        <v>000027BF</v>
      </c>
      <c r="I44" s="94">
        <f t="shared" si="3"/>
        <v>10175</v>
      </c>
    </row>
    <row r="45" spans="1:9">
      <c r="A45" s="96">
        <f>IF(I45&lt;&gt;"",MAX(A$1:A44)+1,"")</f>
        <v>38</v>
      </c>
      <c r="B45" s="97" t="s">
        <v>1349</v>
      </c>
      <c r="C45" s="103" t="s">
        <v>57</v>
      </c>
      <c r="D45" s="103">
        <f t="shared" si="2"/>
        <v>4</v>
      </c>
      <c r="E45" s="89" t="s">
        <v>1530</v>
      </c>
      <c r="G45" s="103">
        <f>ROUND((32768/BASE_TORQ) * MTPATorque_19,0)</f>
        <v>2039</v>
      </c>
      <c r="H45" s="94" t="str">
        <f>IF(G45&lt;&gt;"",IF(C45="float32",FLOAT2HEX(G45),DEC2HEX(G45,8)),"")</f>
        <v>000007F7</v>
      </c>
      <c r="I45" s="94">
        <f t="shared" si="3"/>
        <v>2039</v>
      </c>
    </row>
    <row r="46" spans="1:9">
      <c r="A46" s="96">
        <f>IF(I46&lt;&gt;"",MAX(A$1:A45)+1,"")</f>
        <v>39</v>
      </c>
      <c r="B46" s="74" t="s">
        <v>1430</v>
      </c>
      <c r="C46" s="103" t="s">
        <v>57</v>
      </c>
      <c r="D46" s="103">
        <f t="shared" si="2"/>
        <v>4</v>
      </c>
      <c r="E46" s="89" t="s">
        <v>1531</v>
      </c>
      <c r="G46" s="103">
        <f>ROUND((32768/BASE_FLUX) * MTPAFlux_19,0)</f>
        <v>10235</v>
      </c>
      <c r="H46" s="94" t="str">
        <f>IF(G46&lt;&gt;"",IF(C46="float32",FLOAT2HEX(G46),DEC2HEX(G46,8)),"")</f>
        <v>000027FB</v>
      </c>
      <c r="I46" s="94">
        <f t="shared" si="3"/>
        <v>10235</v>
      </c>
    </row>
    <row r="47" spans="1:9">
      <c r="A47" s="96">
        <f>IF(I47&lt;&gt;"",MAX(A$1:A46)+1,"")</f>
        <v>40</v>
      </c>
      <c r="B47" s="97" t="s">
        <v>1350</v>
      </c>
      <c r="C47" s="103" t="s">
        <v>57</v>
      </c>
      <c r="D47" s="103">
        <f t="shared" si="2"/>
        <v>4</v>
      </c>
      <c r="E47" s="89" t="s">
        <v>1532</v>
      </c>
      <c r="G47" s="103">
        <f>ROUND((32768/BASE_TORQ) * MTPATorque_20,0)</f>
        <v>2147</v>
      </c>
      <c r="H47" s="94" t="str">
        <f>IF(G47&lt;&gt;"",IF(C47="float32",FLOAT2HEX(G47),DEC2HEX(G47,8)),"")</f>
        <v>00000863</v>
      </c>
      <c r="I47" s="94">
        <f t="shared" si="3"/>
        <v>2147</v>
      </c>
    </row>
    <row r="48" spans="1:9">
      <c r="A48" s="96">
        <f>IF(I48&lt;&gt;"",MAX(A$1:A47)+1,"")</f>
        <v>41</v>
      </c>
      <c r="B48" s="74" t="s">
        <v>1431</v>
      </c>
      <c r="C48" s="103" t="s">
        <v>57</v>
      </c>
      <c r="D48" s="103">
        <f t="shared" si="2"/>
        <v>4</v>
      </c>
      <c r="E48" s="89" t="s">
        <v>1533</v>
      </c>
      <c r="G48" s="103">
        <f>ROUND((32768/BASE_FLUX) * MTPAFlux_20,0)</f>
        <v>10304</v>
      </c>
      <c r="H48" s="94" t="str">
        <f>IF(G48&lt;&gt;"",IF(C48="float32",FLOAT2HEX(G48),DEC2HEX(G48,8)),"")</f>
        <v>00002840</v>
      </c>
      <c r="I48" s="94">
        <f t="shared" si="3"/>
        <v>10304</v>
      </c>
    </row>
    <row r="49" spans="1:9">
      <c r="A49" s="96">
        <f>IF(I49&lt;&gt;"",MAX(A$1:A48)+1,"")</f>
        <v>42</v>
      </c>
      <c r="B49" s="97" t="s">
        <v>1351</v>
      </c>
      <c r="C49" s="103" t="s">
        <v>57</v>
      </c>
      <c r="D49" s="103">
        <f t="shared" si="2"/>
        <v>4</v>
      </c>
      <c r="E49" s="89" t="s">
        <v>1534</v>
      </c>
      <c r="G49" s="103">
        <f>ROUND((32768/BASE_TORQ) * MTPATorque_21,0)</f>
        <v>2254</v>
      </c>
      <c r="H49" s="94" t="str">
        <f>IF(G49&lt;&gt;"",IF(C49="float32",FLOAT2HEX(G49),DEC2HEX(G49,8)),"")</f>
        <v>000008CE</v>
      </c>
      <c r="I49" s="94">
        <f t="shared" si="3"/>
        <v>2254</v>
      </c>
    </row>
    <row r="50" spans="1:9">
      <c r="A50" s="96">
        <f>IF(I50&lt;&gt;"",MAX(A$1:A49)+1,"")</f>
        <v>43</v>
      </c>
      <c r="B50" s="74" t="s">
        <v>1432</v>
      </c>
      <c r="C50" s="103" t="s">
        <v>57</v>
      </c>
      <c r="D50" s="103">
        <f t="shared" si="2"/>
        <v>4</v>
      </c>
      <c r="E50" s="89" t="s">
        <v>1535</v>
      </c>
      <c r="G50" s="103">
        <f>ROUND((32768/BASE_FLUX) * MTPAFlux_21,0)</f>
        <v>10380</v>
      </c>
      <c r="H50" s="94" t="str">
        <f>IF(G50&lt;&gt;"",IF(C50="float32",FLOAT2HEX(G50),DEC2HEX(G50,8)),"")</f>
        <v>0000288C</v>
      </c>
      <c r="I50" s="94">
        <f t="shared" si="3"/>
        <v>10380</v>
      </c>
    </row>
    <row r="51" spans="1:9">
      <c r="A51" s="96">
        <f>IF(I51&lt;&gt;"",MAX(A$1:A50)+1,"")</f>
        <v>44</v>
      </c>
      <c r="B51" s="97" t="s">
        <v>1352</v>
      </c>
      <c r="C51" s="103" t="s">
        <v>57</v>
      </c>
      <c r="D51" s="103">
        <f t="shared" si="2"/>
        <v>4</v>
      </c>
      <c r="E51" s="89" t="s">
        <v>1536</v>
      </c>
      <c r="G51" s="103">
        <f>ROUND((32768/BASE_TORQ) * MTPATorque_22,0)</f>
        <v>2361</v>
      </c>
      <c r="H51" s="94" t="str">
        <f>IF(G51&lt;&gt;"",IF(C51="float32",FLOAT2HEX(G51),DEC2HEX(G51,8)),"")</f>
        <v>00000939</v>
      </c>
      <c r="I51" s="94">
        <f t="shared" si="3"/>
        <v>2361</v>
      </c>
    </row>
    <row r="52" spans="1:9">
      <c r="A52" s="96">
        <f>IF(I52&lt;&gt;"",MAX(A$1:A51)+1,"")</f>
        <v>45</v>
      </c>
      <c r="B52" s="74" t="s">
        <v>1433</v>
      </c>
      <c r="C52" s="103" t="s">
        <v>57</v>
      </c>
      <c r="D52" s="103">
        <f t="shared" si="2"/>
        <v>4</v>
      </c>
      <c r="E52" s="89" t="s">
        <v>1537</v>
      </c>
      <c r="G52" s="103">
        <f>ROUND((32768/BASE_FLUX) * MTPAFlux_22,0)</f>
        <v>10453</v>
      </c>
      <c r="H52" s="94" t="str">
        <f>IF(G52&lt;&gt;"",IF(C52="float32",FLOAT2HEX(G52),DEC2HEX(G52,8)),"")</f>
        <v>000028D5</v>
      </c>
      <c r="I52" s="94">
        <f t="shared" si="3"/>
        <v>10453</v>
      </c>
    </row>
    <row r="53" spans="1:9">
      <c r="A53" s="96">
        <f>IF(I53&lt;&gt;"",MAX(A$1:A52)+1,"")</f>
        <v>46</v>
      </c>
      <c r="B53" s="97" t="s">
        <v>1353</v>
      </c>
      <c r="C53" s="103" t="s">
        <v>57</v>
      </c>
      <c r="D53" s="103">
        <f t="shared" si="2"/>
        <v>4</v>
      </c>
      <c r="E53" s="89" t="s">
        <v>1538</v>
      </c>
      <c r="G53" s="103">
        <f>ROUND((32768/BASE_TORQ) * MTPATorque_23,0)</f>
        <v>2469</v>
      </c>
      <c r="H53" s="94" t="str">
        <f>IF(G53&lt;&gt;"",IF(C53="float32",FLOAT2HEX(G53),DEC2HEX(G53,8)),"")</f>
        <v>000009A5</v>
      </c>
      <c r="I53" s="94">
        <f t="shared" si="3"/>
        <v>2469</v>
      </c>
    </row>
    <row r="54" spans="1:9">
      <c r="A54" s="96">
        <f>IF(I54&lt;&gt;"",MAX(A$1:A53)+1,"")</f>
        <v>47</v>
      </c>
      <c r="B54" s="74" t="s">
        <v>1434</v>
      </c>
      <c r="C54" s="103" t="s">
        <v>57</v>
      </c>
      <c r="D54" s="103">
        <f t="shared" si="2"/>
        <v>4</v>
      </c>
      <c r="E54" s="89" t="s">
        <v>1539</v>
      </c>
      <c r="G54" s="103">
        <f>ROUND((32768/BASE_FLUX) * MTPAFlux_23,0)</f>
        <v>10544</v>
      </c>
      <c r="H54" s="94" t="str">
        <f>IF(G54&lt;&gt;"",IF(C54="float32",FLOAT2HEX(G54),DEC2HEX(G54,8)),"")</f>
        <v>00002930</v>
      </c>
      <c r="I54" s="94">
        <f t="shared" si="3"/>
        <v>10544</v>
      </c>
    </row>
    <row r="55" spans="1:9">
      <c r="A55" s="96">
        <f>IF(I55&lt;&gt;"",MAX(A$1:A54)+1,"")</f>
        <v>48</v>
      </c>
      <c r="B55" s="97" t="s">
        <v>1354</v>
      </c>
      <c r="C55" s="103" t="s">
        <v>57</v>
      </c>
      <c r="D55" s="103">
        <f t="shared" si="2"/>
        <v>4</v>
      </c>
      <c r="E55" s="89" t="s">
        <v>1540</v>
      </c>
      <c r="G55" s="103">
        <f>ROUND((32768/BASE_TORQ) * MTPATorque_24,0)</f>
        <v>2576</v>
      </c>
      <c r="H55" s="94" t="str">
        <f>IF(G55&lt;&gt;"",IF(C55="float32",FLOAT2HEX(G55),DEC2HEX(G55,8)),"")</f>
        <v>00000A10</v>
      </c>
      <c r="I55" s="94">
        <f t="shared" si="3"/>
        <v>2576</v>
      </c>
    </row>
    <row r="56" spans="1:9">
      <c r="A56" s="96">
        <f>IF(I56&lt;&gt;"",MAX(A$1:A55)+1,"")</f>
        <v>49</v>
      </c>
      <c r="B56" s="74" t="s">
        <v>1435</v>
      </c>
      <c r="C56" s="103" t="s">
        <v>57</v>
      </c>
      <c r="D56" s="103">
        <f t="shared" si="2"/>
        <v>4</v>
      </c>
      <c r="E56" s="89" t="s">
        <v>1541</v>
      </c>
      <c r="G56" s="103">
        <f>ROUND((32768/BASE_FLUX) * MTPAFlux_24,0)</f>
        <v>10620</v>
      </c>
      <c r="H56" s="94" t="str">
        <f>IF(G56&lt;&gt;"",IF(C56="float32",FLOAT2HEX(G56),DEC2HEX(G56,8)),"")</f>
        <v>0000297C</v>
      </c>
      <c r="I56" s="94">
        <f t="shared" si="3"/>
        <v>10620</v>
      </c>
    </row>
    <row r="57" spans="1:9">
      <c r="A57" s="96">
        <f>IF(I57&lt;&gt;"",MAX(A$1:A56)+1,"")</f>
        <v>50</v>
      </c>
      <c r="B57" s="97" t="s">
        <v>1355</v>
      </c>
      <c r="C57" s="103" t="s">
        <v>57</v>
      </c>
      <c r="D57" s="103">
        <f t="shared" si="2"/>
        <v>4</v>
      </c>
      <c r="E57" s="89" t="s">
        <v>1542</v>
      </c>
      <c r="G57" s="103">
        <f>ROUND((32768/BASE_TORQ) * MTPATorque_25,0)</f>
        <v>2684</v>
      </c>
      <c r="H57" s="94" t="str">
        <f>IF(G57&lt;&gt;"",IF(C57="float32",FLOAT2HEX(G57),DEC2HEX(G57,8)),"")</f>
        <v>00000A7C</v>
      </c>
      <c r="I57" s="94">
        <f t="shared" si="3"/>
        <v>2684</v>
      </c>
    </row>
    <row r="58" spans="1:9">
      <c r="A58" s="96">
        <f>IF(I58&lt;&gt;"",MAX(A$1:A57)+1,"")</f>
        <v>51</v>
      </c>
      <c r="B58" s="74" t="s">
        <v>1436</v>
      </c>
      <c r="C58" s="103" t="s">
        <v>57</v>
      </c>
      <c r="D58" s="103">
        <f t="shared" si="2"/>
        <v>4</v>
      </c>
      <c r="E58" s="89" t="s">
        <v>1543</v>
      </c>
      <c r="G58" s="103">
        <f>ROUND((32768/BASE_FLUX) * MTPAFlux_25,0)</f>
        <v>10692</v>
      </c>
      <c r="H58" s="94" t="str">
        <f>IF(G58&lt;&gt;"",IF(C58="float32",FLOAT2HEX(G58),DEC2HEX(G58,8)),"")</f>
        <v>000029C4</v>
      </c>
      <c r="I58" s="94">
        <f t="shared" si="3"/>
        <v>10692</v>
      </c>
    </row>
    <row r="59" spans="1:9">
      <c r="A59" s="96">
        <f>IF(I59&lt;&gt;"",MAX(A$1:A58)+1,"")</f>
        <v>52</v>
      </c>
      <c r="B59" s="97" t="s">
        <v>1356</v>
      </c>
      <c r="C59" s="103" t="s">
        <v>57</v>
      </c>
      <c r="D59" s="103">
        <f t="shared" si="2"/>
        <v>4</v>
      </c>
      <c r="E59" s="89" t="s">
        <v>1544</v>
      </c>
      <c r="G59" s="103">
        <f>ROUND((32768/BASE_TORQ) * MTPATorque_26,0)</f>
        <v>2791</v>
      </c>
      <c r="H59" s="94" t="str">
        <f>IF(G59&lt;&gt;"",IF(C59="float32",FLOAT2HEX(G59),DEC2HEX(G59,8)),"")</f>
        <v>00000AE7</v>
      </c>
      <c r="I59" s="94">
        <f t="shared" si="3"/>
        <v>2791</v>
      </c>
    </row>
    <row r="60" spans="1:9">
      <c r="A60" s="96">
        <f>IF(I60&lt;&gt;"",MAX(A$1:A59)+1,"")</f>
        <v>53</v>
      </c>
      <c r="B60" s="74" t="s">
        <v>1437</v>
      </c>
      <c r="C60" s="103" t="s">
        <v>57</v>
      </c>
      <c r="D60" s="103">
        <f t="shared" si="2"/>
        <v>4</v>
      </c>
      <c r="E60" s="89" t="s">
        <v>1545</v>
      </c>
      <c r="G60" s="103">
        <f>ROUND((32768/BASE_FLUX) * MTPAFlux_26,0)</f>
        <v>10771</v>
      </c>
      <c r="H60" s="94" t="str">
        <f>IF(G60&lt;&gt;"",IF(C60="float32",FLOAT2HEX(G60),DEC2HEX(G60,8)),"")</f>
        <v>00002A13</v>
      </c>
      <c r="I60" s="94">
        <f t="shared" si="3"/>
        <v>10771</v>
      </c>
    </row>
    <row r="61" spans="1:9">
      <c r="A61" s="96">
        <f>IF(I61&lt;&gt;"",MAX(A$1:A60)+1,"")</f>
        <v>54</v>
      </c>
      <c r="B61" s="97" t="s">
        <v>1357</v>
      </c>
      <c r="C61" s="103" t="s">
        <v>57</v>
      </c>
      <c r="D61" s="103">
        <f t="shared" si="2"/>
        <v>4</v>
      </c>
      <c r="E61" s="89" t="s">
        <v>1546</v>
      </c>
      <c r="G61" s="103">
        <f>ROUND((32768/BASE_TORQ) * MTPATorque_27,0)</f>
        <v>2898</v>
      </c>
      <c r="H61" s="94" t="str">
        <f>IF(G61&lt;&gt;"",IF(C61="float32",FLOAT2HEX(G61),DEC2HEX(G61,8)),"")</f>
        <v>00000B52</v>
      </c>
      <c r="I61" s="94">
        <f t="shared" si="3"/>
        <v>2898</v>
      </c>
    </row>
    <row r="62" spans="1:9">
      <c r="A62" s="96">
        <f>IF(I62&lt;&gt;"",MAX(A$1:A61)+1,"")</f>
        <v>55</v>
      </c>
      <c r="B62" s="74" t="s">
        <v>1438</v>
      </c>
      <c r="C62" s="103" t="s">
        <v>57</v>
      </c>
      <c r="D62" s="103">
        <f t="shared" si="2"/>
        <v>4</v>
      </c>
      <c r="E62" s="89" t="s">
        <v>1547</v>
      </c>
      <c r="G62" s="103">
        <f>ROUND((32768/BASE_FLUX) * MTPAFlux_27,0)</f>
        <v>10856</v>
      </c>
      <c r="H62" s="94" t="str">
        <f>IF(G62&lt;&gt;"",IF(C62="float32",FLOAT2HEX(G62),DEC2HEX(G62,8)),"")</f>
        <v>00002A68</v>
      </c>
      <c r="I62" s="94">
        <f t="shared" si="3"/>
        <v>10856</v>
      </c>
    </row>
    <row r="63" spans="1:9">
      <c r="A63" s="96">
        <f>IF(I63&lt;&gt;"",MAX(A$1:A62)+1,"")</f>
        <v>56</v>
      </c>
      <c r="B63" s="97" t="s">
        <v>1358</v>
      </c>
      <c r="C63" s="103" t="s">
        <v>57</v>
      </c>
      <c r="D63" s="103">
        <f t="shared" si="2"/>
        <v>4</v>
      </c>
      <c r="E63" s="89" t="s">
        <v>1548</v>
      </c>
      <c r="G63" s="103">
        <f>ROUND((32768/BASE_TORQ) * MTPATorque_28,0)</f>
        <v>3005</v>
      </c>
      <c r="H63" s="94" t="str">
        <f>IF(G63&lt;&gt;"",IF(C63="float32",FLOAT2HEX(G63),DEC2HEX(G63,8)),"")</f>
        <v>00000BBD</v>
      </c>
      <c r="I63" s="94">
        <f t="shared" si="3"/>
        <v>3005</v>
      </c>
    </row>
    <row r="64" spans="1:9">
      <c r="A64" s="96">
        <f>IF(I64&lt;&gt;"",MAX(A$1:A63)+1,"")</f>
        <v>57</v>
      </c>
      <c r="B64" s="74" t="s">
        <v>1439</v>
      </c>
      <c r="C64" s="103" t="s">
        <v>57</v>
      </c>
      <c r="D64" s="103">
        <f t="shared" si="2"/>
        <v>4</v>
      </c>
      <c r="E64" s="89" t="s">
        <v>1549</v>
      </c>
      <c r="G64" s="103">
        <f>ROUND((32768/BASE_FLUX) * MTPAFlux_28,0)</f>
        <v>10936</v>
      </c>
      <c r="H64" s="94" t="str">
        <f>IF(G64&lt;&gt;"",IF(C64="float32",FLOAT2HEX(G64),DEC2HEX(G64,8)),"")</f>
        <v>00002AB8</v>
      </c>
      <c r="I64" s="94">
        <f t="shared" si="3"/>
        <v>10936</v>
      </c>
    </row>
    <row r="65" spans="1:9">
      <c r="A65" s="96">
        <f>IF(I65&lt;&gt;"",MAX(A$1:A64)+1,"")</f>
        <v>58</v>
      </c>
      <c r="B65" s="97" t="s">
        <v>1359</v>
      </c>
      <c r="C65" s="103" t="s">
        <v>57</v>
      </c>
      <c r="D65" s="103">
        <f t="shared" si="2"/>
        <v>4</v>
      </c>
      <c r="E65" s="89" t="s">
        <v>1550</v>
      </c>
      <c r="G65" s="103">
        <f>ROUND((32768/BASE_TORQ) * MTPATorque_29,0)</f>
        <v>3113</v>
      </c>
      <c r="H65" s="94" t="str">
        <f>IF(G65&lt;&gt;"",IF(C65="float32",FLOAT2HEX(G65),DEC2HEX(G65,8)),"")</f>
        <v>00000C29</v>
      </c>
      <c r="I65" s="94">
        <f t="shared" si="3"/>
        <v>3113</v>
      </c>
    </row>
    <row r="66" spans="1:9">
      <c r="A66" s="96">
        <f>IF(I66&lt;&gt;"",MAX(A$1:A65)+1,"")</f>
        <v>59</v>
      </c>
      <c r="B66" s="74" t="s">
        <v>1440</v>
      </c>
      <c r="C66" s="103" t="s">
        <v>57</v>
      </c>
      <c r="D66" s="103">
        <f t="shared" si="2"/>
        <v>4</v>
      </c>
      <c r="E66" s="89" t="s">
        <v>1551</v>
      </c>
      <c r="G66" s="103">
        <f>ROUND((32768/BASE_FLUX) * MTPAFlux_29,0)</f>
        <v>11012</v>
      </c>
      <c r="H66" s="94" t="str">
        <f>IF(G66&lt;&gt;"",IF(C66="float32",FLOAT2HEX(G66),DEC2HEX(G66,8)),"")</f>
        <v>00002B04</v>
      </c>
      <c r="I66" s="94">
        <f t="shared" si="3"/>
        <v>11012</v>
      </c>
    </row>
    <row r="67" spans="1:9">
      <c r="A67" s="96">
        <f>IF(I67&lt;&gt;"",MAX(A$1:A66)+1,"")</f>
        <v>60</v>
      </c>
      <c r="B67" s="97" t="s">
        <v>1360</v>
      </c>
      <c r="C67" s="103" t="s">
        <v>57</v>
      </c>
      <c r="D67" s="103">
        <f t="shared" si="2"/>
        <v>4</v>
      </c>
      <c r="E67" s="89" t="s">
        <v>1552</v>
      </c>
      <c r="G67" s="103">
        <f>ROUND((32768/BASE_TORQ) * MTPATorque_30,0)</f>
        <v>3220</v>
      </c>
      <c r="H67" s="94" t="str">
        <f>IF(G67&lt;&gt;"",IF(C67="float32",FLOAT2HEX(G67),DEC2HEX(G67,8)),"")</f>
        <v>00000C94</v>
      </c>
      <c r="I67" s="94">
        <f t="shared" si="3"/>
        <v>3220</v>
      </c>
    </row>
    <row r="68" spans="1:9">
      <c r="A68" s="96">
        <f>IF(I68&lt;&gt;"",MAX(A$1:A67)+1,"")</f>
        <v>61</v>
      </c>
      <c r="B68" s="74" t="s">
        <v>1441</v>
      </c>
      <c r="C68" s="103" t="s">
        <v>57</v>
      </c>
      <c r="D68" s="103">
        <f t="shared" si="2"/>
        <v>4</v>
      </c>
      <c r="E68" s="89" t="s">
        <v>1553</v>
      </c>
      <c r="G68" s="103">
        <f>ROUND((32768/BASE_FLUX) * MTPAFlux_30,0)</f>
        <v>11093</v>
      </c>
      <c r="H68" s="94" t="str">
        <f>IF(G68&lt;&gt;"",IF(C68="float32",FLOAT2HEX(G68),DEC2HEX(G68,8)),"")</f>
        <v>00002B55</v>
      </c>
      <c r="I68" s="94">
        <f t="shared" si="3"/>
        <v>11093</v>
      </c>
    </row>
    <row r="69" spans="1:9">
      <c r="A69" s="96">
        <f>IF(I69&lt;&gt;"",MAX(A$1:A68)+1,"")</f>
        <v>62</v>
      </c>
      <c r="B69" s="97" t="s">
        <v>1361</v>
      </c>
      <c r="C69" s="103" t="s">
        <v>57</v>
      </c>
      <c r="D69" s="103">
        <f t="shared" si="2"/>
        <v>4</v>
      </c>
      <c r="E69" s="89" t="s">
        <v>1554</v>
      </c>
      <c r="G69" s="103">
        <f>ROUND((32768/BASE_TORQ) * MTPATorque_31,0)</f>
        <v>3328</v>
      </c>
      <c r="H69" s="94" t="str">
        <f>IF(G69&lt;&gt;"",IF(C69="float32",FLOAT2HEX(G69),DEC2HEX(G69,8)),"")</f>
        <v>00000D00</v>
      </c>
      <c r="I69" s="94">
        <f t="shared" si="3"/>
        <v>3328</v>
      </c>
    </row>
    <row r="70" spans="1:9">
      <c r="A70" s="96">
        <f>IF(I70&lt;&gt;"",MAX(A$1:A69)+1,"")</f>
        <v>63</v>
      </c>
      <c r="B70" s="74" t="s">
        <v>1442</v>
      </c>
      <c r="C70" s="103" t="s">
        <v>57</v>
      </c>
      <c r="D70" s="103">
        <f t="shared" si="2"/>
        <v>4</v>
      </c>
      <c r="E70" s="89" t="s">
        <v>1555</v>
      </c>
      <c r="G70" s="103">
        <f>ROUND((32768/BASE_FLUX) * MTPAFlux_31,0)</f>
        <v>10513</v>
      </c>
      <c r="H70" s="94" t="str">
        <f>IF(G70&lt;&gt;"",IF(C70="float32",FLOAT2HEX(G70),DEC2HEX(G70,8)),"")</f>
        <v>00002911</v>
      </c>
      <c r="I70" s="94">
        <f t="shared" si="3"/>
        <v>10513</v>
      </c>
    </row>
    <row r="71" spans="1:9">
      <c r="A71" s="96">
        <f>IF(I71&lt;&gt;"",MAX(A$1:A70)+1,"")</f>
        <v>64</v>
      </c>
      <c r="B71" s="97" t="s">
        <v>1362</v>
      </c>
      <c r="C71" s="103" t="s">
        <v>57</v>
      </c>
      <c r="D71" s="103">
        <f t="shared" si="2"/>
        <v>4</v>
      </c>
      <c r="E71" s="89" t="s">
        <v>1556</v>
      </c>
      <c r="G71" s="103">
        <f>ROUND((32768/BASE_TORQ) * MTPATorque_32,0)</f>
        <v>3435</v>
      </c>
      <c r="H71" s="94" t="str">
        <f>IF(G71&lt;&gt;"",IF(C71="float32",FLOAT2HEX(G71),DEC2HEX(G71,8)),"")</f>
        <v>00000D6B</v>
      </c>
      <c r="I71" s="94">
        <f t="shared" si="3"/>
        <v>3435</v>
      </c>
    </row>
    <row r="72" spans="1:9">
      <c r="A72" s="96">
        <f>IF(I72&lt;&gt;"",MAX(A$1:A71)+1,"")</f>
        <v>65</v>
      </c>
      <c r="B72" s="74" t="s">
        <v>1443</v>
      </c>
      <c r="C72" s="103" t="s">
        <v>57</v>
      </c>
      <c r="D72" s="103">
        <f t="shared" si="2"/>
        <v>4</v>
      </c>
      <c r="E72" s="89" t="s">
        <v>1557</v>
      </c>
      <c r="G72" s="103">
        <f>ROUND((32768/BASE_FLUX) * MTPAFlux_32,0)</f>
        <v>10582</v>
      </c>
      <c r="H72" s="94" t="str">
        <f>IF(G72&lt;&gt;"",IF(C72="float32",FLOAT2HEX(G72),DEC2HEX(G72,8)),"")</f>
        <v>00002956</v>
      </c>
      <c r="I72" s="94">
        <f t="shared" si="3"/>
        <v>10582</v>
      </c>
    </row>
    <row r="73" spans="1:9">
      <c r="A73" s="96">
        <f>IF(I73&lt;&gt;"",MAX(A$1:A72)+1,"")</f>
        <v>66</v>
      </c>
      <c r="B73" s="97" t="s">
        <v>1363</v>
      </c>
      <c r="C73" s="103" t="s">
        <v>57</v>
      </c>
      <c r="D73" s="103">
        <f t="shared" si="2"/>
        <v>4</v>
      </c>
      <c r="E73" s="89" t="s">
        <v>1558</v>
      </c>
      <c r="G73" s="103">
        <f>ROUND((32768/BASE_TORQ) * MTPATorque_33,0)</f>
        <v>3542</v>
      </c>
      <c r="H73" s="94" t="str">
        <f>IF(G73&lt;&gt;"",IF(C73="float32",FLOAT2HEX(G73),DEC2HEX(G73,8)),"")</f>
        <v>00000DD6</v>
      </c>
      <c r="I73" s="94">
        <f t="shared" si="3"/>
        <v>3542</v>
      </c>
    </row>
    <row r="74" spans="1:9">
      <c r="A74" s="96">
        <f>IF(I74&lt;&gt;"",MAX(A$1:A73)+1,"")</f>
        <v>67</v>
      </c>
      <c r="B74" s="74" t="s">
        <v>1444</v>
      </c>
      <c r="C74" s="103" t="s">
        <v>57</v>
      </c>
      <c r="D74" s="103">
        <f t="shared" si="2"/>
        <v>4</v>
      </c>
      <c r="E74" s="89" t="s">
        <v>1559</v>
      </c>
      <c r="G74" s="103">
        <f>ROUND((32768/BASE_FLUX) * MTPAFlux_33,0)</f>
        <v>10637</v>
      </c>
      <c r="H74" s="94" t="str">
        <f>IF(G74&lt;&gt;"",IF(C74="float32",FLOAT2HEX(G74),DEC2HEX(G74,8)),"")</f>
        <v>0000298D</v>
      </c>
      <c r="I74" s="94">
        <f t="shared" si="3"/>
        <v>10637</v>
      </c>
    </row>
    <row r="75" spans="1:9">
      <c r="A75" s="96">
        <f>IF(I75&lt;&gt;"",MAX(A$1:A74)+1,"")</f>
        <v>68</v>
      </c>
      <c r="B75" s="97" t="s">
        <v>1364</v>
      </c>
      <c r="C75" s="103" t="s">
        <v>57</v>
      </c>
      <c r="D75" s="103">
        <f t="shared" si="2"/>
        <v>4</v>
      </c>
      <c r="E75" s="89" t="s">
        <v>1560</v>
      </c>
      <c r="G75" s="103">
        <f>ROUND((32768/BASE_TORQ) * MTPATorque_34,0)</f>
        <v>3650</v>
      </c>
      <c r="H75" s="94" t="str">
        <f>IF(G75&lt;&gt;"",IF(C75="float32",FLOAT2HEX(G75),DEC2HEX(G75,8)),"")</f>
        <v>00000E42</v>
      </c>
      <c r="I75" s="94">
        <f t="shared" si="3"/>
        <v>3650</v>
      </c>
    </row>
    <row r="76" spans="1:9">
      <c r="A76" s="96">
        <f>IF(I76&lt;&gt;"",MAX(A$1:A75)+1,"")</f>
        <v>69</v>
      </c>
      <c r="B76" s="74" t="s">
        <v>1445</v>
      </c>
      <c r="C76" s="103" t="s">
        <v>57</v>
      </c>
      <c r="D76" s="103">
        <f t="shared" si="2"/>
        <v>4</v>
      </c>
      <c r="E76" s="89" t="s">
        <v>1561</v>
      </c>
      <c r="G76" s="103">
        <f>ROUND((32768/BASE_FLUX) * MTPAFlux_34,0)</f>
        <v>10687</v>
      </c>
      <c r="H76" s="94" t="str">
        <f>IF(G76&lt;&gt;"",IF(C76="float32",FLOAT2HEX(G76),DEC2HEX(G76,8)),"")</f>
        <v>000029BF</v>
      </c>
      <c r="I76" s="94">
        <f t="shared" si="3"/>
        <v>10687</v>
      </c>
    </row>
    <row r="77" spans="1:9">
      <c r="A77" s="96">
        <f>IF(I77&lt;&gt;"",MAX(A$1:A76)+1,"")</f>
        <v>70</v>
      </c>
      <c r="B77" s="97" t="s">
        <v>1365</v>
      </c>
      <c r="C77" s="103" t="s">
        <v>57</v>
      </c>
      <c r="D77" s="103">
        <f t="shared" si="2"/>
        <v>4</v>
      </c>
      <c r="E77" s="89" t="s">
        <v>1562</v>
      </c>
      <c r="G77" s="103">
        <f>ROUND((32768/BASE_TORQ) * MTPATorque_35,0)</f>
        <v>3757</v>
      </c>
      <c r="H77" s="94" t="str">
        <f>IF(G77&lt;&gt;"",IF(C77="float32",FLOAT2HEX(G77),DEC2HEX(G77,8)),"")</f>
        <v>00000EAD</v>
      </c>
      <c r="I77" s="94">
        <f t="shared" si="3"/>
        <v>3757</v>
      </c>
    </row>
    <row r="78" spans="1:9">
      <c r="A78" s="96">
        <f>IF(I78&lt;&gt;"",MAX(A$1:A77)+1,"")</f>
        <v>71</v>
      </c>
      <c r="B78" s="74" t="s">
        <v>1446</v>
      </c>
      <c r="C78" s="103" t="s">
        <v>57</v>
      </c>
      <c r="D78" s="103">
        <f t="shared" si="2"/>
        <v>4</v>
      </c>
      <c r="E78" s="89" t="s">
        <v>1563</v>
      </c>
      <c r="G78" s="103">
        <f>ROUND((32768/BASE_FLUX) * MTPAFlux_35,0)</f>
        <v>10751</v>
      </c>
      <c r="H78" s="94" t="str">
        <f>IF(G78&lt;&gt;"",IF(C78="float32",FLOAT2HEX(G78),DEC2HEX(G78,8)),"")</f>
        <v>000029FF</v>
      </c>
      <c r="I78" s="94">
        <f t="shared" si="3"/>
        <v>10751</v>
      </c>
    </row>
    <row r="79" spans="1:9">
      <c r="A79" s="96">
        <f>IF(I79&lt;&gt;"",MAX(A$1:A78)+1,"")</f>
        <v>72</v>
      </c>
      <c r="B79" s="97" t="s">
        <v>1366</v>
      </c>
      <c r="C79" s="103" t="s">
        <v>57</v>
      </c>
      <c r="D79" s="103">
        <f t="shared" si="2"/>
        <v>4</v>
      </c>
      <c r="E79" s="89" t="s">
        <v>1564</v>
      </c>
      <c r="G79" s="103">
        <f>ROUND((32768/BASE_TORQ) * MTPATorque_36,0)</f>
        <v>3864</v>
      </c>
      <c r="H79" s="94" t="str">
        <f>IF(G79&lt;&gt;"",IF(C79="float32",FLOAT2HEX(G79),DEC2HEX(G79,8)),"")</f>
        <v>00000F18</v>
      </c>
      <c r="I79" s="94">
        <f t="shared" si="3"/>
        <v>3864</v>
      </c>
    </row>
    <row r="80" spans="1:9">
      <c r="A80" s="96">
        <f>IF(I80&lt;&gt;"",MAX(A$1:A79)+1,"")</f>
        <v>73</v>
      </c>
      <c r="B80" s="74" t="s">
        <v>1447</v>
      </c>
      <c r="C80" s="103" t="s">
        <v>57</v>
      </c>
      <c r="D80" s="103">
        <f t="shared" si="2"/>
        <v>4</v>
      </c>
      <c r="E80" s="89" t="s">
        <v>1565</v>
      </c>
      <c r="G80" s="103">
        <f>ROUND((32768/BASE_FLUX) * MTPAFlux_36,0)</f>
        <v>10791</v>
      </c>
      <c r="H80" s="94" t="str">
        <f>IF(G80&lt;&gt;"",IF(C80="float32",FLOAT2HEX(G80),DEC2HEX(G80,8)),"")</f>
        <v>00002A27</v>
      </c>
      <c r="I80" s="94">
        <f t="shared" si="3"/>
        <v>10791</v>
      </c>
    </row>
    <row r="81" spans="1:9">
      <c r="A81" s="96">
        <f>IF(I81&lt;&gt;"",MAX(A$1:A80)+1,"")</f>
        <v>74</v>
      </c>
      <c r="B81" s="97" t="s">
        <v>1367</v>
      </c>
      <c r="C81" s="103" t="s">
        <v>57</v>
      </c>
      <c r="D81" s="103">
        <f t="shared" si="2"/>
        <v>4</v>
      </c>
      <c r="E81" s="89" t="s">
        <v>1566</v>
      </c>
      <c r="G81" s="103">
        <f>ROUND((32768/BASE_TORQ) * MTPATorque_37,0)</f>
        <v>3971</v>
      </c>
      <c r="H81" s="94" t="str">
        <f>IF(G81&lt;&gt;"",IF(C81="float32",FLOAT2HEX(G81),DEC2HEX(G81,8)),"")</f>
        <v>00000F83</v>
      </c>
      <c r="I81" s="94">
        <f t="shared" si="3"/>
        <v>3971</v>
      </c>
    </row>
    <row r="82" spans="1:9">
      <c r="A82" s="96">
        <f>IF(I82&lt;&gt;"",MAX(A$1:A81)+1,"")</f>
        <v>75</v>
      </c>
      <c r="B82" s="74" t="s">
        <v>1448</v>
      </c>
      <c r="C82" s="103" t="s">
        <v>57</v>
      </c>
      <c r="D82" s="103">
        <f t="shared" si="2"/>
        <v>4</v>
      </c>
      <c r="E82" s="89" t="s">
        <v>1567</v>
      </c>
      <c r="G82" s="103">
        <f>ROUND((32768/BASE_FLUX) * MTPAFlux_37,0)</f>
        <v>10853</v>
      </c>
      <c r="H82" s="94" t="str">
        <f>IF(G82&lt;&gt;"",IF(C82="float32",FLOAT2HEX(G82),DEC2HEX(G82,8)),"")</f>
        <v>00002A65</v>
      </c>
      <c r="I82" s="94">
        <f t="shared" si="3"/>
        <v>10853</v>
      </c>
    </row>
    <row r="83" spans="1:9">
      <c r="A83" s="96">
        <f>IF(I83&lt;&gt;"",MAX(A$1:A82)+1,"")</f>
        <v>76</v>
      </c>
      <c r="B83" s="97" t="s">
        <v>1368</v>
      </c>
      <c r="C83" s="103" t="s">
        <v>57</v>
      </c>
      <c r="D83" s="103">
        <f t="shared" si="2"/>
        <v>4</v>
      </c>
      <c r="E83" s="89" t="s">
        <v>1568</v>
      </c>
      <c r="G83" s="103">
        <f>ROUND((32768/BASE_TORQ) * MTPATorque_38,0)</f>
        <v>4079</v>
      </c>
      <c r="H83" s="94" t="str">
        <f>IF(G83&lt;&gt;"",IF(C83="float32",FLOAT2HEX(G83),DEC2HEX(G83,8)),"")</f>
        <v>00000FEF</v>
      </c>
      <c r="I83" s="94">
        <f t="shared" si="3"/>
        <v>4079</v>
      </c>
    </row>
    <row r="84" spans="1:9">
      <c r="A84" s="96">
        <f>IF(I84&lt;&gt;"",MAX(A$1:A83)+1,"")</f>
        <v>77</v>
      </c>
      <c r="B84" s="74" t="s">
        <v>1449</v>
      </c>
      <c r="C84" s="103" t="s">
        <v>57</v>
      </c>
      <c r="D84" s="103">
        <f t="shared" si="2"/>
        <v>4</v>
      </c>
      <c r="E84" s="89" t="s">
        <v>1569</v>
      </c>
      <c r="G84" s="103">
        <f>ROUND((32768/BASE_FLUX) * MTPAFlux_38,0)</f>
        <v>10891</v>
      </c>
      <c r="H84" s="94" t="str">
        <f>IF(G84&lt;&gt;"",IF(C84="float32",FLOAT2HEX(G84),DEC2HEX(G84,8)),"")</f>
        <v>00002A8B</v>
      </c>
      <c r="I84" s="94">
        <f t="shared" si="3"/>
        <v>10891</v>
      </c>
    </row>
    <row r="85" spans="1:9">
      <c r="A85" s="96">
        <f>IF(I85&lt;&gt;"",MAX(A$1:A84)+1,"")</f>
        <v>78</v>
      </c>
      <c r="B85" s="97" t="s">
        <v>1369</v>
      </c>
      <c r="C85" s="103" t="s">
        <v>57</v>
      </c>
      <c r="D85" s="103">
        <f t="shared" si="2"/>
        <v>4</v>
      </c>
      <c r="E85" s="89" t="s">
        <v>1570</v>
      </c>
      <c r="G85" s="103">
        <f>ROUND((32768/BASE_TORQ) * MTPATorque_39,0)</f>
        <v>4186</v>
      </c>
      <c r="H85" s="94" t="str">
        <f>IF(G85&lt;&gt;"",IF(C85="float32",FLOAT2HEX(G85),DEC2HEX(G85,8)),"")</f>
        <v>0000105A</v>
      </c>
      <c r="I85" s="94">
        <f t="shared" si="3"/>
        <v>4186</v>
      </c>
    </row>
    <row r="86" spans="1:9">
      <c r="A86" s="96">
        <f>IF(I86&lt;&gt;"",MAX(A$1:A85)+1,"")</f>
        <v>79</v>
      </c>
      <c r="B86" s="74" t="s">
        <v>1450</v>
      </c>
      <c r="C86" s="103" t="s">
        <v>57</v>
      </c>
      <c r="D86" s="103">
        <f t="shared" si="2"/>
        <v>4</v>
      </c>
      <c r="E86" s="89" t="s">
        <v>1571</v>
      </c>
      <c r="G86" s="103">
        <f>ROUND((32768/BASE_FLUX) * MTPAFlux_39,0)</f>
        <v>11095</v>
      </c>
      <c r="H86" s="94" t="str">
        <f>IF(G86&lt;&gt;"",IF(C86="float32",FLOAT2HEX(G86),DEC2HEX(G86,8)),"")</f>
        <v>00002B57</v>
      </c>
      <c r="I86" s="94">
        <f t="shared" si="3"/>
        <v>11095</v>
      </c>
    </row>
    <row r="87" spans="1:9">
      <c r="A87" s="96">
        <f>IF(I87&lt;&gt;"",MAX(A$1:A86)+1,"")</f>
        <v>80</v>
      </c>
      <c r="B87" s="97" t="s">
        <v>1370</v>
      </c>
      <c r="C87" s="103" t="s">
        <v>57</v>
      </c>
      <c r="D87" s="103">
        <f t="shared" si="2"/>
        <v>4</v>
      </c>
      <c r="E87" s="89" t="s">
        <v>1572</v>
      </c>
      <c r="G87" s="103">
        <f>ROUND((32768/BASE_TORQ) * MTPATorque_40,0)</f>
        <v>4294</v>
      </c>
      <c r="H87" s="94" t="str">
        <f>IF(G87&lt;&gt;"",IF(C87="float32",FLOAT2HEX(G87),DEC2HEX(G87,8)),"")</f>
        <v>000010C6</v>
      </c>
      <c r="I87" s="94">
        <f t="shared" si="3"/>
        <v>4294</v>
      </c>
    </row>
    <row r="88" spans="1:9">
      <c r="A88" s="96">
        <f>IF(I88&lt;&gt;"",MAX(A$1:A87)+1,"")</f>
        <v>81</v>
      </c>
      <c r="B88" s="74" t="s">
        <v>1451</v>
      </c>
      <c r="C88" s="103" t="s">
        <v>57</v>
      </c>
      <c r="D88" s="103">
        <f t="shared" si="2"/>
        <v>4</v>
      </c>
      <c r="E88" s="89" t="s">
        <v>1573</v>
      </c>
      <c r="G88" s="103">
        <f>ROUND((32768/BASE_FLUX) * MTPAFlux_40,0)</f>
        <v>11307</v>
      </c>
      <c r="H88" s="94" t="str">
        <f>IF(G88&lt;&gt;"",IF(C88="float32",FLOAT2HEX(G88),DEC2HEX(G88,8)),"")</f>
        <v>00002C2B</v>
      </c>
      <c r="I88" s="94">
        <f t="shared" si="3"/>
        <v>11307</v>
      </c>
    </row>
    <row r="89" spans="1:9">
      <c r="A89" s="96">
        <f>IF(I89&lt;&gt;"",MAX(A$1:A88)+1,"")</f>
        <v>82</v>
      </c>
      <c r="B89" s="97" t="s">
        <v>1371</v>
      </c>
      <c r="C89" s="103" t="s">
        <v>57</v>
      </c>
      <c r="D89" s="103">
        <f t="shared" si="2"/>
        <v>4</v>
      </c>
      <c r="E89" s="89" t="s">
        <v>1574</v>
      </c>
      <c r="G89" s="103">
        <f>ROUND((32768/BASE_TORQ) * MTPATorque_41,0)</f>
        <v>4401</v>
      </c>
      <c r="H89" s="94" t="str">
        <f>IF(G89&lt;&gt;"",IF(C89="float32",FLOAT2HEX(G89),DEC2HEX(G89,8)),"")</f>
        <v>00001131</v>
      </c>
      <c r="I89" s="94">
        <f t="shared" si="3"/>
        <v>4401</v>
      </c>
    </row>
    <row r="90" spans="1:9">
      <c r="A90" s="96">
        <f>IF(I90&lt;&gt;"",MAX(A$1:A89)+1,"")</f>
        <v>83</v>
      </c>
      <c r="B90" s="74" t="s">
        <v>1452</v>
      </c>
      <c r="C90" s="103" t="s">
        <v>57</v>
      </c>
      <c r="D90" s="103">
        <f t="shared" si="2"/>
        <v>4</v>
      </c>
      <c r="E90" s="89" t="s">
        <v>1575</v>
      </c>
      <c r="G90" s="103">
        <f>ROUND((32768/BASE_FLUX) * MTPAFlux_41,0)</f>
        <v>11483</v>
      </c>
      <c r="H90" s="94" t="str">
        <f>IF(G90&lt;&gt;"",IF(C90="float32",FLOAT2HEX(G90),DEC2HEX(G90,8)),"")</f>
        <v>00002CDB</v>
      </c>
      <c r="I90" s="94">
        <f t="shared" si="3"/>
        <v>11483</v>
      </c>
    </row>
    <row r="91" spans="1:9">
      <c r="A91" s="96">
        <f>IF(I91&lt;&gt;"",MAX(A$1:A90)+1,"")</f>
        <v>84</v>
      </c>
      <c r="B91" s="97" t="s">
        <v>1372</v>
      </c>
      <c r="C91" s="103" t="s">
        <v>57</v>
      </c>
      <c r="D91" s="103">
        <f t="shared" si="2"/>
        <v>4</v>
      </c>
      <c r="E91" s="89" t="s">
        <v>1576</v>
      </c>
      <c r="G91" s="103">
        <f>ROUND((32768/BASE_TORQ) * MTPATorque_42,0)</f>
        <v>4508</v>
      </c>
      <c r="H91" s="94" t="str">
        <f>IF(G91&lt;&gt;"",IF(C91="float32",FLOAT2HEX(G91),DEC2HEX(G91,8)),"")</f>
        <v>0000119C</v>
      </c>
      <c r="I91" s="94">
        <f t="shared" si="3"/>
        <v>4508</v>
      </c>
    </row>
    <row r="92" spans="1:9">
      <c r="A92" s="96">
        <f>IF(I92&lt;&gt;"",MAX(A$1:A91)+1,"")</f>
        <v>85</v>
      </c>
      <c r="B92" s="74" t="s">
        <v>1453</v>
      </c>
      <c r="C92" s="103" t="s">
        <v>57</v>
      </c>
      <c r="D92" s="103">
        <f t="shared" si="2"/>
        <v>4</v>
      </c>
      <c r="E92" s="89" t="s">
        <v>1577</v>
      </c>
      <c r="G92" s="103">
        <f>ROUND((32768/BASE_FLUX) * MTPAFlux_42,0)</f>
        <v>11695</v>
      </c>
      <c r="H92" s="94" t="str">
        <f>IF(G92&lt;&gt;"",IF(C92="float32",FLOAT2HEX(G92),DEC2HEX(G92,8)),"")</f>
        <v>00002DAF</v>
      </c>
      <c r="I92" s="94">
        <f t="shared" si="3"/>
        <v>11695</v>
      </c>
    </row>
    <row r="93" spans="1:9">
      <c r="A93" s="96">
        <f>IF(I93&lt;&gt;"",MAX(A$1:A92)+1,"")</f>
        <v>86</v>
      </c>
      <c r="B93" s="97" t="s">
        <v>1373</v>
      </c>
      <c r="C93" s="103" t="s">
        <v>57</v>
      </c>
      <c r="D93" s="103">
        <f t="shared" si="2"/>
        <v>4</v>
      </c>
      <c r="E93" s="89" t="s">
        <v>1578</v>
      </c>
      <c r="G93" s="103">
        <f>ROUND((32768/BASE_TORQ) * MTPATorque_43,0)</f>
        <v>4616</v>
      </c>
      <c r="H93" s="94" t="str">
        <f>IF(G93&lt;&gt;"",IF(C93="float32",FLOAT2HEX(G93),DEC2HEX(G93,8)),"")</f>
        <v>00001208</v>
      </c>
      <c r="I93" s="94">
        <f t="shared" si="3"/>
        <v>4616</v>
      </c>
    </row>
    <row r="94" spans="1:9">
      <c r="A94" s="96">
        <f>IF(I94&lt;&gt;"",MAX(A$1:A93)+1,"")</f>
        <v>87</v>
      </c>
      <c r="B94" s="74" t="s">
        <v>1454</v>
      </c>
      <c r="C94" s="103" t="s">
        <v>57</v>
      </c>
      <c r="D94" s="103">
        <f t="shared" si="2"/>
        <v>4</v>
      </c>
      <c r="E94" s="89" t="s">
        <v>1579</v>
      </c>
      <c r="G94" s="103">
        <f>ROUND((32768/BASE_FLUX) * MTPAFlux_43,0)</f>
        <v>11881</v>
      </c>
      <c r="H94" s="94" t="str">
        <f>IF(G94&lt;&gt;"",IF(C94="float32",FLOAT2HEX(G94),DEC2HEX(G94,8)),"")</f>
        <v>00002E69</v>
      </c>
      <c r="I94" s="94">
        <f t="shared" si="3"/>
        <v>11881</v>
      </c>
    </row>
    <row r="95" spans="1:9">
      <c r="A95" s="96">
        <f>IF(I95&lt;&gt;"",MAX(A$1:A94)+1,"")</f>
        <v>88</v>
      </c>
      <c r="B95" s="97" t="s">
        <v>1374</v>
      </c>
      <c r="C95" s="103" t="s">
        <v>57</v>
      </c>
      <c r="D95" s="103">
        <f t="shared" si="2"/>
        <v>4</v>
      </c>
      <c r="E95" s="89" t="s">
        <v>1580</v>
      </c>
      <c r="G95" s="103">
        <f>ROUND((32768/BASE_TORQ) * MTPATorque_44,0)</f>
        <v>4723</v>
      </c>
      <c r="H95" s="94" t="str">
        <f>IF(G95&lt;&gt;"",IF(C95="float32",FLOAT2HEX(G95),DEC2HEX(G95,8)),"")</f>
        <v>00001273</v>
      </c>
      <c r="I95" s="94">
        <f t="shared" si="3"/>
        <v>4723</v>
      </c>
    </row>
    <row r="96" spans="1:9">
      <c r="A96" s="96">
        <f>IF(I96&lt;&gt;"",MAX(A$1:A95)+1,"")</f>
        <v>89</v>
      </c>
      <c r="B96" s="74" t="s">
        <v>1455</v>
      </c>
      <c r="C96" s="103" t="s">
        <v>57</v>
      </c>
      <c r="D96" s="103">
        <f t="shared" si="2"/>
        <v>4</v>
      </c>
      <c r="E96" s="89" t="s">
        <v>1581</v>
      </c>
      <c r="G96" s="103">
        <f>ROUND((32768/BASE_FLUX) * MTPAFlux_44,0)</f>
        <v>12093</v>
      </c>
      <c r="H96" s="94" t="str">
        <f>IF(G96&lt;&gt;"",IF(C96="float32",FLOAT2HEX(G96),DEC2HEX(G96,8)),"")</f>
        <v>00002F3D</v>
      </c>
      <c r="I96" s="94">
        <f t="shared" si="3"/>
        <v>12093</v>
      </c>
    </row>
    <row r="97" spans="1:9">
      <c r="A97" s="96">
        <f>IF(I97&lt;&gt;"",MAX(A$1:A96)+1,"")</f>
        <v>90</v>
      </c>
      <c r="B97" s="97" t="s">
        <v>1375</v>
      </c>
      <c r="C97" s="103" t="s">
        <v>57</v>
      </c>
      <c r="D97" s="103">
        <f t="shared" si="2"/>
        <v>4</v>
      </c>
      <c r="E97" s="89" t="s">
        <v>1582</v>
      </c>
      <c r="G97" s="103">
        <f>ROUND((32768/BASE_TORQ) * MTPATorque_45,0)</f>
        <v>4830</v>
      </c>
      <c r="H97" s="94" t="str">
        <f>IF(G97&lt;&gt;"",IF(C97="float32",FLOAT2HEX(G97),DEC2HEX(G97,8)),"")</f>
        <v>000012DE</v>
      </c>
      <c r="I97" s="94">
        <f t="shared" si="3"/>
        <v>4830</v>
      </c>
    </row>
    <row r="98" spans="1:9">
      <c r="A98" s="96">
        <f>IF(I98&lt;&gt;"",MAX(A$1:A97)+1,"")</f>
        <v>91</v>
      </c>
      <c r="B98" s="74" t="s">
        <v>1456</v>
      </c>
      <c r="C98" s="103" t="s">
        <v>57</v>
      </c>
      <c r="D98" s="103">
        <f t="shared" si="2"/>
        <v>4</v>
      </c>
      <c r="E98" s="89" t="s">
        <v>1583</v>
      </c>
      <c r="G98" s="103">
        <f>ROUND((32768/BASE_FLUX) * MTPAFlux_45,0)</f>
        <v>12305</v>
      </c>
      <c r="H98" s="94" t="str">
        <f>IF(G98&lt;&gt;"",IF(C98="float32",FLOAT2HEX(G98),DEC2HEX(G98,8)),"")</f>
        <v>00003011</v>
      </c>
      <c r="I98" s="94">
        <f t="shared" si="3"/>
        <v>12305</v>
      </c>
    </row>
    <row r="99" spans="1:9">
      <c r="A99" s="96">
        <f>IF(I99&lt;&gt;"",MAX(A$1:A98)+1,"")</f>
        <v>92</v>
      </c>
      <c r="B99" s="97" t="s">
        <v>1376</v>
      </c>
      <c r="C99" s="103" t="s">
        <v>57</v>
      </c>
      <c r="D99" s="103">
        <f t="shared" si="2"/>
        <v>4</v>
      </c>
      <c r="E99" s="89" t="s">
        <v>1584</v>
      </c>
      <c r="G99" s="103">
        <f>ROUND((32768/BASE_TORQ) * MTPATorque_46,0)</f>
        <v>4938</v>
      </c>
      <c r="H99" s="94" t="str">
        <f>IF(G99&lt;&gt;"",IF(C99="float32",FLOAT2HEX(G99),DEC2HEX(G99,8)),"")</f>
        <v>0000134A</v>
      </c>
      <c r="I99" s="94">
        <f t="shared" si="3"/>
        <v>4938</v>
      </c>
    </row>
    <row r="100" spans="1:9">
      <c r="A100" s="96">
        <f>IF(I100&lt;&gt;"",MAX(A$1:A99)+1,"")</f>
        <v>93</v>
      </c>
      <c r="B100" s="74" t="s">
        <v>1457</v>
      </c>
      <c r="C100" s="103" t="s">
        <v>57</v>
      </c>
      <c r="D100" s="103">
        <f t="shared" si="2"/>
        <v>4</v>
      </c>
      <c r="E100" s="89" t="s">
        <v>1585</v>
      </c>
      <c r="G100" s="103">
        <f>ROUND((32768/BASE_FLUX) * MTPAFlux_46,0)</f>
        <v>12490</v>
      </c>
      <c r="H100" s="94" t="str">
        <f>IF(G100&lt;&gt;"",IF(C100="float32",FLOAT2HEX(G100),DEC2HEX(G100,8)),"")</f>
        <v>000030CA</v>
      </c>
      <c r="I100" s="94">
        <f t="shared" si="3"/>
        <v>12490</v>
      </c>
    </row>
    <row r="101" spans="1:9">
      <c r="A101" s="96">
        <f>IF(I101&lt;&gt;"",MAX(A$1:A100)+1,"")</f>
        <v>94</v>
      </c>
      <c r="B101" s="97" t="s">
        <v>1377</v>
      </c>
      <c r="C101" s="103" t="s">
        <v>57</v>
      </c>
      <c r="D101" s="103">
        <f t="shared" si="2"/>
        <v>4</v>
      </c>
      <c r="E101" s="89" t="s">
        <v>1586</v>
      </c>
      <c r="G101" s="103">
        <f>ROUND((32768/BASE_TORQ) * MTPATorque_47,0)</f>
        <v>5045</v>
      </c>
      <c r="H101" s="94" t="str">
        <f>IF(G101&lt;&gt;"",IF(C101="float32",FLOAT2HEX(G101),DEC2HEX(G101,8)),"")</f>
        <v>000013B5</v>
      </c>
      <c r="I101" s="94">
        <f t="shared" si="3"/>
        <v>5045</v>
      </c>
    </row>
    <row r="102" spans="1:9">
      <c r="A102" s="96">
        <f>IF(I102&lt;&gt;"",MAX(A$1:A101)+1,"")</f>
        <v>95</v>
      </c>
      <c r="B102" s="74" t="s">
        <v>1458</v>
      </c>
      <c r="C102" s="103" t="s">
        <v>57</v>
      </c>
      <c r="D102" s="103">
        <f t="shared" si="2"/>
        <v>4</v>
      </c>
      <c r="E102" s="89" t="s">
        <v>1587</v>
      </c>
      <c r="G102" s="103">
        <f>ROUND((32768/BASE_FLUX) * MTPAFlux_47,0)</f>
        <v>12702</v>
      </c>
      <c r="H102" s="94" t="str">
        <f>IF(G102&lt;&gt;"",IF(C102="float32",FLOAT2HEX(G102),DEC2HEX(G102,8)),"")</f>
        <v>0000319E</v>
      </c>
      <c r="I102" s="94">
        <f t="shared" si="3"/>
        <v>12702</v>
      </c>
    </row>
    <row r="103" spans="1:9">
      <c r="A103" s="96">
        <f>IF(I103&lt;&gt;"",MAX(A$1:A102)+1,"")</f>
        <v>96</v>
      </c>
      <c r="B103" s="97" t="s">
        <v>1378</v>
      </c>
      <c r="C103" s="103" t="s">
        <v>57</v>
      </c>
      <c r="D103" s="103">
        <f t="shared" ref="D103:D166" si="4">IF(OR(C103="sint64",C103="uint64",C103="double64"), 8, IF(OR(C103="sint32",C103="uint32",C103="float32"),4,IF(OR(C103="sint16",C103="uint16"),2,  IF(OR(C103="sint8",C103="uint8"),1,""))))</f>
        <v>4</v>
      </c>
      <c r="E103" s="89" t="s">
        <v>1588</v>
      </c>
      <c r="G103" s="103">
        <f>ROUND((32768/BASE_TORQ) * MTPATorque_48,0)</f>
        <v>5152</v>
      </c>
      <c r="H103" s="94" t="str">
        <f>IF(G103&lt;&gt;"",IF(C103="float32",FLOAT2HEX(G103),DEC2HEX(G103,8)),"")</f>
        <v>00001420</v>
      </c>
      <c r="I103" s="94">
        <f t="shared" ref="I103:I166" si="5">IF(G103&lt;&gt;"",HEX2DEC(H103),"")</f>
        <v>5152</v>
      </c>
    </row>
    <row r="104" spans="1:9">
      <c r="A104" s="96">
        <f>IF(I104&lt;&gt;"",MAX(A$1:A103)+1,"")</f>
        <v>97</v>
      </c>
      <c r="B104" s="74" t="s">
        <v>1459</v>
      </c>
      <c r="C104" s="103" t="s">
        <v>57</v>
      </c>
      <c r="D104" s="103">
        <f t="shared" si="4"/>
        <v>4</v>
      </c>
      <c r="E104" s="89" t="s">
        <v>1589</v>
      </c>
      <c r="G104" s="103">
        <f>ROUND((32768/BASE_FLUX) * MTPAFlux_48,0)</f>
        <v>12914</v>
      </c>
      <c r="H104" s="94" t="str">
        <f>IF(G104&lt;&gt;"",IF(C104="float32",FLOAT2HEX(G104),DEC2HEX(G104,8)),"")</f>
        <v>00003272</v>
      </c>
      <c r="I104" s="94">
        <f t="shared" si="5"/>
        <v>12914</v>
      </c>
    </row>
    <row r="105" spans="1:9">
      <c r="A105" s="96">
        <f>IF(I105&lt;&gt;"",MAX(A$1:A104)+1,"")</f>
        <v>98</v>
      </c>
      <c r="B105" s="97" t="s">
        <v>1379</v>
      </c>
      <c r="C105" s="103" t="s">
        <v>57</v>
      </c>
      <c r="D105" s="103">
        <f t="shared" si="4"/>
        <v>4</v>
      </c>
      <c r="E105" s="89" t="s">
        <v>1590</v>
      </c>
      <c r="G105" s="103">
        <f>ROUND((32768/BASE_TORQ) * MTPATorque_49,0)</f>
        <v>5259</v>
      </c>
      <c r="H105" s="94" t="str">
        <f>IF(G105&lt;&gt;"",IF(C105="float32",FLOAT2HEX(G105),DEC2HEX(G105,8)),"")</f>
        <v>0000148B</v>
      </c>
      <c r="I105" s="94">
        <f t="shared" si="5"/>
        <v>5259</v>
      </c>
    </row>
    <row r="106" spans="1:9">
      <c r="A106" s="96">
        <f>IF(I106&lt;&gt;"",MAX(A$1:A105)+1,"")</f>
        <v>99</v>
      </c>
      <c r="B106" s="74" t="s">
        <v>1460</v>
      </c>
      <c r="C106" s="103" t="s">
        <v>57</v>
      </c>
      <c r="D106" s="103">
        <f t="shared" si="4"/>
        <v>4</v>
      </c>
      <c r="E106" s="89" t="s">
        <v>1591</v>
      </c>
      <c r="G106" s="103">
        <f>ROUND((32768/BASE_FLUX) * MTPAFlux_49,0)</f>
        <v>13100</v>
      </c>
      <c r="H106" s="94" t="str">
        <f>IF(G106&lt;&gt;"",IF(C106="float32",FLOAT2HEX(G106),DEC2HEX(G106,8)),"")</f>
        <v>0000332C</v>
      </c>
      <c r="I106" s="94">
        <f t="shared" si="5"/>
        <v>13100</v>
      </c>
    </row>
    <row r="107" spans="1:9">
      <c r="A107" s="96">
        <f>IF(I107&lt;&gt;"",MAX(A$1:A106)+1,"")</f>
        <v>100</v>
      </c>
      <c r="B107" s="97" t="s">
        <v>1380</v>
      </c>
      <c r="C107" s="103" t="s">
        <v>57</v>
      </c>
      <c r="D107" s="103">
        <f t="shared" si="4"/>
        <v>4</v>
      </c>
      <c r="E107" s="89" t="s">
        <v>1592</v>
      </c>
      <c r="G107" s="103">
        <f>ROUND((32768/BASE_TORQ) * MTPATorque_50,0)</f>
        <v>5367</v>
      </c>
      <c r="H107" s="94" t="str">
        <f>IF(G107&lt;&gt;"",IF(C107="float32",FLOAT2HEX(G107),DEC2HEX(G107,8)),"")</f>
        <v>000014F7</v>
      </c>
      <c r="I107" s="94">
        <f t="shared" si="5"/>
        <v>5367</v>
      </c>
    </row>
    <row r="108" spans="1:9">
      <c r="A108" s="96">
        <f>IF(I108&lt;&gt;"",MAX(A$1:A107)+1,"")</f>
        <v>101</v>
      </c>
      <c r="B108" s="74" t="s">
        <v>1461</v>
      </c>
      <c r="C108" s="103" t="s">
        <v>57</v>
      </c>
      <c r="D108" s="103">
        <f t="shared" si="4"/>
        <v>4</v>
      </c>
      <c r="E108" s="89" t="s">
        <v>1593</v>
      </c>
      <c r="G108" s="103">
        <f>ROUND((32768/BASE_FLUX) * MTPAFlux_50,0)</f>
        <v>13312</v>
      </c>
      <c r="H108" s="94" t="str">
        <f>IF(G108&lt;&gt;"",IF(C108="float32",FLOAT2HEX(G108),DEC2HEX(G108,8)),"")</f>
        <v>00003400</v>
      </c>
      <c r="I108" s="94">
        <f t="shared" si="5"/>
        <v>13312</v>
      </c>
    </row>
    <row r="109" spans="1:9">
      <c r="A109" s="96">
        <f>IF(I109&lt;&gt;"",MAX(A$1:A108)+1,"")</f>
        <v>102</v>
      </c>
      <c r="B109" s="97" t="s">
        <v>1381</v>
      </c>
      <c r="C109" s="103" t="s">
        <v>57</v>
      </c>
      <c r="D109" s="103">
        <f t="shared" si="4"/>
        <v>4</v>
      </c>
      <c r="E109" s="89" t="s">
        <v>1594</v>
      </c>
      <c r="G109" s="103">
        <f>ROUND((32768/BASE_TORQ) * MTPATorque_51,0)</f>
        <v>5474</v>
      </c>
      <c r="H109" s="94" t="str">
        <f>IF(G109&lt;&gt;"",IF(C109="float32",FLOAT2HEX(G109),DEC2HEX(G109,8)),"")</f>
        <v>00001562</v>
      </c>
      <c r="I109" s="94">
        <f t="shared" si="5"/>
        <v>5474</v>
      </c>
    </row>
    <row r="110" spans="1:9">
      <c r="A110" s="96">
        <f>IF(I110&lt;&gt;"",MAX(A$1:A109)+1,"")</f>
        <v>103</v>
      </c>
      <c r="B110" s="74" t="s">
        <v>1462</v>
      </c>
      <c r="C110" s="103" t="s">
        <v>57</v>
      </c>
      <c r="D110" s="103">
        <f t="shared" si="4"/>
        <v>4</v>
      </c>
      <c r="E110" s="89" t="s">
        <v>1595</v>
      </c>
      <c r="G110" s="103">
        <f>ROUND((32768/BASE_FLUX) * MTPAFlux_51,0)</f>
        <v>13533</v>
      </c>
      <c r="H110" s="94" t="str">
        <f>IF(G110&lt;&gt;"",IF(C110="float32",FLOAT2HEX(G110),DEC2HEX(G110,8)),"")</f>
        <v>000034DD</v>
      </c>
      <c r="I110" s="94">
        <f t="shared" si="5"/>
        <v>13533</v>
      </c>
    </row>
    <row r="111" spans="1:9">
      <c r="A111" s="96">
        <f>IF(I111&lt;&gt;"",MAX(A$1:A110)+1,"")</f>
        <v>104</v>
      </c>
      <c r="B111" s="97" t="s">
        <v>1382</v>
      </c>
      <c r="C111" s="103" t="s">
        <v>57</v>
      </c>
      <c r="D111" s="103">
        <f t="shared" si="4"/>
        <v>4</v>
      </c>
      <c r="E111" s="89" t="s">
        <v>1596</v>
      </c>
      <c r="G111" s="103">
        <f>ROUND((32768/BASE_TORQ) * MTPATorque_52,0)</f>
        <v>5582</v>
      </c>
      <c r="H111" s="94" t="str">
        <f>IF(G111&lt;&gt;"",IF(C111="float32",FLOAT2HEX(G111),DEC2HEX(G111,8)),"")</f>
        <v>000015CE</v>
      </c>
      <c r="I111" s="94">
        <f t="shared" si="5"/>
        <v>5582</v>
      </c>
    </row>
    <row r="112" spans="1:9">
      <c r="A112" s="96">
        <f>IF(I112&lt;&gt;"",MAX(A$1:A111)+1,"")</f>
        <v>105</v>
      </c>
      <c r="B112" s="74" t="s">
        <v>1463</v>
      </c>
      <c r="C112" s="103" t="s">
        <v>57</v>
      </c>
      <c r="D112" s="103">
        <f t="shared" si="4"/>
        <v>4</v>
      </c>
      <c r="E112" s="89" t="s">
        <v>1597</v>
      </c>
      <c r="G112" s="103">
        <f>ROUND((32768/BASE_FLUX) * MTPAFlux_52,0)</f>
        <v>13745</v>
      </c>
      <c r="H112" s="94" t="str">
        <f>IF(G112&lt;&gt;"",IF(C112="float32",FLOAT2HEX(G112),DEC2HEX(G112,8)),"")</f>
        <v>000035B1</v>
      </c>
      <c r="I112" s="94">
        <f t="shared" si="5"/>
        <v>13745</v>
      </c>
    </row>
    <row r="113" spans="1:9">
      <c r="A113" s="96">
        <f>IF(I113&lt;&gt;"",MAX(A$1:A112)+1,"")</f>
        <v>106</v>
      </c>
      <c r="B113" s="97" t="s">
        <v>1383</v>
      </c>
      <c r="C113" s="103" t="s">
        <v>57</v>
      </c>
      <c r="D113" s="103">
        <f t="shared" si="4"/>
        <v>4</v>
      </c>
      <c r="E113" s="89" t="s">
        <v>1598</v>
      </c>
      <c r="G113" s="103">
        <f>ROUND((32768/BASE_TORQ) * MTPATorque_53,0)</f>
        <v>5689</v>
      </c>
      <c r="H113" s="94" t="str">
        <f>IF(G113&lt;&gt;"",IF(C113="float32",FLOAT2HEX(G113),DEC2HEX(G113,8)),"")</f>
        <v>00001639</v>
      </c>
      <c r="I113" s="94">
        <f t="shared" si="5"/>
        <v>5689</v>
      </c>
    </row>
    <row r="114" spans="1:9">
      <c r="A114" s="96">
        <f>IF(I114&lt;&gt;"",MAX(A$1:A113)+1,"")</f>
        <v>107</v>
      </c>
      <c r="B114" s="74" t="s">
        <v>1464</v>
      </c>
      <c r="C114" s="103" t="s">
        <v>57</v>
      </c>
      <c r="D114" s="103">
        <f t="shared" si="4"/>
        <v>4</v>
      </c>
      <c r="E114" s="89" t="s">
        <v>1599</v>
      </c>
      <c r="G114" s="103">
        <f>ROUND((32768/BASE_FLUX) * MTPAFlux_53,0)</f>
        <v>13965</v>
      </c>
      <c r="H114" s="94" t="str">
        <f>IF(G114&lt;&gt;"",IF(C114="float32",FLOAT2HEX(G114),DEC2HEX(G114,8)),"")</f>
        <v>0000368D</v>
      </c>
      <c r="I114" s="94">
        <f t="shared" si="5"/>
        <v>13965</v>
      </c>
    </row>
    <row r="115" spans="1:9">
      <c r="A115" s="96">
        <f>IF(I115&lt;&gt;"",MAX(A$1:A114)+1,"")</f>
        <v>108</v>
      </c>
      <c r="B115" s="97" t="s">
        <v>1384</v>
      </c>
      <c r="C115" s="103" t="s">
        <v>57</v>
      </c>
      <c r="D115" s="103">
        <f t="shared" si="4"/>
        <v>4</v>
      </c>
      <c r="E115" s="89" t="s">
        <v>1600</v>
      </c>
      <c r="G115" s="103">
        <f>ROUND((32768/BASE_TORQ) * MTPATorque_54,0)</f>
        <v>5796</v>
      </c>
      <c r="H115" s="94" t="str">
        <f>IF(G115&lt;&gt;"",IF(C115="float32",FLOAT2HEX(G115),DEC2HEX(G115,8)),"")</f>
        <v>000016A4</v>
      </c>
      <c r="I115" s="94">
        <f t="shared" si="5"/>
        <v>5796</v>
      </c>
    </row>
    <row r="116" spans="1:9">
      <c r="A116" s="96">
        <f>IF(I116&lt;&gt;"",MAX(A$1:A115)+1,"")</f>
        <v>109</v>
      </c>
      <c r="B116" s="74" t="s">
        <v>1465</v>
      </c>
      <c r="C116" s="103" t="s">
        <v>57</v>
      </c>
      <c r="D116" s="103">
        <f t="shared" si="4"/>
        <v>4</v>
      </c>
      <c r="E116" s="89" t="s">
        <v>1601</v>
      </c>
      <c r="G116" s="103">
        <f>ROUND((32768/BASE_FLUX) * MTPAFlux_54,0)</f>
        <v>14142</v>
      </c>
      <c r="H116" s="94" t="str">
        <f>IF(G116&lt;&gt;"",IF(C116="float32",FLOAT2HEX(G116),DEC2HEX(G116,8)),"")</f>
        <v>0000373E</v>
      </c>
      <c r="I116" s="94">
        <f t="shared" si="5"/>
        <v>14142</v>
      </c>
    </row>
    <row r="117" spans="1:9">
      <c r="A117" s="96">
        <f>IF(I117&lt;&gt;"",MAX(A$1:A116)+1,"")</f>
        <v>110</v>
      </c>
      <c r="B117" s="97" t="s">
        <v>1385</v>
      </c>
      <c r="C117" s="103" t="s">
        <v>57</v>
      </c>
      <c r="D117" s="103">
        <f t="shared" si="4"/>
        <v>4</v>
      </c>
      <c r="E117" s="89" t="s">
        <v>1602</v>
      </c>
      <c r="G117" s="103">
        <f>ROUND((32768/BASE_TORQ) * MTPATorque_55,0)</f>
        <v>5904</v>
      </c>
      <c r="H117" s="94" t="str">
        <f>IF(G117&lt;&gt;"",IF(C117="float32",FLOAT2HEX(G117),DEC2HEX(G117,8)),"")</f>
        <v>00001710</v>
      </c>
      <c r="I117" s="94">
        <f t="shared" si="5"/>
        <v>5904</v>
      </c>
    </row>
    <row r="118" spans="1:9">
      <c r="A118" s="96">
        <f>IF(I118&lt;&gt;"",MAX(A$1:A117)+1,"")</f>
        <v>111</v>
      </c>
      <c r="B118" s="74" t="s">
        <v>1466</v>
      </c>
      <c r="C118" s="103" t="s">
        <v>57</v>
      </c>
      <c r="D118" s="103">
        <f t="shared" si="4"/>
        <v>4</v>
      </c>
      <c r="E118" s="89" t="s">
        <v>1603</v>
      </c>
      <c r="G118" s="103">
        <f>ROUND((32768/BASE_FLUX) * MTPAFlux_55,0)</f>
        <v>14354</v>
      </c>
      <c r="H118" s="94" t="str">
        <f>IF(G118&lt;&gt;"",IF(C118="float32",FLOAT2HEX(G118),DEC2HEX(G118,8)),"")</f>
        <v>00003812</v>
      </c>
      <c r="I118" s="94">
        <f t="shared" si="5"/>
        <v>14354</v>
      </c>
    </row>
    <row r="119" spans="1:9">
      <c r="A119" s="96">
        <f>IF(I119&lt;&gt;"",MAX(A$1:A118)+1,"")</f>
        <v>112</v>
      </c>
      <c r="B119" s="97" t="s">
        <v>1386</v>
      </c>
      <c r="C119" s="103" t="s">
        <v>57</v>
      </c>
      <c r="D119" s="103">
        <f t="shared" si="4"/>
        <v>4</v>
      </c>
      <c r="E119" s="89" t="s">
        <v>1604</v>
      </c>
      <c r="G119" s="103">
        <f>ROUND((32768/BASE_TORQ) * MTPATorque_56,0)</f>
        <v>6011</v>
      </c>
      <c r="H119" s="94" t="str">
        <f>IF(G119&lt;&gt;"",IF(C119="float32",FLOAT2HEX(G119),DEC2HEX(G119,8)),"")</f>
        <v>0000177B</v>
      </c>
      <c r="I119" s="94">
        <f t="shared" si="5"/>
        <v>6011</v>
      </c>
    </row>
    <row r="120" spans="1:9">
      <c r="A120" s="96">
        <f>IF(I120&lt;&gt;"",MAX(A$1:A119)+1,"")</f>
        <v>113</v>
      </c>
      <c r="B120" s="74" t="s">
        <v>1467</v>
      </c>
      <c r="C120" s="103" t="s">
        <v>57</v>
      </c>
      <c r="D120" s="103">
        <f t="shared" si="4"/>
        <v>4</v>
      </c>
      <c r="E120" s="89" t="s">
        <v>1605</v>
      </c>
      <c r="G120" s="103">
        <f>ROUND((32768/BASE_FLUX) * MTPAFlux_56,0)</f>
        <v>14575</v>
      </c>
      <c r="H120" s="94" t="str">
        <f>IF(G120&lt;&gt;"",IF(C120="float32",FLOAT2HEX(G120),DEC2HEX(G120,8)),"")</f>
        <v>000038EF</v>
      </c>
      <c r="I120" s="94">
        <f t="shared" si="5"/>
        <v>14575</v>
      </c>
    </row>
    <row r="121" spans="1:9">
      <c r="A121" s="96">
        <f>IF(I121&lt;&gt;"",MAX(A$1:A120)+1,"")</f>
        <v>114</v>
      </c>
      <c r="B121" s="97" t="s">
        <v>1387</v>
      </c>
      <c r="C121" s="103" t="s">
        <v>57</v>
      </c>
      <c r="D121" s="103">
        <f t="shared" si="4"/>
        <v>4</v>
      </c>
      <c r="E121" s="89" t="s">
        <v>1606</v>
      </c>
      <c r="G121" s="103">
        <f>ROUND((32768/BASE_TORQ) * MTPATorque_57,0)</f>
        <v>6118</v>
      </c>
      <c r="H121" s="94" t="str">
        <f>IF(G121&lt;&gt;"",IF(C121="float32",FLOAT2HEX(G121),DEC2HEX(G121,8)),"")</f>
        <v>000017E6</v>
      </c>
      <c r="I121" s="94">
        <f t="shared" si="5"/>
        <v>6118</v>
      </c>
    </row>
    <row r="122" spans="1:9">
      <c r="A122" s="96">
        <f>IF(I122&lt;&gt;"",MAX(A$1:A121)+1,"")</f>
        <v>115</v>
      </c>
      <c r="B122" s="74" t="s">
        <v>1468</v>
      </c>
      <c r="C122" s="103" t="s">
        <v>57</v>
      </c>
      <c r="D122" s="103">
        <f t="shared" si="4"/>
        <v>4</v>
      </c>
      <c r="E122" s="89" t="s">
        <v>1607</v>
      </c>
      <c r="G122" s="103">
        <f>ROUND((32768/BASE_FLUX) * MTPAFlux_57,0)</f>
        <v>14787</v>
      </c>
      <c r="H122" s="94" t="str">
        <f>IF(G122&lt;&gt;"",IF(C122="float32",FLOAT2HEX(G122),DEC2HEX(G122,8)),"")</f>
        <v>000039C3</v>
      </c>
      <c r="I122" s="94">
        <f t="shared" si="5"/>
        <v>14787</v>
      </c>
    </row>
    <row r="123" spans="1:9">
      <c r="A123" s="96">
        <f>IF(I123&lt;&gt;"",MAX(A$1:A122)+1,"")</f>
        <v>116</v>
      </c>
      <c r="B123" s="97" t="s">
        <v>1388</v>
      </c>
      <c r="C123" s="103" t="s">
        <v>57</v>
      </c>
      <c r="D123" s="103">
        <f t="shared" si="4"/>
        <v>4</v>
      </c>
      <c r="E123" s="89" t="s">
        <v>1608</v>
      </c>
      <c r="G123" s="103">
        <f>ROUND((32768/BASE_TORQ) * MTPATorque_58,0)</f>
        <v>6226</v>
      </c>
      <c r="H123" s="94" t="str">
        <f>IF(G123&lt;&gt;"",IF(C123="float32",FLOAT2HEX(G123),DEC2HEX(G123,8)),"")</f>
        <v>00001852</v>
      </c>
      <c r="I123" s="94">
        <f t="shared" si="5"/>
        <v>6226</v>
      </c>
    </row>
    <row r="124" spans="1:9">
      <c r="A124" s="96">
        <f>IF(I124&lt;&gt;"",MAX(A$1:A123)+1,"")</f>
        <v>117</v>
      </c>
      <c r="B124" s="74" t="s">
        <v>1469</v>
      </c>
      <c r="C124" s="103" t="s">
        <v>57</v>
      </c>
      <c r="D124" s="103">
        <f t="shared" si="4"/>
        <v>4</v>
      </c>
      <c r="E124" s="89" t="s">
        <v>1609</v>
      </c>
      <c r="G124" s="103">
        <f>ROUND((32768/BASE_FLUX) * MTPAFlux_58,0)</f>
        <v>14999</v>
      </c>
      <c r="H124" s="94" t="str">
        <f>IF(G124&lt;&gt;"",IF(C124="float32",FLOAT2HEX(G124),DEC2HEX(G124,8)),"")</f>
        <v>00003A97</v>
      </c>
      <c r="I124" s="94">
        <f t="shared" si="5"/>
        <v>14999</v>
      </c>
    </row>
    <row r="125" spans="1:9">
      <c r="A125" s="96">
        <f>IF(I125&lt;&gt;"",MAX(A$1:A124)+1,"")</f>
        <v>118</v>
      </c>
      <c r="B125" s="97" t="s">
        <v>1389</v>
      </c>
      <c r="C125" s="103" t="s">
        <v>57</v>
      </c>
      <c r="D125" s="103">
        <f t="shared" si="4"/>
        <v>4</v>
      </c>
      <c r="E125" s="89" t="s">
        <v>1610</v>
      </c>
      <c r="G125" s="103">
        <f>ROUND((32768/BASE_TORQ) * MTPATorque_59,0)</f>
        <v>6333</v>
      </c>
      <c r="H125" s="94" t="str">
        <f>IF(G125&lt;&gt;"",IF(C125="float32",FLOAT2HEX(G125),DEC2HEX(G125,8)),"")</f>
        <v>000018BD</v>
      </c>
      <c r="I125" s="94">
        <f t="shared" si="5"/>
        <v>6333</v>
      </c>
    </row>
    <row r="126" spans="1:9">
      <c r="A126" s="96">
        <f>IF(I126&lt;&gt;"",MAX(A$1:A125)+1,"")</f>
        <v>119</v>
      </c>
      <c r="B126" s="74" t="s">
        <v>1470</v>
      </c>
      <c r="C126" s="103" t="s">
        <v>57</v>
      </c>
      <c r="D126" s="103">
        <f t="shared" si="4"/>
        <v>4</v>
      </c>
      <c r="E126" s="89" t="s">
        <v>1611</v>
      </c>
      <c r="G126" s="103">
        <f>ROUND((32768/BASE_FLUX) * MTPAFlux_59,0)</f>
        <v>15211</v>
      </c>
      <c r="H126" s="94" t="str">
        <f>IF(G126&lt;&gt;"",IF(C126="float32",FLOAT2HEX(G126),DEC2HEX(G126,8)),"")</f>
        <v>00003B6B</v>
      </c>
      <c r="I126" s="94">
        <f t="shared" si="5"/>
        <v>15211</v>
      </c>
    </row>
    <row r="127" spans="1:9">
      <c r="A127" s="96">
        <f>IF(I127&lt;&gt;"",MAX(A$1:A126)+1,"")</f>
        <v>120</v>
      </c>
      <c r="B127" s="97" t="s">
        <v>1390</v>
      </c>
      <c r="C127" s="103" t="s">
        <v>57</v>
      </c>
      <c r="D127" s="103">
        <f t="shared" si="4"/>
        <v>4</v>
      </c>
      <c r="E127" s="89" t="s">
        <v>1612</v>
      </c>
      <c r="G127" s="103">
        <f>ROUND((32768/BASE_TORQ) * MTPATorque_60,0)</f>
        <v>6440</v>
      </c>
      <c r="H127" s="94" t="str">
        <f>IF(G127&lt;&gt;"",IF(C127="float32",FLOAT2HEX(G127),DEC2HEX(G127,8)),"")</f>
        <v>00001928</v>
      </c>
      <c r="I127" s="94">
        <f t="shared" si="5"/>
        <v>6440</v>
      </c>
    </row>
    <row r="128" spans="1:9">
      <c r="A128" s="96">
        <f>IF(I128&lt;&gt;"",MAX(A$1:A127)+1,"")</f>
        <v>121</v>
      </c>
      <c r="B128" s="74" t="s">
        <v>1471</v>
      </c>
      <c r="C128" s="103" t="s">
        <v>57</v>
      </c>
      <c r="D128" s="103">
        <f t="shared" si="4"/>
        <v>4</v>
      </c>
      <c r="E128" s="89" t="s">
        <v>1613</v>
      </c>
      <c r="G128" s="103">
        <f>ROUND((32768/BASE_FLUX) * MTPAFlux_60,0)</f>
        <v>15423</v>
      </c>
      <c r="H128" s="94" t="str">
        <f>IF(G128&lt;&gt;"",IF(C128="float32",FLOAT2HEX(G128),DEC2HEX(G128,8)),"")</f>
        <v>00003C3F</v>
      </c>
      <c r="I128" s="94">
        <f t="shared" si="5"/>
        <v>15423</v>
      </c>
    </row>
    <row r="129" spans="1:9">
      <c r="A129" s="96">
        <f>IF(I129&lt;&gt;"",MAX(A$1:A128)+1,"")</f>
        <v>122</v>
      </c>
      <c r="B129" s="97" t="s">
        <v>1391</v>
      </c>
      <c r="C129" s="103" t="s">
        <v>57</v>
      </c>
      <c r="D129" s="103">
        <f t="shared" si="4"/>
        <v>4</v>
      </c>
      <c r="E129" s="89" t="s">
        <v>1614</v>
      </c>
      <c r="G129" s="103">
        <f>ROUND((32768/BASE_TORQ) * MTPATorque_61,0)</f>
        <v>6548</v>
      </c>
      <c r="H129" s="94" t="str">
        <f>IF(G129&lt;&gt;"",IF(C129="float32",FLOAT2HEX(G129),DEC2HEX(G129,8)),"")</f>
        <v>00001994</v>
      </c>
      <c r="I129" s="94">
        <f t="shared" si="5"/>
        <v>6548</v>
      </c>
    </row>
    <row r="130" spans="1:9">
      <c r="A130" s="96">
        <f>IF(I130&lt;&gt;"",MAX(A$1:A129)+1,"")</f>
        <v>123</v>
      </c>
      <c r="B130" s="74" t="s">
        <v>1472</v>
      </c>
      <c r="C130" s="103" t="s">
        <v>57</v>
      </c>
      <c r="D130" s="103">
        <f t="shared" si="4"/>
        <v>4</v>
      </c>
      <c r="E130" s="89" t="s">
        <v>1615</v>
      </c>
      <c r="G130" s="103">
        <f>ROUND((32768/BASE_FLUX) * MTPAFlux_61,0)</f>
        <v>15626</v>
      </c>
      <c r="H130" s="94" t="str">
        <f>IF(G130&lt;&gt;"",IF(C130="float32",FLOAT2HEX(G130),DEC2HEX(G130,8)),"")</f>
        <v>00003D0A</v>
      </c>
      <c r="I130" s="94">
        <f t="shared" si="5"/>
        <v>15626</v>
      </c>
    </row>
    <row r="131" spans="1:9">
      <c r="A131" s="96">
        <f>IF(I131&lt;&gt;"",MAX(A$1:A130)+1,"")</f>
        <v>124</v>
      </c>
      <c r="B131" s="97" t="s">
        <v>1392</v>
      </c>
      <c r="C131" s="103" t="s">
        <v>57</v>
      </c>
      <c r="D131" s="103">
        <f t="shared" si="4"/>
        <v>4</v>
      </c>
      <c r="E131" s="89" t="s">
        <v>1616</v>
      </c>
      <c r="G131" s="103">
        <f>ROUND((32768/BASE_TORQ) * MTPATorque_62,0)</f>
        <v>6655</v>
      </c>
      <c r="H131" s="94" t="str">
        <f>IF(G131&lt;&gt;"",IF(C131="float32",FLOAT2HEX(G131),DEC2HEX(G131,8)),"")</f>
        <v>000019FF</v>
      </c>
      <c r="I131" s="94">
        <f t="shared" si="5"/>
        <v>6655</v>
      </c>
    </row>
    <row r="132" spans="1:9">
      <c r="A132" s="96">
        <f>IF(I132&lt;&gt;"",MAX(A$1:A131)+1,"")</f>
        <v>125</v>
      </c>
      <c r="B132" s="74" t="s">
        <v>1473</v>
      </c>
      <c r="C132" s="103" t="s">
        <v>57</v>
      </c>
      <c r="D132" s="103">
        <f t="shared" si="4"/>
        <v>4</v>
      </c>
      <c r="E132" s="89" t="s">
        <v>1617</v>
      </c>
      <c r="G132" s="103">
        <f>ROUND((32768/BASE_FLUX) * MTPAFlux_62,0)</f>
        <v>15794</v>
      </c>
      <c r="H132" s="94" t="str">
        <f>IF(G132&lt;&gt;"",IF(C132="float32",FLOAT2HEX(G132),DEC2HEX(G132,8)),"")</f>
        <v>00003DB2</v>
      </c>
      <c r="I132" s="94">
        <f t="shared" si="5"/>
        <v>15794</v>
      </c>
    </row>
    <row r="133" spans="1:9">
      <c r="A133" s="96">
        <f>IF(I133&lt;&gt;"",MAX(A$1:A132)+1,"")</f>
        <v>126</v>
      </c>
      <c r="B133" s="97" t="s">
        <v>1393</v>
      </c>
      <c r="C133" s="103" t="s">
        <v>57</v>
      </c>
      <c r="D133" s="103">
        <f t="shared" si="4"/>
        <v>4</v>
      </c>
      <c r="E133" s="89" t="s">
        <v>1618</v>
      </c>
      <c r="G133" s="103">
        <f>ROUND((32768/BASE_TORQ) * MTPATorque_63,0)</f>
        <v>6762</v>
      </c>
      <c r="H133" s="94" t="str">
        <f>IF(G133&lt;&gt;"",IF(C133="float32",FLOAT2HEX(G133),DEC2HEX(G133,8)),"")</f>
        <v>00001A6A</v>
      </c>
      <c r="I133" s="94">
        <f t="shared" si="5"/>
        <v>6762</v>
      </c>
    </row>
    <row r="134" spans="1:9">
      <c r="A134" s="96">
        <f>IF(I134&lt;&gt;"",MAX(A$1:A133)+1,"")</f>
        <v>127</v>
      </c>
      <c r="B134" s="74" t="s">
        <v>1474</v>
      </c>
      <c r="C134" s="103" t="s">
        <v>57</v>
      </c>
      <c r="D134" s="103">
        <f t="shared" si="4"/>
        <v>4</v>
      </c>
      <c r="E134" s="89" t="s">
        <v>1619</v>
      </c>
      <c r="G134" s="103">
        <f>ROUND((32768/BASE_FLUX) * MTPAFlux_63,0)</f>
        <v>15997</v>
      </c>
      <c r="H134" s="94" t="str">
        <f>IF(G134&lt;&gt;"",IF(C134="float32",FLOAT2HEX(G134),DEC2HEX(G134,8)),"")</f>
        <v>00003E7D</v>
      </c>
      <c r="I134" s="94">
        <f t="shared" si="5"/>
        <v>15997</v>
      </c>
    </row>
    <row r="135" spans="1:9">
      <c r="A135" s="96">
        <f>IF(I135&lt;&gt;"",MAX(A$1:A134)+1,"")</f>
        <v>128</v>
      </c>
      <c r="B135" s="97" t="s">
        <v>1394</v>
      </c>
      <c r="C135" s="103" t="s">
        <v>57</v>
      </c>
      <c r="D135" s="103">
        <f t="shared" si="4"/>
        <v>4</v>
      </c>
      <c r="E135" s="89" t="s">
        <v>1620</v>
      </c>
      <c r="G135" s="103">
        <f>ROUND((32768/BASE_TORQ) * MTPATorque_64,0)</f>
        <v>6870</v>
      </c>
      <c r="H135" s="94" t="str">
        <f>IF(G135&lt;&gt;"",IF(C135="float32",FLOAT2HEX(G135),DEC2HEX(G135,8)),"")</f>
        <v>00001AD6</v>
      </c>
      <c r="I135" s="94">
        <f t="shared" si="5"/>
        <v>6870</v>
      </c>
    </row>
    <row r="136" spans="1:9">
      <c r="A136" s="96">
        <f>IF(I136&lt;&gt;"",MAX(A$1:A135)+1,"")</f>
        <v>129</v>
      </c>
      <c r="B136" s="74" t="s">
        <v>1475</v>
      </c>
      <c r="C136" s="103" t="s">
        <v>57</v>
      </c>
      <c r="D136" s="103">
        <f t="shared" si="4"/>
        <v>4</v>
      </c>
      <c r="E136" s="89" t="s">
        <v>1621</v>
      </c>
      <c r="G136" s="103">
        <f>ROUND((32768/BASE_FLUX) * MTPAFlux_64,0)</f>
        <v>16200</v>
      </c>
      <c r="H136" s="94" t="str">
        <f>IF(G136&lt;&gt;"",IF(C136="float32",FLOAT2HEX(G136),DEC2HEX(G136,8)),"")</f>
        <v>00003F48</v>
      </c>
      <c r="I136" s="94">
        <f t="shared" si="5"/>
        <v>16200</v>
      </c>
    </row>
    <row r="137" spans="1:9">
      <c r="A137" s="96">
        <f>IF(I137&lt;&gt;"",MAX(A$1:A136)+1,"")</f>
        <v>130</v>
      </c>
      <c r="B137" s="97" t="s">
        <v>1395</v>
      </c>
      <c r="C137" s="103" t="s">
        <v>57</v>
      </c>
      <c r="D137" s="103">
        <f t="shared" si="4"/>
        <v>4</v>
      </c>
      <c r="E137" s="89" t="s">
        <v>1622</v>
      </c>
      <c r="G137" s="103">
        <f>ROUND((32768/BASE_TORQ) * MTPATorque_65,0)</f>
        <v>6977</v>
      </c>
      <c r="H137" s="94" t="str">
        <f>IF(G137&lt;&gt;"",IF(C137="float32",FLOAT2HEX(G137),DEC2HEX(G137,8)),"")</f>
        <v>00001B41</v>
      </c>
      <c r="I137" s="94">
        <f t="shared" si="5"/>
        <v>6977</v>
      </c>
    </row>
    <row r="138" spans="1:9">
      <c r="A138" s="96">
        <f>IF(I138&lt;&gt;"",MAX(A$1:A137)+1,"")</f>
        <v>131</v>
      </c>
      <c r="B138" s="74" t="s">
        <v>1476</v>
      </c>
      <c r="C138" s="103" t="s">
        <v>57</v>
      </c>
      <c r="D138" s="103">
        <f t="shared" si="4"/>
        <v>4</v>
      </c>
      <c r="E138" s="89" t="s">
        <v>1623</v>
      </c>
      <c r="G138" s="103">
        <f>ROUND((32768/BASE_FLUX) * MTPAFlux_65,0)</f>
        <v>16403</v>
      </c>
      <c r="H138" s="94" t="str">
        <f>IF(G138&lt;&gt;"",IF(C138="float32",FLOAT2HEX(G138),DEC2HEX(G138,8)),"")</f>
        <v>00004013</v>
      </c>
      <c r="I138" s="94">
        <f t="shared" si="5"/>
        <v>16403</v>
      </c>
    </row>
    <row r="139" spans="1:9">
      <c r="A139" s="96">
        <f>IF(I139&lt;&gt;"",MAX(A$1:A138)+1,"")</f>
        <v>132</v>
      </c>
      <c r="B139" s="97" t="s">
        <v>1396</v>
      </c>
      <c r="C139" s="103" t="s">
        <v>57</v>
      </c>
      <c r="D139" s="103">
        <f t="shared" si="4"/>
        <v>4</v>
      </c>
      <c r="E139" s="89" t="s">
        <v>1624</v>
      </c>
      <c r="G139" s="103">
        <f>ROUND((32768/BASE_TORQ) * MTPATorque_66,0)</f>
        <v>7084</v>
      </c>
      <c r="H139" s="94" t="str">
        <f>IF(G139&lt;&gt;"",IF(C139="float32",FLOAT2HEX(G139),DEC2HEX(G139,8)),"")</f>
        <v>00001BAC</v>
      </c>
      <c r="I139" s="94">
        <f t="shared" si="5"/>
        <v>7084</v>
      </c>
    </row>
    <row r="140" spans="1:9">
      <c r="A140" s="96">
        <f>IF(I140&lt;&gt;"",MAX(A$1:A139)+1,"")</f>
        <v>133</v>
      </c>
      <c r="B140" s="74" t="s">
        <v>1477</v>
      </c>
      <c r="C140" s="103" t="s">
        <v>57</v>
      </c>
      <c r="D140" s="103">
        <f t="shared" si="4"/>
        <v>4</v>
      </c>
      <c r="E140" s="89" t="s">
        <v>1625</v>
      </c>
      <c r="G140" s="103">
        <f>ROUND((32768/BASE_FLUX) * MTPAFlux_66,0)</f>
        <v>16607</v>
      </c>
      <c r="H140" s="94" t="str">
        <f>IF(G140&lt;&gt;"",IF(C140="float32",FLOAT2HEX(G140),DEC2HEX(G140,8)),"")</f>
        <v>000040DF</v>
      </c>
      <c r="I140" s="94">
        <f t="shared" si="5"/>
        <v>16607</v>
      </c>
    </row>
    <row r="141" spans="1:9">
      <c r="A141" s="96">
        <f>IF(I141&lt;&gt;"",MAX(A$1:A140)+1,"")</f>
        <v>134</v>
      </c>
      <c r="B141" s="97" t="s">
        <v>1397</v>
      </c>
      <c r="C141" s="103" t="s">
        <v>57</v>
      </c>
      <c r="D141" s="103">
        <f t="shared" si="4"/>
        <v>4</v>
      </c>
      <c r="E141" s="89" t="s">
        <v>1626</v>
      </c>
      <c r="G141" s="103">
        <f>ROUND((32768/BASE_TORQ) * MTPATorque_67,0)</f>
        <v>7192</v>
      </c>
      <c r="H141" s="94" t="str">
        <f>IF(G141&lt;&gt;"",IF(C141="float32",FLOAT2HEX(G141),DEC2HEX(G141,8)),"")</f>
        <v>00001C18</v>
      </c>
      <c r="I141" s="94">
        <f t="shared" si="5"/>
        <v>7192</v>
      </c>
    </row>
    <row r="142" spans="1:9">
      <c r="A142" s="96">
        <f>IF(I142&lt;&gt;"",MAX(A$1:A141)+1,"")</f>
        <v>135</v>
      </c>
      <c r="B142" s="74" t="s">
        <v>1478</v>
      </c>
      <c r="C142" s="103" t="s">
        <v>57</v>
      </c>
      <c r="D142" s="103">
        <f t="shared" si="4"/>
        <v>4</v>
      </c>
      <c r="E142" s="89" t="s">
        <v>1627</v>
      </c>
      <c r="G142" s="103">
        <f>ROUND((32768/BASE_FLUX) * MTPAFlux_67,0)</f>
        <v>16801</v>
      </c>
      <c r="H142" s="94" t="str">
        <f>IF(G142&lt;&gt;"",IF(C142="float32",FLOAT2HEX(G142),DEC2HEX(G142,8)),"")</f>
        <v>000041A1</v>
      </c>
      <c r="I142" s="94">
        <f t="shared" si="5"/>
        <v>16801</v>
      </c>
    </row>
    <row r="143" spans="1:9">
      <c r="A143" s="96">
        <f>IF(I143&lt;&gt;"",MAX(A$1:A142)+1,"")</f>
        <v>136</v>
      </c>
      <c r="B143" s="97" t="s">
        <v>1398</v>
      </c>
      <c r="C143" s="103" t="s">
        <v>57</v>
      </c>
      <c r="D143" s="103">
        <f t="shared" si="4"/>
        <v>4</v>
      </c>
      <c r="E143" s="89" t="s">
        <v>1628</v>
      </c>
      <c r="G143" s="103">
        <f>ROUND((32768/BASE_TORQ) * MTPATorque_68,0)</f>
        <v>7299</v>
      </c>
      <c r="H143" s="94" t="str">
        <f>IF(G143&lt;&gt;"",IF(C143="float32",FLOAT2HEX(G143),DEC2HEX(G143,8)),"")</f>
        <v>00001C83</v>
      </c>
      <c r="I143" s="94">
        <f t="shared" si="5"/>
        <v>7299</v>
      </c>
    </row>
    <row r="144" spans="1:9">
      <c r="A144" s="96">
        <f>IF(I144&lt;&gt;"",MAX(A$1:A143)+1,"")</f>
        <v>137</v>
      </c>
      <c r="B144" s="74" t="s">
        <v>1479</v>
      </c>
      <c r="C144" s="103" t="s">
        <v>57</v>
      </c>
      <c r="D144" s="103">
        <f t="shared" si="4"/>
        <v>4</v>
      </c>
      <c r="E144" s="89" t="s">
        <v>1629</v>
      </c>
      <c r="G144" s="103">
        <f>ROUND((32768/BASE_FLUX) * MTPAFlux_68,0)</f>
        <v>16995</v>
      </c>
      <c r="H144" s="94" t="str">
        <f>IF(G144&lt;&gt;"",IF(C144="float32",FLOAT2HEX(G144),DEC2HEX(G144,8)),"")</f>
        <v>00004263</v>
      </c>
      <c r="I144" s="94">
        <f t="shared" si="5"/>
        <v>16995</v>
      </c>
    </row>
    <row r="145" spans="1:9">
      <c r="A145" s="96">
        <f>IF(I145&lt;&gt;"",MAX(A$1:A144)+1,"")</f>
        <v>138</v>
      </c>
      <c r="B145" s="97" t="s">
        <v>1399</v>
      </c>
      <c r="C145" s="103" t="s">
        <v>57</v>
      </c>
      <c r="D145" s="103">
        <f t="shared" si="4"/>
        <v>4</v>
      </c>
      <c r="E145" s="89" t="s">
        <v>1630</v>
      </c>
      <c r="G145" s="103">
        <f>ROUND((32768/BASE_TORQ) * MTPATorque_69,0)</f>
        <v>7406</v>
      </c>
      <c r="H145" s="94" t="str">
        <f>IF(G145&lt;&gt;"",IF(C145="float32",FLOAT2HEX(G145),DEC2HEX(G145,8)),"")</f>
        <v>00001CEE</v>
      </c>
      <c r="I145" s="94">
        <f t="shared" si="5"/>
        <v>7406</v>
      </c>
    </row>
    <row r="146" spans="1:9">
      <c r="A146" s="96">
        <f>IF(I146&lt;&gt;"",MAX(A$1:A145)+1,"")</f>
        <v>139</v>
      </c>
      <c r="B146" s="74" t="s">
        <v>1480</v>
      </c>
      <c r="C146" s="103" t="s">
        <v>57</v>
      </c>
      <c r="D146" s="103">
        <f t="shared" si="4"/>
        <v>4</v>
      </c>
      <c r="E146" s="89" t="s">
        <v>1631</v>
      </c>
      <c r="G146" s="103">
        <f>ROUND((32768/BASE_FLUX) * MTPAFlux_69,0)</f>
        <v>17137</v>
      </c>
      <c r="H146" s="94" t="str">
        <f>IF(G146&lt;&gt;"",IF(C146="float32",FLOAT2HEX(G146),DEC2HEX(G146,8)),"")</f>
        <v>000042F1</v>
      </c>
      <c r="I146" s="94">
        <f t="shared" si="5"/>
        <v>17137</v>
      </c>
    </row>
    <row r="147" spans="1:9">
      <c r="A147" s="96">
        <f>IF(I147&lt;&gt;"",MAX(A$1:A146)+1,"")</f>
        <v>140</v>
      </c>
      <c r="B147" s="97" t="s">
        <v>1400</v>
      </c>
      <c r="C147" s="103" t="s">
        <v>57</v>
      </c>
      <c r="D147" s="103">
        <f t="shared" si="4"/>
        <v>4</v>
      </c>
      <c r="E147" s="89" t="s">
        <v>1632</v>
      </c>
      <c r="G147" s="103">
        <f>ROUND((32768/BASE_TORQ) * MTPATorque_70,0)</f>
        <v>7514</v>
      </c>
      <c r="H147" s="94" t="str">
        <f>IF(G147&lt;&gt;"",IF(C147="float32",FLOAT2HEX(G147),DEC2HEX(G147,8)),"")</f>
        <v>00001D5A</v>
      </c>
      <c r="I147" s="94">
        <f t="shared" si="5"/>
        <v>7514</v>
      </c>
    </row>
    <row r="148" spans="1:9">
      <c r="A148" s="96">
        <f>IF(I148&lt;&gt;"",MAX(A$1:A147)+1,"")</f>
        <v>141</v>
      </c>
      <c r="B148" s="74" t="s">
        <v>1481</v>
      </c>
      <c r="C148" s="103" t="s">
        <v>57</v>
      </c>
      <c r="D148" s="103">
        <f t="shared" si="4"/>
        <v>4</v>
      </c>
      <c r="E148" s="89" t="s">
        <v>1633</v>
      </c>
      <c r="G148" s="103">
        <f>ROUND((32768/BASE_FLUX) * MTPAFlux_70,0)</f>
        <v>17278</v>
      </c>
      <c r="H148" s="94" t="str">
        <f>IF(G148&lt;&gt;"",IF(C148="float32",FLOAT2HEX(G148),DEC2HEX(G148,8)),"")</f>
        <v>0000437E</v>
      </c>
      <c r="I148" s="94">
        <f t="shared" si="5"/>
        <v>17278</v>
      </c>
    </row>
    <row r="149" spans="1:9">
      <c r="A149" s="96">
        <f>IF(I149&lt;&gt;"",MAX(A$1:A148)+1,"")</f>
        <v>142</v>
      </c>
      <c r="B149" s="97" t="s">
        <v>1401</v>
      </c>
      <c r="C149" s="103" t="s">
        <v>57</v>
      </c>
      <c r="D149" s="103">
        <f t="shared" si="4"/>
        <v>4</v>
      </c>
      <c r="E149" s="89" t="s">
        <v>1634</v>
      </c>
      <c r="G149" s="103">
        <f>ROUND((32768/BASE_TORQ) * MTPATorque_71,0)</f>
        <v>7621</v>
      </c>
      <c r="H149" s="94" t="str">
        <f>IF(G149&lt;&gt;"",IF(C149="float32",FLOAT2HEX(G149),DEC2HEX(G149,8)),"")</f>
        <v>00001DC5</v>
      </c>
      <c r="I149" s="94">
        <f t="shared" si="5"/>
        <v>7621</v>
      </c>
    </row>
    <row r="150" spans="1:9">
      <c r="A150" s="96">
        <f>IF(I150&lt;&gt;"",MAX(A$1:A149)+1,"")</f>
        <v>143</v>
      </c>
      <c r="B150" s="74" t="s">
        <v>1482</v>
      </c>
      <c r="C150" s="103" t="s">
        <v>57</v>
      </c>
      <c r="D150" s="103">
        <f t="shared" si="4"/>
        <v>4</v>
      </c>
      <c r="E150" s="89" t="s">
        <v>1635</v>
      </c>
      <c r="G150" s="103">
        <f>ROUND((32768/BASE_FLUX) * MTPAFlux_71,0)</f>
        <v>17419</v>
      </c>
      <c r="H150" s="94" t="str">
        <f>IF(G150&lt;&gt;"",IF(C150="float32",FLOAT2HEX(G150),DEC2HEX(G150,8)),"")</f>
        <v>0000440B</v>
      </c>
      <c r="I150" s="94">
        <f t="shared" si="5"/>
        <v>17419</v>
      </c>
    </row>
    <row r="151" spans="1:9">
      <c r="A151" s="96">
        <f>IF(I151&lt;&gt;"",MAX(A$1:A150)+1,"")</f>
        <v>144</v>
      </c>
      <c r="B151" s="97" t="s">
        <v>1402</v>
      </c>
      <c r="C151" s="103" t="s">
        <v>57</v>
      </c>
      <c r="D151" s="103">
        <f t="shared" si="4"/>
        <v>4</v>
      </c>
      <c r="E151" s="89" t="s">
        <v>1636</v>
      </c>
      <c r="G151" s="103">
        <f>ROUND((32768/BASE_TORQ) * MTPATorque_72,0)</f>
        <v>7728</v>
      </c>
      <c r="H151" s="94" t="str">
        <f>IF(G151&lt;&gt;"",IF(C151="float32",FLOAT2HEX(G151),DEC2HEX(G151,8)),"")</f>
        <v>00001E30</v>
      </c>
      <c r="I151" s="94">
        <f t="shared" si="5"/>
        <v>7728</v>
      </c>
    </row>
    <row r="152" spans="1:9">
      <c r="A152" s="96">
        <f>IF(I152&lt;&gt;"",MAX(A$1:A151)+1,"")</f>
        <v>145</v>
      </c>
      <c r="B152" s="74" t="s">
        <v>1483</v>
      </c>
      <c r="C152" s="103" t="s">
        <v>57</v>
      </c>
      <c r="D152" s="103">
        <f t="shared" si="4"/>
        <v>4</v>
      </c>
      <c r="E152" s="89" t="s">
        <v>1637</v>
      </c>
      <c r="G152" s="103">
        <f>ROUND((32768/BASE_FLUX) * MTPAFlux_72,0)</f>
        <v>17552</v>
      </c>
      <c r="H152" s="94" t="str">
        <f>IF(G152&lt;&gt;"",IF(C152="float32",FLOAT2HEX(G152),DEC2HEX(G152,8)),"")</f>
        <v>00004490</v>
      </c>
      <c r="I152" s="94">
        <f t="shared" si="5"/>
        <v>17552</v>
      </c>
    </row>
    <row r="153" spans="1:9">
      <c r="A153" s="96">
        <f>IF(I153&lt;&gt;"",MAX(A$1:A152)+1,"")</f>
        <v>146</v>
      </c>
      <c r="B153" s="97" t="s">
        <v>1403</v>
      </c>
      <c r="C153" s="103" t="s">
        <v>57</v>
      </c>
      <c r="D153" s="103">
        <f t="shared" si="4"/>
        <v>4</v>
      </c>
      <c r="E153" s="89" t="s">
        <v>1638</v>
      </c>
      <c r="G153" s="103">
        <f>ROUND((32768/BASE_TORQ) * MTPATorque_73,0)</f>
        <v>7836</v>
      </c>
      <c r="H153" s="94" t="str">
        <f>IF(G153&lt;&gt;"",IF(C153="float32",FLOAT2HEX(G153),DEC2HEX(G153,8)),"")</f>
        <v>00001E9C</v>
      </c>
      <c r="I153" s="94">
        <f t="shared" si="5"/>
        <v>7836</v>
      </c>
    </row>
    <row r="154" spans="1:9">
      <c r="A154" s="96">
        <f>IF(I154&lt;&gt;"",MAX(A$1:A153)+1,"")</f>
        <v>147</v>
      </c>
      <c r="B154" s="74" t="s">
        <v>1484</v>
      </c>
      <c r="C154" s="103" t="s">
        <v>57</v>
      </c>
      <c r="D154" s="103">
        <f t="shared" si="4"/>
        <v>4</v>
      </c>
      <c r="E154" s="89" t="s">
        <v>1639</v>
      </c>
      <c r="G154" s="103">
        <f>ROUND((32768/BASE_FLUX) * MTPAFlux_73,0)</f>
        <v>17684</v>
      </c>
      <c r="H154" s="94" t="str">
        <f>IF(G154&lt;&gt;"",IF(C154="float32",FLOAT2HEX(G154),DEC2HEX(G154,8)),"")</f>
        <v>00004514</v>
      </c>
      <c r="I154" s="94">
        <f t="shared" si="5"/>
        <v>17684</v>
      </c>
    </row>
    <row r="155" spans="1:9">
      <c r="A155" s="96">
        <f>IF(I155&lt;&gt;"",MAX(A$1:A154)+1,"")</f>
        <v>148</v>
      </c>
      <c r="B155" s="97" t="s">
        <v>1404</v>
      </c>
      <c r="C155" s="103" t="s">
        <v>57</v>
      </c>
      <c r="D155" s="103">
        <f t="shared" si="4"/>
        <v>4</v>
      </c>
      <c r="E155" s="89" t="s">
        <v>1640</v>
      </c>
      <c r="G155" s="103">
        <f>ROUND((32768/BASE_TORQ) * MTPATorque_74,0)</f>
        <v>7943</v>
      </c>
      <c r="H155" s="94" t="str">
        <f>IF(G155&lt;&gt;"",IF(C155="float32",FLOAT2HEX(G155),DEC2HEX(G155,8)),"")</f>
        <v>00001F07</v>
      </c>
      <c r="I155" s="94">
        <f t="shared" si="5"/>
        <v>7943</v>
      </c>
    </row>
    <row r="156" spans="1:9">
      <c r="A156" s="96">
        <f>IF(I156&lt;&gt;"",MAX(A$1:A155)+1,"")</f>
        <v>149</v>
      </c>
      <c r="B156" s="74" t="s">
        <v>1485</v>
      </c>
      <c r="C156" s="103" t="s">
        <v>57</v>
      </c>
      <c r="D156" s="103">
        <f t="shared" si="4"/>
        <v>4</v>
      </c>
      <c r="E156" s="89" t="s">
        <v>1641</v>
      </c>
      <c r="G156" s="103">
        <f>ROUND((32768/BASE_FLUX) * MTPAFlux_74,0)</f>
        <v>17808</v>
      </c>
      <c r="H156" s="94" t="str">
        <f>IF(G156&lt;&gt;"",IF(C156="float32",FLOAT2HEX(G156),DEC2HEX(G156,8)),"")</f>
        <v>00004590</v>
      </c>
      <c r="I156" s="94">
        <f t="shared" si="5"/>
        <v>17808</v>
      </c>
    </row>
    <row r="157" spans="1:9">
      <c r="A157" s="96">
        <f>IF(I157&lt;&gt;"",MAX(A$1:A156)+1,"")</f>
        <v>150</v>
      </c>
      <c r="B157" s="97" t="s">
        <v>1405</v>
      </c>
      <c r="C157" s="103" t="s">
        <v>57</v>
      </c>
      <c r="D157" s="103">
        <f t="shared" si="4"/>
        <v>4</v>
      </c>
      <c r="E157" s="89" t="s">
        <v>1642</v>
      </c>
      <c r="G157" s="103">
        <f>ROUND((32768/BASE_TORQ) * MTPATorque_75,0)</f>
        <v>8051</v>
      </c>
      <c r="H157" s="94" t="str">
        <f>IF(G157&lt;&gt;"",IF(C157="float32",FLOAT2HEX(G157),DEC2HEX(G157,8)),"")</f>
        <v>00001F73</v>
      </c>
      <c r="I157" s="94">
        <f t="shared" si="5"/>
        <v>8051</v>
      </c>
    </row>
    <row r="158" spans="1:9">
      <c r="A158" s="96">
        <f>IF(I158&lt;&gt;"",MAX(A$1:A157)+1,"")</f>
        <v>151</v>
      </c>
      <c r="B158" s="74" t="s">
        <v>1486</v>
      </c>
      <c r="C158" s="103" t="s">
        <v>57</v>
      </c>
      <c r="D158" s="103">
        <f t="shared" si="4"/>
        <v>4</v>
      </c>
      <c r="E158" s="89" t="s">
        <v>1643</v>
      </c>
      <c r="G158" s="103">
        <f>ROUND((32768/BASE_FLUX) * MTPAFlux_75,0)</f>
        <v>17932</v>
      </c>
      <c r="H158" s="94" t="str">
        <f>IF(G158&lt;&gt;"",IF(C158="float32",FLOAT2HEX(G158),DEC2HEX(G158,8)),"")</f>
        <v>0000460C</v>
      </c>
      <c r="I158" s="94">
        <f t="shared" si="5"/>
        <v>17932</v>
      </c>
    </row>
    <row r="159" spans="1:9">
      <c r="A159" s="96">
        <f>IF(I159&lt;&gt;"",MAX(A$1:A158)+1,"")</f>
        <v>152</v>
      </c>
      <c r="B159" s="97" t="s">
        <v>1406</v>
      </c>
      <c r="C159" s="103" t="s">
        <v>57</v>
      </c>
      <c r="D159" s="103">
        <f t="shared" si="4"/>
        <v>4</v>
      </c>
      <c r="E159" s="89" t="s">
        <v>1644</v>
      </c>
      <c r="G159" s="103">
        <f>ROUND((32768/BASE_TORQ) * MTPATorque_76,0)</f>
        <v>8158</v>
      </c>
      <c r="H159" s="94" t="str">
        <f>IF(G159&lt;&gt;"",IF(C159="float32",FLOAT2HEX(G159),DEC2HEX(G159,8)),"")</f>
        <v>00001FDE</v>
      </c>
      <c r="I159" s="94">
        <f t="shared" si="5"/>
        <v>8158</v>
      </c>
    </row>
    <row r="160" spans="1:9">
      <c r="A160" s="96">
        <f>IF(I160&lt;&gt;"",MAX(A$1:A159)+1,"")</f>
        <v>153</v>
      </c>
      <c r="B160" s="74" t="s">
        <v>1487</v>
      </c>
      <c r="C160" s="103" t="s">
        <v>57</v>
      </c>
      <c r="D160" s="103">
        <f t="shared" si="4"/>
        <v>4</v>
      </c>
      <c r="E160" s="89" t="s">
        <v>1645</v>
      </c>
      <c r="G160" s="103">
        <f>ROUND((32768/BASE_FLUX) * MTPAFlux_76,0)</f>
        <v>18046</v>
      </c>
      <c r="H160" s="94" t="str">
        <f>IF(G160&lt;&gt;"",IF(C160="float32",FLOAT2HEX(G160),DEC2HEX(G160,8)),"")</f>
        <v>0000467E</v>
      </c>
      <c r="I160" s="94">
        <f t="shared" si="5"/>
        <v>18046</v>
      </c>
    </row>
    <row r="161" spans="1:9">
      <c r="A161" s="96">
        <f>IF(I161&lt;&gt;"",MAX(A$1:A160)+1,"")</f>
        <v>154</v>
      </c>
      <c r="B161" s="97" t="s">
        <v>1407</v>
      </c>
      <c r="C161" s="103" t="s">
        <v>57</v>
      </c>
      <c r="D161" s="103">
        <f t="shared" si="4"/>
        <v>4</v>
      </c>
      <c r="E161" s="89" t="s">
        <v>1646</v>
      </c>
      <c r="G161" s="103">
        <f>ROUND((32768/BASE_TORQ) * MTPATorque_77,0)</f>
        <v>8265</v>
      </c>
      <c r="H161" s="94" t="str">
        <f>IF(G161&lt;&gt;"",IF(C161="float32",FLOAT2HEX(G161),DEC2HEX(G161,8)),"")</f>
        <v>00002049</v>
      </c>
      <c r="I161" s="94">
        <f t="shared" si="5"/>
        <v>8265</v>
      </c>
    </row>
    <row r="162" spans="1:9">
      <c r="A162" s="96">
        <f>IF(I162&lt;&gt;"",MAX(A$1:A161)+1,"")</f>
        <v>155</v>
      </c>
      <c r="B162" s="74" t="s">
        <v>1488</v>
      </c>
      <c r="C162" s="103" t="s">
        <v>57</v>
      </c>
      <c r="D162" s="103">
        <f t="shared" si="4"/>
        <v>4</v>
      </c>
      <c r="E162" s="89" t="s">
        <v>1647</v>
      </c>
      <c r="G162" s="103">
        <f>ROUND((32768/BASE_FLUX) * MTPAFlux_77,0)</f>
        <v>18161</v>
      </c>
      <c r="H162" s="94" t="str">
        <f>IF(G162&lt;&gt;"",IF(C162="float32",FLOAT2HEX(G162),DEC2HEX(G162,8)),"")</f>
        <v>000046F1</v>
      </c>
      <c r="I162" s="94">
        <f t="shared" si="5"/>
        <v>18161</v>
      </c>
    </row>
    <row r="163" spans="1:9">
      <c r="A163" s="96">
        <f>IF(I163&lt;&gt;"",MAX(A$1:A162)+1,"")</f>
        <v>156</v>
      </c>
      <c r="B163" s="97" t="s">
        <v>1408</v>
      </c>
      <c r="C163" s="103" t="s">
        <v>57</v>
      </c>
      <c r="D163" s="103">
        <f t="shared" si="4"/>
        <v>4</v>
      </c>
      <c r="E163" s="89" t="s">
        <v>1648</v>
      </c>
      <c r="G163" s="103">
        <f>ROUND((32768/BASE_TORQ) * MTPATorque_78,0)</f>
        <v>8372</v>
      </c>
      <c r="H163" s="94" t="str">
        <f>IF(G163&lt;&gt;"",IF(C163="float32",FLOAT2HEX(G163),DEC2HEX(G163,8)),"")</f>
        <v>000020B4</v>
      </c>
      <c r="I163" s="94">
        <f t="shared" si="5"/>
        <v>8372</v>
      </c>
    </row>
    <row r="164" spans="1:9">
      <c r="A164" s="96">
        <f>IF(I164&lt;&gt;"",MAX(A$1:A163)+1,"")</f>
        <v>157</v>
      </c>
      <c r="B164" s="74" t="s">
        <v>1489</v>
      </c>
      <c r="C164" s="103" t="s">
        <v>57</v>
      </c>
      <c r="D164" s="103">
        <f t="shared" si="4"/>
        <v>4</v>
      </c>
      <c r="E164" s="89" t="s">
        <v>1649</v>
      </c>
      <c r="G164" s="103">
        <f>ROUND((32768/BASE_FLUX) * MTPAFlux_78,0)</f>
        <v>18276</v>
      </c>
      <c r="H164" s="94" t="str">
        <f>IF(G164&lt;&gt;"",IF(C164="float32",FLOAT2HEX(G164),DEC2HEX(G164,8)),"")</f>
        <v>00004764</v>
      </c>
      <c r="I164" s="94">
        <f t="shared" si="5"/>
        <v>18276</v>
      </c>
    </row>
    <row r="165" spans="1:9">
      <c r="A165" s="96">
        <f>IF(I165&lt;&gt;"",MAX(A$1:A164)+1,"")</f>
        <v>158</v>
      </c>
      <c r="B165" s="97" t="s">
        <v>1409</v>
      </c>
      <c r="C165" s="103" t="s">
        <v>57</v>
      </c>
      <c r="D165" s="103">
        <f t="shared" si="4"/>
        <v>4</v>
      </c>
      <c r="E165" s="89" t="s">
        <v>1650</v>
      </c>
      <c r="G165" s="103">
        <f>ROUND((32768/BASE_TORQ) * MTPATorque_79,0)</f>
        <v>8480</v>
      </c>
      <c r="H165" s="94" t="str">
        <f>IF(G165&lt;&gt;"",IF(C165="float32",FLOAT2HEX(G165),DEC2HEX(G165,8)),"")</f>
        <v>00002120</v>
      </c>
      <c r="I165" s="94">
        <f t="shared" si="5"/>
        <v>8480</v>
      </c>
    </row>
    <row r="166" spans="1:9">
      <c r="A166" s="96">
        <f>IF(I166&lt;&gt;"",MAX(A$1:A165)+1,"")</f>
        <v>159</v>
      </c>
      <c r="B166" s="74" t="s">
        <v>1490</v>
      </c>
      <c r="C166" s="103" t="s">
        <v>57</v>
      </c>
      <c r="D166" s="103">
        <f t="shared" si="4"/>
        <v>4</v>
      </c>
      <c r="E166" s="89" t="s">
        <v>1651</v>
      </c>
      <c r="G166" s="103">
        <f>ROUND((32768/BASE_FLUX) * MTPAFlux_79,0)</f>
        <v>18373</v>
      </c>
      <c r="H166" s="94" t="str">
        <f>IF(G166&lt;&gt;"",IF(C166="float32",FLOAT2HEX(G166),DEC2HEX(G166,8)),"")</f>
        <v>000047C5</v>
      </c>
      <c r="I166" s="94">
        <f t="shared" si="5"/>
        <v>18373</v>
      </c>
    </row>
    <row r="167" spans="1:9">
      <c r="A167" s="96">
        <f>IF(I167&lt;&gt;"",MAX(A$1:A166)+1,"")</f>
        <v>160</v>
      </c>
      <c r="B167" s="97" t="s">
        <v>1410</v>
      </c>
      <c r="C167" s="103" t="s">
        <v>57</v>
      </c>
      <c r="D167" s="103">
        <f t="shared" ref="D167:D168" si="6">IF(OR(C167="sint64",C167="uint64",C167="double64"), 8, IF(OR(C167="sint32",C167="uint32",C167="float32"),4,IF(OR(C167="sint16",C167="uint16"),2,  IF(OR(C167="sint8",C167="uint8"),1,""))))</f>
        <v>4</v>
      </c>
      <c r="E167" s="89" t="s">
        <v>1652</v>
      </c>
      <c r="G167" s="103">
        <f>ROUND((32768/BASE_TORQ) * MTPATorque_80,0)</f>
        <v>8587</v>
      </c>
      <c r="H167" s="94" t="str">
        <f>IF(G167&lt;&gt;"",IF(C167="float32",FLOAT2HEX(G167),DEC2HEX(G167,8)),"")</f>
        <v>0000218B</v>
      </c>
      <c r="I167" s="94">
        <f t="shared" ref="I167:I168" si="7">IF(G167&lt;&gt;"",HEX2DEC(H167),"")</f>
        <v>8587</v>
      </c>
    </row>
    <row r="168" spans="1:9">
      <c r="A168" s="96">
        <f>IF(I168&lt;&gt;"",MAX(A$1:A167)+1,"")</f>
        <v>161</v>
      </c>
      <c r="B168" s="74" t="s">
        <v>1491</v>
      </c>
      <c r="C168" s="103" t="s">
        <v>57</v>
      </c>
      <c r="D168" s="103">
        <f t="shared" si="6"/>
        <v>4</v>
      </c>
      <c r="E168" s="89" t="s">
        <v>1653</v>
      </c>
      <c r="G168" s="103">
        <f>ROUND((32768/BASE_FLUX) * MTPAFlux_80,0)</f>
        <v>18479</v>
      </c>
      <c r="H168" s="94" t="str">
        <f>IF(G168&lt;&gt;"",IF(C168="float32",FLOAT2HEX(G168),DEC2HEX(G168,8)),"")</f>
        <v>0000482F</v>
      </c>
      <c r="I168" s="94">
        <f t="shared" si="7"/>
        <v>18479</v>
      </c>
    </row>
    <row r="169" spans="1:9">
      <c r="A169" s="96">
        <f>IF(I169&lt;&gt;"",MAX(A$1:A168)+1,"")</f>
        <v>162</v>
      </c>
      <c r="B169" s="97" t="s">
        <v>3119</v>
      </c>
      <c r="C169" s="103" t="s">
        <v>57</v>
      </c>
      <c r="D169" s="103">
        <f>IF(OR(C169="sint64",C169="uint64",C169="double64"), 8, IF(OR(C169="sint32",C169="uint32",C169="float32"),4,IF(OR(C169="sint16",C169="uint16"),2,  IF(OR(C169="sint8",C169="uint8"),1,""))))</f>
        <v>4</v>
      </c>
      <c r="E169" s="89" t="s">
        <v>3120</v>
      </c>
      <c r="G169" s="103">
        <f>ROUND(BASE_TORQ/(MTPATorque_1-MTPATorque_0),0)</f>
        <v>306</v>
      </c>
      <c r="H169" s="94" t="str">
        <f>IF(G169&lt;&gt;"",IF(C169="float32",FLOAT2HEX(G169),DEC2HEX(G169,8)),"")</f>
        <v>00000132</v>
      </c>
      <c r="I169" s="94">
        <f t="shared" ref="I169" si="8">IF(G169&lt;&gt;"",HEX2DEC(H169),"")</f>
        <v>306</v>
      </c>
    </row>
    <row r="170" spans="1:9">
      <c r="A170" s="96">
        <f>IF(I170&lt;&gt;"",MAX(A$1:A169)+1,"")</f>
        <v>163</v>
      </c>
      <c r="B170" s="97" t="s">
        <v>3124</v>
      </c>
      <c r="C170" s="103" t="s">
        <v>57</v>
      </c>
      <c r="D170" s="103">
        <f>IF(OR(C170="sint64",C170="uint64",C170="double64"), 8, IF(OR(C170="sint32",C170="uint32",C170="float32"),4,IF(OR(C170="sint16",C170="uint16"),2,  IF(OR(C170="sint8",C170="uint8"),1,""))))</f>
        <v>4</v>
      </c>
      <c r="E170" s="89" t="s">
        <v>3125</v>
      </c>
      <c r="G170" s="103">
        <f>(A168+1)/2-1</f>
        <v>80</v>
      </c>
      <c r="H170" s="94" t="str">
        <f>IF(G170&lt;&gt;"",IF(C170="float32",FLOAT2HEX(G170),DEC2HEX(G170,8)),"")</f>
        <v>00000050</v>
      </c>
      <c r="I170" s="94">
        <f t="shared" ref="I170" si="9">IF(G170&lt;&gt;"",HEX2DEC(H170),"")</f>
        <v>80</v>
      </c>
    </row>
  </sheetData>
  <mergeCells count="2">
    <mergeCell ref="B1:H1"/>
    <mergeCell ref="B3:C3"/>
  </mergeCells>
  <dataValidations disablePrompts="1" count="1">
    <dataValidation type="list" allowBlank="1" showInputMessage="1" showErrorMessage="1" sqref="C7:C168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6"/>
  <dimension ref="A1:U491"/>
  <sheetViews>
    <sheetView zoomScale="85" zoomScaleNormal="85" workbookViewId="0">
      <pane ySplit="5" topLeftCell="A487" activePane="bottomLeft" state="frozen"/>
      <selection activeCell="A285" sqref="A285"/>
      <selection pane="bottomLeft" activeCell="G492" sqref="G492"/>
    </sheetView>
  </sheetViews>
  <sheetFormatPr defaultRowHeight="15"/>
  <cols>
    <col min="1" max="1" width="10.28515625" style="94" bestFit="1" customWidth="1"/>
    <col min="2" max="2" width="68.42578125" style="42" customWidth="1"/>
    <col min="3" max="3" width="8" style="103" bestFit="1" customWidth="1"/>
    <col min="4" max="4" width="14.28515625" style="103" customWidth="1"/>
    <col min="5" max="5" width="92.7109375" style="103" customWidth="1"/>
    <col min="6" max="6" width="12.140625" style="103" customWidth="1"/>
    <col min="7" max="7" width="11.7109375" style="103" bestFit="1" customWidth="1"/>
    <col min="8" max="9" width="23.5703125" style="95" customWidth="1"/>
    <col min="10" max="20" width="9.140625" style="95"/>
    <col min="21" max="16384" width="9.140625" style="103"/>
  </cols>
  <sheetData>
    <row r="1" spans="1:20" ht="28.5" customHeight="1">
      <c r="B1" s="114" t="s">
        <v>745</v>
      </c>
      <c r="C1" s="114"/>
      <c r="D1" s="114"/>
      <c r="E1" s="114"/>
      <c r="F1" s="114"/>
      <c r="G1" s="114"/>
      <c r="H1" s="114"/>
      <c r="I1" s="10"/>
      <c r="J1" s="10"/>
      <c r="K1" s="10"/>
    </row>
    <row r="2" spans="1:20" s="94" customFormat="1" ht="12.75" customHeight="1">
      <c r="B2" s="40"/>
      <c r="C2" s="16"/>
      <c r="D2" s="16"/>
      <c r="E2" s="16"/>
      <c r="F2" s="16"/>
      <c r="G2" s="16"/>
      <c r="H2" s="13"/>
      <c r="I2" s="16"/>
      <c r="J2" s="16"/>
      <c r="K2" s="16"/>
      <c r="L2" s="13"/>
      <c r="M2" s="13"/>
      <c r="N2" s="13"/>
      <c r="O2" s="13"/>
      <c r="P2" s="13"/>
      <c r="Q2" s="13"/>
      <c r="R2" s="13"/>
      <c r="S2" s="13"/>
      <c r="T2" s="13"/>
    </row>
    <row r="3" spans="1:20" s="94" customFormat="1" ht="19.5" customHeight="1">
      <c r="A3" s="23"/>
      <c r="B3" s="115" t="s">
        <v>194</v>
      </c>
      <c r="C3" s="115"/>
      <c r="D3" s="24">
        <f>SUM(D7:D1485)</f>
        <v>1940</v>
      </c>
      <c r="E3" s="24"/>
      <c r="F3" s="24"/>
      <c r="G3" s="24"/>
      <c r="H3" s="25"/>
      <c r="I3" s="16"/>
      <c r="J3" s="16"/>
      <c r="K3" s="16"/>
      <c r="L3" s="13"/>
      <c r="M3" s="13"/>
      <c r="N3" s="13"/>
      <c r="O3" s="13"/>
      <c r="P3" s="13"/>
      <c r="Q3" s="13"/>
      <c r="R3" s="13"/>
      <c r="S3" s="13"/>
      <c r="T3" s="13"/>
    </row>
    <row r="4" spans="1:20" s="94" customFormat="1" ht="12.75" customHeight="1">
      <c r="A4" s="23"/>
      <c r="B4" s="41"/>
      <c r="C4" s="24"/>
      <c r="D4" s="24"/>
      <c r="E4" s="26"/>
      <c r="F4" s="27"/>
      <c r="G4" s="27"/>
      <c r="H4" s="27"/>
      <c r="I4" s="16"/>
      <c r="J4" s="16"/>
      <c r="K4" s="16"/>
      <c r="L4" s="13"/>
      <c r="M4" s="13"/>
      <c r="N4" s="13"/>
      <c r="O4" s="13"/>
      <c r="P4" s="13"/>
      <c r="Q4" s="13"/>
      <c r="R4" s="13"/>
      <c r="S4" s="13"/>
      <c r="T4" s="13"/>
    </row>
    <row r="5" spans="1:20" s="94" customFormat="1" ht="18.75" customHeight="1">
      <c r="A5" s="24" t="s">
        <v>196</v>
      </c>
      <c r="B5" s="41" t="s">
        <v>16</v>
      </c>
      <c r="C5" s="24" t="s">
        <v>193</v>
      </c>
      <c r="D5" s="24" t="s">
        <v>192</v>
      </c>
      <c r="E5" s="24" t="s">
        <v>17</v>
      </c>
      <c r="F5" s="27"/>
      <c r="G5" s="27" t="s">
        <v>21</v>
      </c>
      <c r="H5" s="27" t="s">
        <v>743</v>
      </c>
      <c r="I5" s="27" t="s">
        <v>1104</v>
      </c>
      <c r="J5" s="16"/>
      <c r="K5" s="16"/>
      <c r="L5" s="13"/>
      <c r="M5" s="13"/>
      <c r="N5" s="13"/>
      <c r="O5" s="13"/>
      <c r="P5" s="13"/>
      <c r="Q5" s="13"/>
      <c r="R5" s="13"/>
      <c r="S5" s="13"/>
      <c r="T5" s="13"/>
    </row>
    <row r="6" spans="1:20" s="94" customFormat="1" ht="20.25" customHeight="1">
      <c r="A6" s="96"/>
      <c r="B6" s="82" t="s">
        <v>1654</v>
      </c>
      <c r="C6" s="80"/>
      <c r="D6" s="80"/>
      <c r="E6" s="80"/>
      <c r="F6" s="80"/>
      <c r="G6" s="80"/>
      <c r="H6" s="80" t="str">
        <f>IF(G6&lt;&gt;"",DEC2HEX(G6,4),"")</f>
        <v/>
      </c>
      <c r="I6" s="80"/>
      <c r="J6" s="16"/>
      <c r="K6" s="16"/>
      <c r="L6" s="13"/>
      <c r="M6" s="13"/>
      <c r="N6" s="13"/>
      <c r="O6" s="13"/>
      <c r="P6" s="13"/>
      <c r="Q6" s="13"/>
      <c r="R6" s="13"/>
      <c r="S6" s="13"/>
      <c r="T6" s="13"/>
    </row>
    <row r="7" spans="1:20" s="95" customFormat="1" ht="15" customHeight="1">
      <c r="A7" s="96">
        <v>0</v>
      </c>
      <c r="B7" s="97" t="s">
        <v>2139</v>
      </c>
      <c r="C7" s="103" t="s">
        <v>57</v>
      </c>
      <c r="D7" s="103">
        <f t="shared" ref="D7:D70" si="0">IF(OR(C7="sint64",C7="uint64",C7="double64"), 8, IF(OR(C7="sint32",C7="uint32",C7="float32"),4,IF(OR(C7="sint16",C7="uint16"),2,  IF(OR(C7="sint8",C7="uint8"),1,""))))</f>
        <v>4</v>
      </c>
      <c r="E7" s="89" t="s">
        <v>2622</v>
      </c>
      <c r="F7" s="103"/>
      <c r="G7" s="95">
        <f>ROUND((32768/BASE_FLUX) * MTPVFlux_0,0)</f>
        <v>1210</v>
      </c>
      <c r="H7" s="94" t="str">
        <f>IF(G7&lt;&gt;"",IF(C7="float32",FLOAT2HEX(G7),DEC2HEX(G7,8)),"")</f>
        <v>000004BA</v>
      </c>
      <c r="I7" s="94">
        <f>IF(G7&lt;&gt;"",HEX2DEC(H7),"")</f>
        <v>1210</v>
      </c>
    </row>
    <row r="8" spans="1:20" s="95" customFormat="1" ht="15" customHeight="1">
      <c r="A8" s="96">
        <f>IF(I8&lt;&gt;"",MAX(A$1:A7)+1,"")</f>
        <v>1</v>
      </c>
      <c r="B8" s="74" t="s">
        <v>2140</v>
      </c>
      <c r="C8" s="103" t="s">
        <v>57</v>
      </c>
      <c r="D8" s="103">
        <f>IF(OR(C8="sint64",C8="uint64",C8="double64"), 8, IF(OR(C8="sint32",C8="uint32",C8="float32"),4,IF(OR(C8="sint16",C8="uint16"),2,  IF(OR(C8="sint8",C8="uint8"),1,""))))</f>
        <v>4</v>
      </c>
      <c r="E8" s="89" t="s">
        <v>2623</v>
      </c>
      <c r="F8" s="103"/>
      <c r="G8" s="95">
        <f>ROUND((32768/BASE_TORQ) * MTPVTorque_0,0)</f>
        <v>253</v>
      </c>
      <c r="H8" s="94" t="str">
        <f>IF(G8&lt;&gt;"",IF(C8="float32",FLOAT2HEX(G8),DEC2HEX(G8,8)),"")</f>
        <v>000000FD</v>
      </c>
      <c r="I8" s="94">
        <f>IF(G8&lt;&gt;"",HEX2DEC(H8),"")</f>
        <v>253</v>
      </c>
    </row>
    <row r="9" spans="1:20" s="95" customFormat="1" ht="15" customHeight="1">
      <c r="A9" s="96">
        <f>IF(I9&lt;&gt;"",MAX(A$1:A8)+1,"")</f>
        <v>2</v>
      </c>
      <c r="B9" s="97" t="s">
        <v>2141</v>
      </c>
      <c r="C9" s="103" t="s">
        <v>57</v>
      </c>
      <c r="D9" s="103">
        <f t="shared" si="0"/>
        <v>4</v>
      </c>
      <c r="E9" s="89" t="s">
        <v>2624</v>
      </c>
      <c r="F9" s="103"/>
      <c r="G9" s="95">
        <f>ROUND((32768/BASE_ANGLE) * MTPVAngle_0,0)</f>
        <v>17446</v>
      </c>
      <c r="H9" s="94" t="str">
        <f>IF(G9&lt;&gt;"",IF(C9="float32",FLOAT2HEX(G9),DEC2HEX(G9,8)),"")</f>
        <v>00004426</v>
      </c>
      <c r="I9" s="94">
        <f>IF(G9&lt;&gt;"",HEX2DEC(H9),"")</f>
        <v>17446</v>
      </c>
    </row>
    <row r="10" spans="1:20" s="95" customFormat="1" ht="15" customHeight="1">
      <c r="A10" s="96">
        <f>IF(I10&lt;&gt;"",MAX(A$1:A9)+1,"")</f>
        <v>3</v>
      </c>
      <c r="B10" s="97" t="s">
        <v>2142</v>
      </c>
      <c r="C10" s="103" t="s">
        <v>57</v>
      </c>
      <c r="D10" s="103">
        <f>IF(OR(C10="sint64",C10="uint64",C10="double64"), 8, IF(OR(C10="sint32",C10="uint32",C10="float32"),4,IF(OR(C10="sint16",C10="uint16"),2,  IF(OR(C10="sint8",C10="uint8"),1,""))))</f>
        <v>4</v>
      </c>
      <c r="E10" s="89" t="s">
        <v>2625</v>
      </c>
      <c r="F10" s="103"/>
      <c r="G10" s="95">
        <f>ROUND((32768/BASE_FLUX) * MTPVFlux_1,0)</f>
        <v>1355</v>
      </c>
      <c r="H10" s="94" t="str">
        <f>IF(G10&lt;&gt;"",IF(C10="float32",FLOAT2HEX(G10),DEC2HEX(G10,8)),"")</f>
        <v>0000054B</v>
      </c>
      <c r="I10" s="94">
        <f>IF(G10&lt;&gt;"",HEX2DEC(H10),"")</f>
        <v>1355</v>
      </c>
    </row>
    <row r="11" spans="1:20" s="95" customFormat="1" ht="15" customHeight="1">
      <c r="A11" s="96">
        <f>IF(I11&lt;&gt;"",MAX(A$1:A10)+1,"")</f>
        <v>4</v>
      </c>
      <c r="B11" s="74" t="s">
        <v>2143</v>
      </c>
      <c r="C11" s="103" t="s">
        <v>57</v>
      </c>
      <c r="D11" s="103">
        <f t="shared" si="0"/>
        <v>4</v>
      </c>
      <c r="E11" s="89" t="s">
        <v>2626</v>
      </c>
      <c r="F11" s="103"/>
      <c r="G11" s="95">
        <f>ROUND((32768/BASE_TORQ) * MTPVTorque_1,0)</f>
        <v>380</v>
      </c>
      <c r="H11" s="94" t="str">
        <f>IF(G11&lt;&gt;"",IF(C11="float32",FLOAT2HEX(G11),DEC2HEX(G11,8)),"")</f>
        <v>0000017C</v>
      </c>
      <c r="I11" s="94">
        <f t="shared" ref="I11:I74" si="1">IF(G11&lt;&gt;"",HEX2DEC(H11),"")</f>
        <v>380</v>
      </c>
    </row>
    <row r="12" spans="1:20" s="95" customFormat="1" ht="15" customHeight="1">
      <c r="A12" s="96">
        <f>IF(I12&lt;&gt;"",MAX(A$1:A11)+1,"")</f>
        <v>5</v>
      </c>
      <c r="B12" s="97" t="s">
        <v>2144</v>
      </c>
      <c r="C12" s="103" t="s">
        <v>57</v>
      </c>
      <c r="D12" s="103">
        <f>IF(OR(C12="sint64",C12="uint64",C12="double64"), 8, IF(OR(C12="sint32",C12="uint32",C12="float32"),4,IF(OR(C12="sint16",C12="uint16"),2,  IF(OR(C12="sint8",C12="uint8"),1,""))))</f>
        <v>4</v>
      </c>
      <c r="E12" s="89" t="s">
        <v>2627</v>
      </c>
      <c r="F12" s="103"/>
      <c r="G12" s="95">
        <f>ROUND((32768/BASE_ANGLE) * MTPVAngle_1,0)</f>
        <v>17446</v>
      </c>
      <c r="H12" s="94" t="str">
        <f>IF(G12&lt;&gt;"",IF(C12="float32",FLOAT2HEX(G12),DEC2HEX(G12,8)),"")</f>
        <v>00004426</v>
      </c>
      <c r="I12" s="94">
        <f>IF(G12&lt;&gt;"",HEX2DEC(H12),"")</f>
        <v>17446</v>
      </c>
    </row>
    <row r="13" spans="1:20" s="95" customFormat="1" ht="15" customHeight="1">
      <c r="A13" s="96">
        <f>IF(I13&lt;&gt;"",MAX(A$1:A12)+1,"")</f>
        <v>6</v>
      </c>
      <c r="B13" s="97" t="s">
        <v>2145</v>
      </c>
      <c r="C13" s="103" t="s">
        <v>57</v>
      </c>
      <c r="D13" s="103">
        <f t="shared" si="0"/>
        <v>4</v>
      </c>
      <c r="E13" s="89" t="s">
        <v>2628</v>
      </c>
      <c r="F13" s="103"/>
      <c r="G13" s="95">
        <f>ROUND((32768/BASE_FLUX) * MTPVFlux_2,0)</f>
        <v>1513</v>
      </c>
      <c r="H13" s="94" t="str">
        <f>IF(G13&lt;&gt;"",IF(C13="float32",FLOAT2HEX(G13),DEC2HEX(G13,8)),"")</f>
        <v>000005E9</v>
      </c>
      <c r="I13" s="94">
        <f t="shared" si="1"/>
        <v>1513</v>
      </c>
    </row>
    <row r="14" spans="1:20" s="95" customFormat="1" ht="15" customHeight="1">
      <c r="A14" s="96">
        <f>IF(I14&lt;&gt;"",MAX(A$1:A13)+1,"")</f>
        <v>7</v>
      </c>
      <c r="B14" s="74" t="s">
        <v>2146</v>
      </c>
      <c r="C14" s="103" t="s">
        <v>57</v>
      </c>
      <c r="D14" s="103">
        <f>IF(OR(C14="sint64",C14="uint64",C14="double64"), 8, IF(OR(C14="sint32",C14="uint32",C14="float32"),4,IF(OR(C14="sint16",C14="uint16"),2,  IF(OR(C14="sint8",C14="uint8"),1,""))))</f>
        <v>4</v>
      </c>
      <c r="E14" s="89" t="s">
        <v>2629</v>
      </c>
      <c r="F14" s="103"/>
      <c r="G14" s="95">
        <f>ROUND((32768/BASE_TORQ) * MTPVTorque_2,0)</f>
        <v>483</v>
      </c>
      <c r="H14" s="94" t="str">
        <f>IF(G14&lt;&gt;"",IF(C14="float32",FLOAT2HEX(G14),DEC2HEX(G14,8)),"")</f>
        <v>000001E3</v>
      </c>
      <c r="I14" s="94">
        <f>IF(G14&lt;&gt;"",HEX2DEC(H14),"")</f>
        <v>483</v>
      </c>
    </row>
    <row r="15" spans="1:20" s="95" customFormat="1" ht="15" customHeight="1">
      <c r="A15" s="96">
        <f>IF(I15&lt;&gt;"",MAX(A$1:A14)+1,"")</f>
        <v>8</v>
      </c>
      <c r="B15" s="97" t="s">
        <v>2147</v>
      </c>
      <c r="C15" s="103" t="s">
        <v>57</v>
      </c>
      <c r="D15" s="103">
        <f t="shared" si="0"/>
        <v>4</v>
      </c>
      <c r="E15" s="89" t="s">
        <v>2630</v>
      </c>
      <c r="F15" s="103"/>
      <c r="G15" s="95">
        <f>ROUND((32768/BASE_ANGLE) * MTPVAngle_2,0)</f>
        <v>17446</v>
      </c>
      <c r="H15" s="94" t="str">
        <f>IF(G15&lt;&gt;"",IF(C15="float32",FLOAT2HEX(G15),DEC2HEX(G15,8)),"")</f>
        <v>00004426</v>
      </c>
      <c r="I15" s="94">
        <f t="shared" si="1"/>
        <v>17446</v>
      </c>
    </row>
    <row r="16" spans="1:20" s="95" customFormat="1" ht="15" customHeight="1">
      <c r="A16" s="96">
        <f>IF(I16&lt;&gt;"",MAX(A$1:A15)+1,"")</f>
        <v>9</v>
      </c>
      <c r="B16" s="97" t="s">
        <v>2148</v>
      </c>
      <c r="C16" s="103" t="s">
        <v>57</v>
      </c>
      <c r="D16" s="103">
        <f>IF(OR(C16="sint64",C16="uint64",C16="double64"), 8, IF(OR(C16="sint32",C16="uint32",C16="float32"),4,IF(OR(C16="sint16",C16="uint16"),2,  IF(OR(C16="sint8",C16="uint8"),1,""))))</f>
        <v>4</v>
      </c>
      <c r="E16" s="89" t="s">
        <v>2631</v>
      </c>
      <c r="F16" s="103"/>
      <c r="G16" s="95">
        <f>ROUND((32768/BASE_FLUX) * MTPVFlux_3,0)</f>
        <v>1658</v>
      </c>
      <c r="H16" s="94" t="str">
        <f>IF(G16&lt;&gt;"",IF(C16="float32",FLOAT2HEX(G16),DEC2HEX(G16,8)),"")</f>
        <v>0000067A</v>
      </c>
      <c r="I16" s="94">
        <f>IF(G16&lt;&gt;"",HEX2DEC(H16),"")</f>
        <v>1658</v>
      </c>
    </row>
    <row r="17" spans="1:9" s="95" customFormat="1" ht="15" customHeight="1">
      <c r="A17" s="96">
        <f>IF(I17&lt;&gt;"",MAX(A$1:A16)+1,"")</f>
        <v>10</v>
      </c>
      <c r="B17" s="74" t="s">
        <v>2149</v>
      </c>
      <c r="C17" s="103" t="s">
        <v>57</v>
      </c>
      <c r="D17" s="103">
        <f t="shared" si="0"/>
        <v>4</v>
      </c>
      <c r="E17" s="89" t="s">
        <v>2632</v>
      </c>
      <c r="F17" s="103"/>
      <c r="G17" s="95">
        <f>ROUND((32768/BASE_TORQ) * MTPVTorque_3,0)</f>
        <v>576</v>
      </c>
      <c r="H17" s="94" t="str">
        <f>IF(G17&lt;&gt;"",IF(C17="float32",FLOAT2HEX(G17),DEC2HEX(G17,8)),"")</f>
        <v>00000240</v>
      </c>
      <c r="I17" s="94">
        <f t="shared" si="1"/>
        <v>576</v>
      </c>
    </row>
    <row r="18" spans="1:9" s="95" customFormat="1" ht="15" customHeight="1">
      <c r="A18" s="96">
        <f>IF(I18&lt;&gt;"",MAX(A$1:A17)+1,"")</f>
        <v>11</v>
      </c>
      <c r="B18" s="97" t="s">
        <v>2150</v>
      </c>
      <c r="C18" s="103" t="s">
        <v>57</v>
      </c>
      <c r="D18" s="103">
        <f>IF(OR(C18="sint64",C18="uint64",C18="double64"), 8, IF(OR(C18="sint32",C18="uint32",C18="float32"),4,IF(OR(C18="sint16",C18="uint16"),2,  IF(OR(C18="sint8",C18="uint8"),1,""))))</f>
        <v>4</v>
      </c>
      <c r="E18" s="89" t="s">
        <v>2633</v>
      </c>
      <c r="F18" s="103"/>
      <c r="G18" s="95">
        <f>ROUND((32768/BASE_ANGLE) * MTPVAngle_3,0)</f>
        <v>17446</v>
      </c>
      <c r="H18" s="94" t="str">
        <f>IF(G18&lt;&gt;"",IF(C18="float32",FLOAT2HEX(G18),DEC2HEX(G18,8)),"")</f>
        <v>00004426</v>
      </c>
      <c r="I18" s="94">
        <f>IF(G18&lt;&gt;"",HEX2DEC(H18),"")</f>
        <v>17446</v>
      </c>
    </row>
    <row r="19" spans="1:9" s="95" customFormat="1" ht="15" customHeight="1">
      <c r="A19" s="96">
        <f>IF(I19&lt;&gt;"",MAX(A$1:A18)+1,"")</f>
        <v>12</v>
      </c>
      <c r="B19" s="97" t="s">
        <v>2151</v>
      </c>
      <c r="C19" s="103" t="s">
        <v>57</v>
      </c>
      <c r="D19" s="103">
        <f t="shared" si="0"/>
        <v>4</v>
      </c>
      <c r="E19" s="89" t="s">
        <v>2634</v>
      </c>
      <c r="F19" s="103"/>
      <c r="G19" s="95">
        <f>ROUND((32768/BASE_FLUX) * MTPVFlux_4,0)</f>
        <v>1815</v>
      </c>
      <c r="H19" s="94" t="str">
        <f>IF(G19&lt;&gt;"",IF(C19="float32",FLOAT2HEX(G19),DEC2HEX(G19,8)),"")</f>
        <v>00000717</v>
      </c>
      <c r="I19" s="94">
        <f t="shared" si="1"/>
        <v>1815</v>
      </c>
    </row>
    <row r="20" spans="1:9" s="95" customFormat="1" ht="15" customHeight="1">
      <c r="A20" s="96">
        <f>IF(I20&lt;&gt;"",MAX(A$1:A19)+1,"")</f>
        <v>13</v>
      </c>
      <c r="B20" s="74" t="s">
        <v>2152</v>
      </c>
      <c r="C20" s="103" t="s">
        <v>57</v>
      </c>
      <c r="D20" s="103">
        <f>IF(OR(C20="sint64",C20="uint64",C20="double64"), 8, IF(OR(C20="sint32",C20="uint32",C20="float32"),4,IF(OR(C20="sint16",C20="uint16"),2,  IF(OR(C20="sint8",C20="uint8"),1,""))))</f>
        <v>4</v>
      </c>
      <c r="E20" s="89" t="s">
        <v>2635</v>
      </c>
      <c r="F20" s="103"/>
      <c r="G20" s="95">
        <f>ROUND((32768/BASE_TORQ) * MTPVTorque_4,0)</f>
        <v>662</v>
      </c>
      <c r="H20" s="94" t="str">
        <f>IF(G20&lt;&gt;"",IF(C20="float32",FLOAT2HEX(G20),DEC2HEX(G20,8)),"")</f>
        <v>00000296</v>
      </c>
      <c r="I20" s="94">
        <f>IF(G20&lt;&gt;"",HEX2DEC(H20),"")</f>
        <v>662</v>
      </c>
    </row>
    <row r="21" spans="1:9" s="95" customFormat="1" ht="15" customHeight="1">
      <c r="A21" s="96">
        <f>IF(I21&lt;&gt;"",MAX(A$1:A20)+1,"")</f>
        <v>14</v>
      </c>
      <c r="B21" s="97" t="s">
        <v>2153</v>
      </c>
      <c r="C21" s="103" t="s">
        <v>57</v>
      </c>
      <c r="D21" s="103">
        <f t="shared" si="0"/>
        <v>4</v>
      </c>
      <c r="E21" s="89" t="s">
        <v>2636</v>
      </c>
      <c r="F21" s="103"/>
      <c r="G21" s="95">
        <f>ROUND((32768/BASE_ANGLE) * MTPVAngle_4,0)</f>
        <v>17446</v>
      </c>
      <c r="H21" s="94" t="str">
        <f>IF(G21&lt;&gt;"",IF(C21="float32",FLOAT2HEX(G21),DEC2HEX(G21,8)),"")</f>
        <v>00004426</v>
      </c>
      <c r="I21" s="94">
        <f t="shared" si="1"/>
        <v>17446</v>
      </c>
    </row>
    <row r="22" spans="1:9" s="95" customFormat="1" ht="15" customHeight="1">
      <c r="A22" s="96">
        <f>IF(I22&lt;&gt;"",MAX(A$1:A21)+1,"")</f>
        <v>15</v>
      </c>
      <c r="B22" s="97" t="s">
        <v>2154</v>
      </c>
      <c r="C22" s="103" t="s">
        <v>57</v>
      </c>
      <c r="D22" s="103">
        <f>IF(OR(C22="sint64",C22="uint64",C22="double64"), 8, IF(OR(C22="sint32",C22="uint32",C22="float32"),4,IF(OR(C22="sint16",C22="uint16"),2,  IF(OR(C22="sint8",C22="uint8"),1,""))))</f>
        <v>4</v>
      </c>
      <c r="E22" s="89" t="s">
        <v>2637</v>
      </c>
      <c r="F22" s="103"/>
      <c r="G22" s="95">
        <f>ROUND((32768/BASE_FLUX) * MTPVFlux_5,0)</f>
        <v>1960</v>
      </c>
      <c r="H22" s="94" t="str">
        <f>IF(G22&lt;&gt;"",IF(C22="float32",FLOAT2HEX(G22),DEC2HEX(G22,8)),"")</f>
        <v>000007A8</v>
      </c>
      <c r="I22" s="94">
        <f>IF(G22&lt;&gt;"",HEX2DEC(H22),"")</f>
        <v>1960</v>
      </c>
    </row>
    <row r="23" spans="1:9" s="95" customFormat="1" ht="15" customHeight="1">
      <c r="A23" s="96">
        <f>IF(I23&lt;&gt;"",MAX(A$1:A22)+1,"")</f>
        <v>16</v>
      </c>
      <c r="B23" s="74" t="s">
        <v>2155</v>
      </c>
      <c r="C23" s="103" t="s">
        <v>57</v>
      </c>
      <c r="D23" s="103">
        <f t="shared" si="0"/>
        <v>4</v>
      </c>
      <c r="E23" s="89" t="s">
        <v>2638</v>
      </c>
      <c r="F23" s="103"/>
      <c r="G23" s="95">
        <f>ROUND((32768/BASE_TORQ) * MTPVTorque_5,0)</f>
        <v>745</v>
      </c>
      <c r="H23" s="94" t="str">
        <f>IF(G23&lt;&gt;"",IF(C23="float32",FLOAT2HEX(G23),DEC2HEX(G23,8)),"")</f>
        <v>000002E9</v>
      </c>
      <c r="I23" s="94">
        <f t="shared" si="1"/>
        <v>745</v>
      </c>
    </row>
    <row r="24" spans="1:9" s="95" customFormat="1" ht="15" customHeight="1">
      <c r="A24" s="96">
        <f>IF(I24&lt;&gt;"",MAX(A$1:A23)+1,"")</f>
        <v>17</v>
      </c>
      <c r="B24" s="97" t="s">
        <v>2156</v>
      </c>
      <c r="C24" s="103" t="s">
        <v>57</v>
      </c>
      <c r="D24" s="103">
        <f>IF(OR(C24="sint64",C24="uint64",C24="double64"), 8, IF(OR(C24="sint32",C24="uint32",C24="float32"),4,IF(OR(C24="sint16",C24="uint16"),2,  IF(OR(C24="sint8",C24="uint8"),1,""))))</f>
        <v>4</v>
      </c>
      <c r="E24" s="89" t="s">
        <v>2639</v>
      </c>
      <c r="F24" s="103"/>
      <c r="G24" s="95">
        <f>ROUND((32768/BASE_ANGLE) * MTPVAngle_5,0)</f>
        <v>17446</v>
      </c>
      <c r="H24" s="94" t="str">
        <f>IF(G24&lt;&gt;"",IF(C24="float32",FLOAT2HEX(G24),DEC2HEX(G24,8)),"")</f>
        <v>00004426</v>
      </c>
      <c r="I24" s="94">
        <f>IF(G24&lt;&gt;"",HEX2DEC(H24),"")</f>
        <v>17446</v>
      </c>
    </row>
    <row r="25" spans="1:9" s="95" customFormat="1" ht="15" customHeight="1">
      <c r="A25" s="96">
        <f>IF(I25&lt;&gt;"",MAX(A$1:A24)+1,"")</f>
        <v>18</v>
      </c>
      <c r="B25" s="97" t="s">
        <v>2157</v>
      </c>
      <c r="C25" s="103" t="s">
        <v>57</v>
      </c>
      <c r="D25" s="103">
        <f t="shared" si="0"/>
        <v>4</v>
      </c>
      <c r="E25" s="89" t="s">
        <v>2640</v>
      </c>
      <c r="F25" s="103"/>
      <c r="G25" s="95">
        <f>ROUND((32768/BASE_FLUX) * MTPVFlux_6,0)</f>
        <v>2118</v>
      </c>
      <c r="H25" s="94" t="str">
        <f>IF(G25&lt;&gt;"",IF(C25="float32",FLOAT2HEX(G25),DEC2HEX(G25,8)),"")</f>
        <v>00000846</v>
      </c>
      <c r="I25" s="94">
        <f t="shared" si="1"/>
        <v>2118</v>
      </c>
    </row>
    <row r="26" spans="1:9" s="95" customFormat="1" ht="15" customHeight="1">
      <c r="A26" s="96">
        <f>IF(I26&lt;&gt;"",MAX(A$1:A25)+1,"")</f>
        <v>19</v>
      </c>
      <c r="B26" s="74" t="s">
        <v>2158</v>
      </c>
      <c r="C26" s="103" t="s">
        <v>57</v>
      </c>
      <c r="D26" s="103">
        <f>IF(OR(C26="sint64",C26="uint64",C26="double64"), 8, IF(OR(C26="sint32",C26="uint32",C26="float32"),4,IF(OR(C26="sint16",C26="uint16"),2,  IF(OR(C26="sint8",C26="uint8"),1,""))))</f>
        <v>4</v>
      </c>
      <c r="E26" s="89" t="s">
        <v>2641</v>
      </c>
      <c r="F26" s="103"/>
      <c r="G26" s="95">
        <f>ROUND((32768/BASE_TORQ) * MTPVTorque_6,0)</f>
        <v>825</v>
      </c>
      <c r="H26" s="94" t="str">
        <f>IF(G26&lt;&gt;"",IF(C26="float32",FLOAT2HEX(G26),DEC2HEX(G26,8)),"")</f>
        <v>00000339</v>
      </c>
      <c r="I26" s="94">
        <f>IF(G26&lt;&gt;"",HEX2DEC(H26),"")</f>
        <v>825</v>
      </c>
    </row>
    <row r="27" spans="1:9" s="95" customFormat="1" ht="15" customHeight="1">
      <c r="A27" s="96">
        <f>IF(I27&lt;&gt;"",MAX(A$1:A26)+1,"")</f>
        <v>20</v>
      </c>
      <c r="B27" s="97" t="s">
        <v>2159</v>
      </c>
      <c r="C27" s="103" t="s">
        <v>57</v>
      </c>
      <c r="D27" s="103">
        <f t="shared" si="0"/>
        <v>4</v>
      </c>
      <c r="E27" s="89" t="s">
        <v>2642</v>
      </c>
      <c r="F27" s="103"/>
      <c r="G27" s="95">
        <f>ROUND((32768/BASE_ANGLE) * MTPVAngle_6,0)</f>
        <v>17446</v>
      </c>
      <c r="H27" s="94" t="str">
        <f>IF(G27&lt;&gt;"",IF(C27="float32",FLOAT2HEX(G27),DEC2HEX(G27,8)),"")</f>
        <v>00004426</v>
      </c>
      <c r="I27" s="94">
        <f t="shared" si="1"/>
        <v>17446</v>
      </c>
    </row>
    <row r="28" spans="1:9" s="95" customFormat="1" ht="15" customHeight="1">
      <c r="A28" s="96">
        <f>IF(I28&lt;&gt;"",MAX(A$1:A27)+1,"")</f>
        <v>21</v>
      </c>
      <c r="B28" s="97" t="s">
        <v>2160</v>
      </c>
      <c r="C28" s="103" t="s">
        <v>57</v>
      </c>
      <c r="D28" s="103">
        <f>IF(OR(C28="sint64",C28="uint64",C28="double64"), 8, IF(OR(C28="sint32",C28="uint32",C28="float32"),4,IF(OR(C28="sint16",C28="uint16"),2,  IF(OR(C28="sint8",C28="uint8"),1,""))))</f>
        <v>4</v>
      </c>
      <c r="E28" s="89" t="s">
        <v>2643</v>
      </c>
      <c r="F28" s="103"/>
      <c r="G28" s="95">
        <f>ROUND((32768/BASE_FLUX) * MTPVFlux_7,0)</f>
        <v>2263</v>
      </c>
      <c r="H28" s="94" t="str">
        <f>IF(G28&lt;&gt;"",IF(C28="float32",FLOAT2HEX(G28),DEC2HEX(G28,8)),"")</f>
        <v>000008D7</v>
      </c>
      <c r="I28" s="94">
        <f>IF(G28&lt;&gt;"",HEX2DEC(H28),"")</f>
        <v>2263</v>
      </c>
    </row>
    <row r="29" spans="1:9" s="95" customFormat="1" ht="15" customHeight="1">
      <c r="A29" s="96">
        <f>IF(I29&lt;&gt;"",MAX(A$1:A28)+1,"")</f>
        <v>22</v>
      </c>
      <c r="B29" s="74" t="s">
        <v>2161</v>
      </c>
      <c r="C29" s="103" t="s">
        <v>57</v>
      </c>
      <c r="D29" s="103">
        <f t="shared" si="0"/>
        <v>4</v>
      </c>
      <c r="E29" s="89" t="s">
        <v>2644</v>
      </c>
      <c r="F29" s="103"/>
      <c r="G29" s="95">
        <f>ROUND((32768/BASE_TORQ) * MTPVTorque_7,0)</f>
        <v>902</v>
      </c>
      <c r="H29" s="94" t="str">
        <f>IF(G29&lt;&gt;"",IF(C29="float32",FLOAT2HEX(G29),DEC2HEX(G29,8)),"")</f>
        <v>00000386</v>
      </c>
      <c r="I29" s="94">
        <f t="shared" si="1"/>
        <v>902</v>
      </c>
    </row>
    <row r="30" spans="1:9" s="95" customFormat="1" ht="15" customHeight="1">
      <c r="A30" s="96">
        <f>IF(I30&lt;&gt;"",MAX(A$1:A29)+1,"")</f>
        <v>23</v>
      </c>
      <c r="B30" s="97" t="s">
        <v>2162</v>
      </c>
      <c r="C30" s="103" t="s">
        <v>57</v>
      </c>
      <c r="D30" s="103">
        <f>IF(OR(C30="sint64",C30="uint64",C30="double64"), 8, IF(OR(C30="sint32",C30="uint32",C30="float32"),4,IF(OR(C30="sint16",C30="uint16"),2,  IF(OR(C30="sint8",C30="uint8"),1,""))))</f>
        <v>4</v>
      </c>
      <c r="E30" s="89" t="s">
        <v>2645</v>
      </c>
      <c r="F30" s="103"/>
      <c r="G30" s="95">
        <f>ROUND((32768/BASE_ANGLE) * MTPVAngle_7,0)</f>
        <v>17446</v>
      </c>
      <c r="H30" s="94" t="str">
        <f>IF(G30&lt;&gt;"",IF(C30="float32",FLOAT2HEX(G30),DEC2HEX(G30,8)),"")</f>
        <v>00004426</v>
      </c>
      <c r="I30" s="94">
        <f>IF(G30&lt;&gt;"",HEX2DEC(H30),"")</f>
        <v>17446</v>
      </c>
    </row>
    <row r="31" spans="1:9" s="95" customFormat="1" ht="15" customHeight="1">
      <c r="A31" s="96">
        <f>IF(I31&lt;&gt;"",MAX(A$1:A30)+1,"")</f>
        <v>24</v>
      </c>
      <c r="B31" s="97" t="s">
        <v>2163</v>
      </c>
      <c r="C31" s="103" t="s">
        <v>57</v>
      </c>
      <c r="D31" s="103">
        <f t="shared" si="0"/>
        <v>4</v>
      </c>
      <c r="E31" s="89" t="s">
        <v>2646</v>
      </c>
      <c r="F31" s="103"/>
      <c r="G31" s="95">
        <f>ROUND((32768/BASE_FLUX) * MTPVFlux_8,0)</f>
        <v>2420</v>
      </c>
      <c r="H31" s="94" t="str">
        <f>IF(G31&lt;&gt;"",IF(C31="float32",FLOAT2HEX(G31),DEC2HEX(G31,8)),"")</f>
        <v>00000974</v>
      </c>
      <c r="I31" s="94">
        <f t="shared" si="1"/>
        <v>2420</v>
      </c>
    </row>
    <row r="32" spans="1:9" s="95" customFormat="1" ht="15" customHeight="1">
      <c r="A32" s="96">
        <f>IF(I32&lt;&gt;"",MAX(A$1:A31)+1,"")</f>
        <v>25</v>
      </c>
      <c r="B32" s="74" t="s">
        <v>2164</v>
      </c>
      <c r="C32" s="103" t="s">
        <v>57</v>
      </c>
      <c r="D32" s="103">
        <f>IF(OR(C32="sint64",C32="uint64",C32="double64"), 8, IF(OR(C32="sint32",C32="uint32",C32="float32"),4,IF(OR(C32="sint16",C32="uint16"),2,  IF(OR(C32="sint8",C32="uint8"),1,""))))</f>
        <v>4</v>
      </c>
      <c r="E32" s="89" t="s">
        <v>2647</v>
      </c>
      <c r="F32" s="103"/>
      <c r="G32" s="95">
        <f>ROUND((32768/BASE_TORQ) * MTPVTorque_8,0)</f>
        <v>978</v>
      </c>
      <c r="H32" s="94" t="str">
        <f>IF(G32&lt;&gt;"",IF(C32="float32",FLOAT2HEX(G32),DEC2HEX(G32,8)),"")</f>
        <v>000003D2</v>
      </c>
      <c r="I32" s="94">
        <f>IF(G32&lt;&gt;"",HEX2DEC(H32),"")</f>
        <v>978</v>
      </c>
    </row>
    <row r="33" spans="1:9" s="95" customFormat="1" ht="15" customHeight="1">
      <c r="A33" s="96">
        <f>IF(I33&lt;&gt;"",MAX(A$1:A32)+1,"")</f>
        <v>26</v>
      </c>
      <c r="B33" s="97" t="s">
        <v>2165</v>
      </c>
      <c r="C33" s="103" t="s">
        <v>57</v>
      </c>
      <c r="D33" s="103">
        <f t="shared" si="0"/>
        <v>4</v>
      </c>
      <c r="E33" s="89" t="s">
        <v>2648</v>
      </c>
      <c r="F33" s="103"/>
      <c r="G33" s="95">
        <f>ROUND((32768/BASE_ANGLE) * MTPVAngle_8,0)</f>
        <v>17446</v>
      </c>
      <c r="H33" s="94" t="str">
        <f>IF(G33&lt;&gt;"",IF(C33="float32",FLOAT2HEX(G33),DEC2HEX(G33,8)),"")</f>
        <v>00004426</v>
      </c>
      <c r="I33" s="94">
        <f t="shared" si="1"/>
        <v>17446</v>
      </c>
    </row>
    <row r="34" spans="1:9" s="95" customFormat="1" ht="15" customHeight="1">
      <c r="A34" s="96">
        <f>IF(I34&lt;&gt;"",MAX(A$1:A33)+1,"")</f>
        <v>27</v>
      </c>
      <c r="B34" s="97" t="s">
        <v>2166</v>
      </c>
      <c r="C34" s="103" t="s">
        <v>57</v>
      </c>
      <c r="D34" s="103">
        <f>IF(OR(C34="sint64",C34="uint64",C34="double64"), 8, IF(OR(C34="sint32",C34="uint32",C34="float32"),4,IF(OR(C34="sint16",C34="uint16"),2,  IF(OR(C34="sint8",C34="uint8"),1,""))))</f>
        <v>4</v>
      </c>
      <c r="E34" s="89" t="s">
        <v>2649</v>
      </c>
      <c r="F34" s="103"/>
      <c r="G34" s="95">
        <f>ROUND((32768/BASE_FLUX) * MTPVFlux_9,0)</f>
        <v>2565</v>
      </c>
      <c r="H34" s="94" t="str">
        <f>IF(G34&lt;&gt;"",IF(C34="float32",FLOAT2HEX(G34),DEC2HEX(G34,8)),"")</f>
        <v>00000A05</v>
      </c>
      <c r="I34" s="94">
        <f>IF(G34&lt;&gt;"",HEX2DEC(H34),"")</f>
        <v>2565</v>
      </c>
    </row>
    <row r="35" spans="1:9" s="95" customFormat="1" ht="15" customHeight="1">
      <c r="A35" s="96">
        <f>IF(I35&lt;&gt;"",MAX(A$1:A34)+1,"")</f>
        <v>28</v>
      </c>
      <c r="B35" s="74" t="s">
        <v>2167</v>
      </c>
      <c r="C35" s="103" t="s">
        <v>57</v>
      </c>
      <c r="D35" s="103">
        <f t="shared" si="0"/>
        <v>4</v>
      </c>
      <c r="E35" s="89" t="s">
        <v>2650</v>
      </c>
      <c r="F35" s="103"/>
      <c r="G35" s="95">
        <f>ROUND((32768/BASE_TORQ) * MTPVTorque_9,0)</f>
        <v>1052</v>
      </c>
      <c r="H35" s="94" t="str">
        <f>IF(G35&lt;&gt;"",IF(C35="float32",FLOAT2HEX(G35),DEC2HEX(G35,8)),"")</f>
        <v>0000041C</v>
      </c>
      <c r="I35" s="94">
        <f t="shared" si="1"/>
        <v>1052</v>
      </c>
    </row>
    <row r="36" spans="1:9" s="95" customFormat="1" ht="15" customHeight="1">
      <c r="A36" s="96">
        <f>IF(I36&lt;&gt;"",MAX(A$1:A35)+1,"")</f>
        <v>29</v>
      </c>
      <c r="B36" s="97" t="s">
        <v>2168</v>
      </c>
      <c r="C36" s="103" t="s">
        <v>57</v>
      </c>
      <c r="D36" s="103">
        <f>IF(OR(C36="sint64",C36="uint64",C36="double64"), 8, IF(OR(C36="sint32",C36="uint32",C36="float32"),4,IF(OR(C36="sint16",C36="uint16"),2,  IF(OR(C36="sint8",C36="uint8"),1,""))))</f>
        <v>4</v>
      </c>
      <c r="E36" s="89" t="s">
        <v>2651</v>
      </c>
      <c r="F36" s="103"/>
      <c r="G36" s="95">
        <f>ROUND((32768/BASE_ANGLE) * MTPVAngle_9,0)</f>
        <v>17446</v>
      </c>
      <c r="H36" s="94" t="str">
        <f>IF(G36&lt;&gt;"",IF(C36="float32",FLOAT2HEX(G36),DEC2HEX(G36,8)),"")</f>
        <v>00004426</v>
      </c>
      <c r="I36" s="94">
        <f>IF(G36&lt;&gt;"",HEX2DEC(H36),"")</f>
        <v>17446</v>
      </c>
    </row>
    <row r="37" spans="1:9" s="95" customFormat="1" ht="15" customHeight="1">
      <c r="A37" s="96">
        <f>IF(I37&lt;&gt;"",MAX(A$1:A36)+1,"")</f>
        <v>30</v>
      </c>
      <c r="B37" s="97" t="s">
        <v>2169</v>
      </c>
      <c r="C37" s="103" t="s">
        <v>57</v>
      </c>
      <c r="D37" s="103">
        <f t="shared" si="0"/>
        <v>4</v>
      </c>
      <c r="E37" s="89" t="s">
        <v>2652</v>
      </c>
      <c r="F37" s="103"/>
      <c r="G37" s="95">
        <f>ROUND((32768/BASE_FLUX) * MTPVFlux_10,0)</f>
        <v>2710</v>
      </c>
      <c r="H37" s="94" t="str">
        <f>IF(G37&lt;&gt;"",IF(C37="float32",FLOAT2HEX(G37),DEC2HEX(G37,8)),"")</f>
        <v>00000A96</v>
      </c>
      <c r="I37" s="94">
        <f t="shared" si="1"/>
        <v>2710</v>
      </c>
    </row>
    <row r="38" spans="1:9" s="95" customFormat="1" ht="15" customHeight="1">
      <c r="A38" s="96">
        <f>IF(I38&lt;&gt;"",MAX(A$1:A37)+1,"")</f>
        <v>31</v>
      </c>
      <c r="B38" s="74" t="s">
        <v>2170</v>
      </c>
      <c r="C38" s="103" t="s">
        <v>57</v>
      </c>
      <c r="D38" s="103">
        <f t="shared" si="0"/>
        <v>4</v>
      </c>
      <c r="E38" s="89" t="s">
        <v>2653</v>
      </c>
      <c r="F38" s="103"/>
      <c r="G38" s="95">
        <f>ROUND((32768/BASE_TORQ) * MTPVTorque_10,0)</f>
        <v>1125</v>
      </c>
      <c r="H38" s="94" t="str">
        <f>IF(G38&lt;&gt;"",IF(C38="float32",FLOAT2HEX(G38),DEC2HEX(G38,8)),"")</f>
        <v>00000465</v>
      </c>
      <c r="I38" s="94">
        <f t="shared" si="1"/>
        <v>1125</v>
      </c>
    </row>
    <row r="39" spans="1:9" s="95" customFormat="1" ht="15" customHeight="1">
      <c r="A39" s="96">
        <f>IF(I39&lt;&gt;"",MAX(A$1:A38)+1,"")</f>
        <v>32</v>
      </c>
      <c r="B39" s="97" t="s">
        <v>2171</v>
      </c>
      <c r="C39" s="103" t="s">
        <v>57</v>
      </c>
      <c r="D39" s="103">
        <f t="shared" si="0"/>
        <v>4</v>
      </c>
      <c r="E39" s="89" t="s">
        <v>2654</v>
      </c>
      <c r="F39" s="103"/>
      <c r="G39" s="95">
        <f>ROUND((32768/BASE_ANGLE) * MTPVAngle_10,0)</f>
        <v>17446</v>
      </c>
      <c r="H39" s="94" t="str">
        <f>IF(G39&lt;&gt;"",IF(C39="float32",FLOAT2HEX(G39),DEC2HEX(G39,8)),"")</f>
        <v>00004426</v>
      </c>
      <c r="I39" s="94">
        <f t="shared" si="1"/>
        <v>17446</v>
      </c>
    </row>
    <row r="40" spans="1:9">
      <c r="A40" s="96">
        <f>IF(I40&lt;&gt;"",MAX(A$1:A39)+1,"")</f>
        <v>33</v>
      </c>
      <c r="B40" s="97" t="s">
        <v>2172</v>
      </c>
      <c r="C40" s="103" t="s">
        <v>57</v>
      </c>
      <c r="D40" s="103">
        <f t="shared" si="0"/>
        <v>4</v>
      </c>
      <c r="E40" s="89" t="s">
        <v>2655</v>
      </c>
      <c r="G40" s="103">
        <f>ROUND((32768/BASE_FLUX) * MTPVFlux_11,0)</f>
        <v>2868</v>
      </c>
      <c r="H40" s="94" t="str">
        <f>IF(G40&lt;&gt;"",IF(C40="float32",FLOAT2HEX(G40),DEC2HEX(G40,8)),"")</f>
        <v>00000B34</v>
      </c>
      <c r="I40" s="94">
        <f t="shared" si="1"/>
        <v>2868</v>
      </c>
    </row>
    <row r="41" spans="1:9">
      <c r="A41" s="96">
        <f>IF(I41&lt;&gt;"",MAX(A$1:A40)+1,"")</f>
        <v>34</v>
      </c>
      <c r="B41" s="74" t="s">
        <v>2173</v>
      </c>
      <c r="C41" s="103" t="s">
        <v>57</v>
      </c>
      <c r="D41" s="103">
        <f t="shared" si="0"/>
        <v>4</v>
      </c>
      <c r="E41" s="89" t="s">
        <v>2656</v>
      </c>
      <c r="G41" s="103">
        <f>ROUND((32768/BASE_TORQ) * MTPVTorque_11,0)</f>
        <v>1197</v>
      </c>
      <c r="H41" s="94" t="str">
        <f>IF(G41&lt;&gt;"",IF(C41="float32",FLOAT2HEX(G41),DEC2HEX(G41,8)),"")</f>
        <v>000004AD</v>
      </c>
      <c r="I41" s="94">
        <f t="shared" si="1"/>
        <v>1197</v>
      </c>
    </row>
    <row r="42" spans="1:9">
      <c r="A42" s="96">
        <f>IF(I42&lt;&gt;"",MAX(A$1:A41)+1,"")</f>
        <v>35</v>
      </c>
      <c r="B42" s="97" t="s">
        <v>2174</v>
      </c>
      <c r="C42" s="103" t="s">
        <v>57</v>
      </c>
      <c r="D42" s="103">
        <f t="shared" si="0"/>
        <v>4</v>
      </c>
      <c r="E42" s="89" t="s">
        <v>2657</v>
      </c>
      <c r="G42" s="103">
        <f>ROUND((32768/BASE_ANGLE) * MTPVAngle_11,0)</f>
        <v>17446</v>
      </c>
      <c r="H42" s="94" t="str">
        <f>IF(G42&lt;&gt;"",IF(C42="float32",FLOAT2HEX(G42),DEC2HEX(G42,8)),"")</f>
        <v>00004426</v>
      </c>
      <c r="I42" s="94">
        <f t="shared" si="1"/>
        <v>17446</v>
      </c>
    </row>
    <row r="43" spans="1:9">
      <c r="A43" s="96">
        <f>IF(I43&lt;&gt;"",MAX(A$1:A42)+1,"")</f>
        <v>36</v>
      </c>
      <c r="B43" s="97" t="s">
        <v>2175</v>
      </c>
      <c r="C43" s="103" t="s">
        <v>57</v>
      </c>
      <c r="D43" s="103">
        <f t="shared" si="0"/>
        <v>4</v>
      </c>
      <c r="E43" s="89" t="s">
        <v>2658</v>
      </c>
      <c r="G43" s="103">
        <f>ROUND((32768/BASE_FLUX) * MTPVFlux_12,0)</f>
        <v>3013</v>
      </c>
      <c r="H43" s="94" t="str">
        <f>IF(G43&lt;&gt;"",IF(C43="float32",FLOAT2HEX(G43),DEC2HEX(G43,8)),"")</f>
        <v>00000BC5</v>
      </c>
      <c r="I43" s="94">
        <f t="shared" si="1"/>
        <v>3013</v>
      </c>
    </row>
    <row r="44" spans="1:9">
      <c r="A44" s="96">
        <f>IF(I44&lt;&gt;"",MAX(A$1:A43)+1,"")</f>
        <v>37</v>
      </c>
      <c r="B44" s="74" t="s">
        <v>2176</v>
      </c>
      <c r="C44" s="103" t="s">
        <v>57</v>
      </c>
      <c r="D44" s="103">
        <f t="shared" si="0"/>
        <v>4</v>
      </c>
      <c r="E44" s="89" t="s">
        <v>2659</v>
      </c>
      <c r="G44" s="103">
        <f>ROUND((32768/BASE_TORQ) * MTPVTorque_12,0)</f>
        <v>1269</v>
      </c>
      <c r="H44" s="94" t="str">
        <f>IF(G44&lt;&gt;"",IF(C44="float32",FLOAT2HEX(G44),DEC2HEX(G44,8)),"")</f>
        <v>000004F5</v>
      </c>
      <c r="I44" s="94">
        <f t="shared" si="1"/>
        <v>1269</v>
      </c>
    </row>
    <row r="45" spans="1:9">
      <c r="A45" s="96">
        <f>IF(I45&lt;&gt;"",MAX(A$1:A44)+1,"")</f>
        <v>38</v>
      </c>
      <c r="B45" s="97" t="s">
        <v>2177</v>
      </c>
      <c r="C45" s="103" t="s">
        <v>57</v>
      </c>
      <c r="D45" s="103">
        <f t="shared" si="0"/>
        <v>4</v>
      </c>
      <c r="E45" s="89" t="s">
        <v>2660</v>
      </c>
      <c r="G45" s="103">
        <f>ROUND((32768/BASE_ANGLE) * MTPVAngle_12,0)</f>
        <v>17446</v>
      </c>
      <c r="H45" s="94" t="str">
        <f>IF(G45&lt;&gt;"",IF(C45="float32",FLOAT2HEX(G45),DEC2HEX(G45,8)),"")</f>
        <v>00004426</v>
      </c>
      <c r="I45" s="94">
        <f t="shared" si="1"/>
        <v>17446</v>
      </c>
    </row>
    <row r="46" spans="1:9">
      <c r="A46" s="96">
        <f>IF(I46&lt;&gt;"",MAX(A$1:A45)+1,"")</f>
        <v>39</v>
      </c>
      <c r="B46" s="97" t="s">
        <v>2178</v>
      </c>
      <c r="C46" s="103" t="s">
        <v>57</v>
      </c>
      <c r="D46" s="103">
        <f t="shared" si="0"/>
        <v>4</v>
      </c>
      <c r="E46" s="89" t="s">
        <v>2661</v>
      </c>
      <c r="G46" s="103">
        <f>ROUND((32768/BASE_FLUX) * MTPVFlux_13,0)</f>
        <v>3170</v>
      </c>
      <c r="H46" s="94" t="str">
        <f>IF(G46&lt;&gt;"",IF(C46="float32",FLOAT2HEX(G46),DEC2HEX(G46,8)),"")</f>
        <v>00000C62</v>
      </c>
      <c r="I46" s="94">
        <f t="shared" si="1"/>
        <v>3170</v>
      </c>
    </row>
    <row r="47" spans="1:9">
      <c r="A47" s="96">
        <f>IF(I47&lt;&gt;"",MAX(A$1:A46)+1,"")</f>
        <v>40</v>
      </c>
      <c r="B47" s="74" t="s">
        <v>2179</v>
      </c>
      <c r="C47" s="103" t="s">
        <v>57</v>
      </c>
      <c r="D47" s="103">
        <f t="shared" si="0"/>
        <v>4</v>
      </c>
      <c r="E47" s="89" t="s">
        <v>2662</v>
      </c>
      <c r="G47" s="103">
        <f>ROUND((32768/BASE_TORQ) * MTPVTorque_13,0)</f>
        <v>1339</v>
      </c>
      <c r="H47" s="94" t="str">
        <f>IF(G47&lt;&gt;"",IF(C47="float32",FLOAT2HEX(G47),DEC2HEX(G47,8)),"")</f>
        <v>0000053B</v>
      </c>
      <c r="I47" s="94">
        <f t="shared" si="1"/>
        <v>1339</v>
      </c>
    </row>
    <row r="48" spans="1:9">
      <c r="A48" s="96">
        <f>IF(I48&lt;&gt;"",MAX(A$1:A47)+1,"")</f>
        <v>41</v>
      </c>
      <c r="B48" s="97" t="s">
        <v>2180</v>
      </c>
      <c r="C48" s="103" t="s">
        <v>57</v>
      </c>
      <c r="D48" s="103">
        <f t="shared" si="0"/>
        <v>4</v>
      </c>
      <c r="E48" s="89" t="s">
        <v>2663</v>
      </c>
      <c r="G48" s="103">
        <f>ROUND((32768/BASE_ANGLE) * MTPVAngle_13,0)</f>
        <v>17446</v>
      </c>
      <c r="H48" s="94" t="str">
        <f>IF(G48&lt;&gt;"",IF(C48="float32",FLOAT2HEX(G48),DEC2HEX(G48,8)),"")</f>
        <v>00004426</v>
      </c>
      <c r="I48" s="94">
        <f t="shared" si="1"/>
        <v>17446</v>
      </c>
    </row>
    <row r="49" spans="1:9">
      <c r="A49" s="96">
        <f>IF(I49&lt;&gt;"",MAX(A$1:A48)+1,"")</f>
        <v>42</v>
      </c>
      <c r="B49" s="97" t="s">
        <v>2181</v>
      </c>
      <c r="C49" s="103" t="s">
        <v>57</v>
      </c>
      <c r="D49" s="103">
        <f t="shared" si="0"/>
        <v>4</v>
      </c>
      <c r="E49" s="89" t="s">
        <v>2664</v>
      </c>
      <c r="G49" s="103">
        <f>ROUND((32768/BASE_FLUX) * MTPVFlux_14,0)</f>
        <v>3316</v>
      </c>
      <c r="H49" s="94" t="str">
        <f>IF(G49&lt;&gt;"",IF(C49="float32",FLOAT2HEX(G49),DEC2HEX(G49,8)),"")</f>
        <v>00000CF4</v>
      </c>
      <c r="I49" s="94">
        <f t="shared" si="1"/>
        <v>3316</v>
      </c>
    </row>
    <row r="50" spans="1:9">
      <c r="A50" s="96">
        <f>IF(I50&lt;&gt;"",MAX(A$1:A49)+1,"")</f>
        <v>43</v>
      </c>
      <c r="B50" s="74" t="s">
        <v>2182</v>
      </c>
      <c r="C50" s="103" t="s">
        <v>57</v>
      </c>
      <c r="D50" s="103">
        <f t="shared" si="0"/>
        <v>4</v>
      </c>
      <c r="E50" s="89" t="s">
        <v>2665</v>
      </c>
      <c r="G50" s="103">
        <f>ROUND((32768/BASE_TORQ) * MTPVTorque_14,0)</f>
        <v>1409</v>
      </c>
      <c r="H50" s="94" t="str">
        <f>IF(G50&lt;&gt;"",IF(C50="float32",FLOAT2HEX(G50),DEC2HEX(G50,8)),"")</f>
        <v>00000581</v>
      </c>
      <c r="I50" s="94">
        <f t="shared" si="1"/>
        <v>1409</v>
      </c>
    </row>
    <row r="51" spans="1:9">
      <c r="A51" s="96">
        <f>IF(I51&lt;&gt;"",MAX(A$1:A50)+1,"")</f>
        <v>44</v>
      </c>
      <c r="B51" s="97" t="s">
        <v>2183</v>
      </c>
      <c r="C51" s="103" t="s">
        <v>57</v>
      </c>
      <c r="D51" s="103">
        <f t="shared" si="0"/>
        <v>4</v>
      </c>
      <c r="E51" s="89" t="s">
        <v>2666</v>
      </c>
      <c r="G51" s="103">
        <f>ROUND((32768/BASE_ANGLE) * MTPVAngle_14,0)</f>
        <v>17446</v>
      </c>
      <c r="H51" s="94" t="str">
        <f>IF(G51&lt;&gt;"",IF(C51="float32",FLOAT2HEX(G51),DEC2HEX(G51,8)),"")</f>
        <v>00004426</v>
      </c>
      <c r="I51" s="94">
        <f t="shared" si="1"/>
        <v>17446</v>
      </c>
    </row>
    <row r="52" spans="1:9">
      <c r="A52" s="96">
        <f>IF(I52&lt;&gt;"",MAX(A$1:A51)+1,"")</f>
        <v>45</v>
      </c>
      <c r="B52" s="97" t="s">
        <v>2184</v>
      </c>
      <c r="C52" s="103" t="s">
        <v>57</v>
      </c>
      <c r="D52" s="103">
        <f t="shared" si="0"/>
        <v>4</v>
      </c>
      <c r="E52" s="89" t="s">
        <v>2667</v>
      </c>
      <c r="G52" s="103">
        <f>ROUND((32768/BASE_FLUX) * MTPVFlux_15,0)</f>
        <v>3473</v>
      </c>
      <c r="H52" s="94" t="str">
        <f>IF(G52&lt;&gt;"",IF(C52="float32",FLOAT2HEX(G52),DEC2HEX(G52,8)),"")</f>
        <v>00000D91</v>
      </c>
      <c r="I52" s="94">
        <f t="shared" si="1"/>
        <v>3473</v>
      </c>
    </row>
    <row r="53" spans="1:9">
      <c r="A53" s="96">
        <f>IF(I53&lt;&gt;"",MAX(A$1:A52)+1,"")</f>
        <v>46</v>
      </c>
      <c r="B53" s="74" t="s">
        <v>2185</v>
      </c>
      <c r="C53" s="103" t="s">
        <v>57</v>
      </c>
      <c r="D53" s="103">
        <f t="shared" si="0"/>
        <v>4</v>
      </c>
      <c r="E53" s="89" t="s">
        <v>2668</v>
      </c>
      <c r="G53" s="103">
        <f>ROUND((32768/BASE_TORQ) * MTPVTorque_15,0)</f>
        <v>1478</v>
      </c>
      <c r="H53" s="94" t="str">
        <f>IF(G53&lt;&gt;"",IF(C53="float32",FLOAT2HEX(G53),DEC2HEX(G53,8)),"")</f>
        <v>000005C6</v>
      </c>
      <c r="I53" s="94">
        <f t="shared" si="1"/>
        <v>1478</v>
      </c>
    </row>
    <row r="54" spans="1:9">
      <c r="A54" s="96">
        <f>IF(I54&lt;&gt;"",MAX(A$1:A53)+1,"")</f>
        <v>47</v>
      </c>
      <c r="B54" s="97" t="s">
        <v>2186</v>
      </c>
      <c r="C54" s="103" t="s">
        <v>57</v>
      </c>
      <c r="D54" s="103">
        <f t="shared" si="0"/>
        <v>4</v>
      </c>
      <c r="E54" s="89" t="s">
        <v>2669</v>
      </c>
      <c r="G54" s="103">
        <f>ROUND((32768/BASE_ANGLE) * MTPVAngle_15,0)</f>
        <v>17446</v>
      </c>
      <c r="H54" s="94" t="str">
        <f>IF(G54&lt;&gt;"",IF(C54="float32",FLOAT2HEX(G54),DEC2HEX(G54,8)),"")</f>
        <v>00004426</v>
      </c>
      <c r="I54" s="94">
        <f t="shared" si="1"/>
        <v>17446</v>
      </c>
    </row>
    <row r="55" spans="1:9">
      <c r="A55" s="96">
        <f>IF(I55&lt;&gt;"",MAX(A$1:A54)+1,"")</f>
        <v>48</v>
      </c>
      <c r="B55" s="97" t="s">
        <v>2187</v>
      </c>
      <c r="C55" s="103" t="s">
        <v>57</v>
      </c>
      <c r="D55" s="103">
        <f t="shared" si="0"/>
        <v>4</v>
      </c>
      <c r="E55" s="89" t="s">
        <v>2670</v>
      </c>
      <c r="G55" s="103">
        <f>ROUND((32768/BASE_FLUX) * MTPVFlux_16,0)</f>
        <v>3618</v>
      </c>
      <c r="H55" s="94" t="str">
        <f>IF(G55&lt;&gt;"",IF(C55="float32",FLOAT2HEX(G55),DEC2HEX(G55,8)),"")</f>
        <v>00000E22</v>
      </c>
      <c r="I55" s="94">
        <f t="shared" si="1"/>
        <v>3618</v>
      </c>
    </row>
    <row r="56" spans="1:9">
      <c r="A56" s="96">
        <f>IF(I56&lt;&gt;"",MAX(A$1:A55)+1,"")</f>
        <v>49</v>
      </c>
      <c r="B56" s="74" t="s">
        <v>2188</v>
      </c>
      <c r="C56" s="103" t="s">
        <v>57</v>
      </c>
      <c r="D56" s="103">
        <f t="shared" si="0"/>
        <v>4</v>
      </c>
      <c r="E56" s="89" t="s">
        <v>2671</v>
      </c>
      <c r="G56" s="103">
        <f>ROUND((32768/BASE_TORQ) * MTPVTorque_16,0)</f>
        <v>1546</v>
      </c>
      <c r="H56" s="94" t="str">
        <f>IF(G56&lt;&gt;"",IF(C56="float32",FLOAT2HEX(G56),DEC2HEX(G56,8)),"")</f>
        <v>0000060A</v>
      </c>
      <c r="I56" s="94">
        <f t="shared" si="1"/>
        <v>1546</v>
      </c>
    </row>
    <row r="57" spans="1:9">
      <c r="A57" s="96">
        <f>IF(I57&lt;&gt;"",MAX(A$1:A56)+1,"")</f>
        <v>50</v>
      </c>
      <c r="B57" s="97" t="s">
        <v>2189</v>
      </c>
      <c r="C57" s="103" t="s">
        <v>57</v>
      </c>
      <c r="D57" s="103">
        <f t="shared" si="0"/>
        <v>4</v>
      </c>
      <c r="E57" s="89" t="s">
        <v>2672</v>
      </c>
      <c r="G57" s="103">
        <f>ROUND((32768/BASE_ANGLE) * MTPVAngle_16,0)</f>
        <v>17446</v>
      </c>
      <c r="H57" s="94" t="str">
        <f>IF(G57&lt;&gt;"",IF(C57="float32",FLOAT2HEX(G57),DEC2HEX(G57,8)),"")</f>
        <v>00004426</v>
      </c>
      <c r="I57" s="94">
        <f t="shared" si="1"/>
        <v>17446</v>
      </c>
    </row>
    <row r="58" spans="1:9">
      <c r="A58" s="96">
        <f>IF(I58&lt;&gt;"",MAX(A$1:A57)+1,"")</f>
        <v>51</v>
      </c>
      <c r="B58" s="97" t="s">
        <v>2190</v>
      </c>
      <c r="C58" s="103" t="s">
        <v>57</v>
      </c>
      <c r="D58" s="103">
        <f t="shared" si="0"/>
        <v>4</v>
      </c>
      <c r="E58" s="89" t="s">
        <v>2673</v>
      </c>
      <c r="G58" s="103">
        <f>ROUND((32768/BASE_FLUX) * MTPVFlux_17,0)</f>
        <v>3775</v>
      </c>
      <c r="H58" s="94" t="str">
        <f>IF(G58&lt;&gt;"",IF(C58="float32",FLOAT2HEX(G58),DEC2HEX(G58,8)),"")</f>
        <v>00000EBF</v>
      </c>
      <c r="I58" s="94">
        <f t="shared" si="1"/>
        <v>3775</v>
      </c>
    </row>
    <row r="59" spans="1:9">
      <c r="A59" s="96">
        <f>IF(I59&lt;&gt;"",MAX(A$1:A58)+1,"")</f>
        <v>52</v>
      </c>
      <c r="B59" s="74" t="s">
        <v>2191</v>
      </c>
      <c r="C59" s="103" t="s">
        <v>57</v>
      </c>
      <c r="D59" s="103">
        <f t="shared" si="0"/>
        <v>4</v>
      </c>
      <c r="E59" s="89" t="s">
        <v>2674</v>
      </c>
      <c r="G59" s="103">
        <f>ROUND((32768/BASE_TORQ) * MTPVTorque_17,0)</f>
        <v>1614</v>
      </c>
      <c r="H59" s="94" t="str">
        <f>IF(G59&lt;&gt;"",IF(C59="float32",FLOAT2HEX(G59),DEC2HEX(G59,8)),"")</f>
        <v>0000064E</v>
      </c>
      <c r="I59" s="94">
        <f t="shared" si="1"/>
        <v>1614</v>
      </c>
    </row>
    <row r="60" spans="1:9">
      <c r="A60" s="96">
        <f>IF(I60&lt;&gt;"",MAX(A$1:A59)+1,"")</f>
        <v>53</v>
      </c>
      <c r="B60" s="97" t="s">
        <v>2192</v>
      </c>
      <c r="C60" s="103" t="s">
        <v>57</v>
      </c>
      <c r="D60" s="103">
        <f t="shared" si="0"/>
        <v>4</v>
      </c>
      <c r="E60" s="89" t="s">
        <v>2675</v>
      </c>
      <c r="G60" s="103">
        <f>ROUND((32768/BASE_ANGLE) * MTPVAngle_17,0)</f>
        <v>17446</v>
      </c>
      <c r="H60" s="94" t="str">
        <f>IF(G60&lt;&gt;"",IF(C60="float32",FLOAT2HEX(G60),DEC2HEX(G60,8)),"")</f>
        <v>00004426</v>
      </c>
      <c r="I60" s="94">
        <f t="shared" si="1"/>
        <v>17446</v>
      </c>
    </row>
    <row r="61" spans="1:9">
      <c r="A61" s="96">
        <f>IF(I61&lt;&gt;"",MAX(A$1:A60)+1,"")</f>
        <v>54</v>
      </c>
      <c r="B61" s="97" t="s">
        <v>2193</v>
      </c>
      <c r="C61" s="103" t="s">
        <v>57</v>
      </c>
      <c r="D61" s="103">
        <f t="shared" si="0"/>
        <v>4</v>
      </c>
      <c r="E61" s="89" t="s">
        <v>2676</v>
      </c>
      <c r="G61" s="103">
        <f>ROUND((32768/BASE_FLUX) * MTPVFlux_18,0)</f>
        <v>3921</v>
      </c>
      <c r="H61" s="94" t="str">
        <f>IF(G61&lt;&gt;"",IF(C61="float32",FLOAT2HEX(G61),DEC2HEX(G61,8)),"")</f>
        <v>00000F51</v>
      </c>
      <c r="I61" s="94">
        <f t="shared" si="1"/>
        <v>3921</v>
      </c>
    </row>
    <row r="62" spans="1:9">
      <c r="A62" s="96">
        <f>IF(I62&lt;&gt;"",MAX(A$1:A61)+1,"")</f>
        <v>55</v>
      </c>
      <c r="B62" s="74" t="s">
        <v>2194</v>
      </c>
      <c r="C62" s="103" t="s">
        <v>57</v>
      </c>
      <c r="D62" s="103">
        <f t="shared" si="0"/>
        <v>4</v>
      </c>
      <c r="E62" s="89" t="s">
        <v>2677</v>
      </c>
      <c r="G62" s="103">
        <f>ROUND((32768/BASE_TORQ) * MTPVTorque_18,0)</f>
        <v>1681</v>
      </c>
      <c r="H62" s="94" t="str">
        <f>IF(G62&lt;&gt;"",IF(C62="float32",FLOAT2HEX(G62),DEC2HEX(G62,8)),"")</f>
        <v>00000691</v>
      </c>
      <c r="I62" s="94">
        <f t="shared" si="1"/>
        <v>1681</v>
      </c>
    </row>
    <row r="63" spans="1:9">
      <c r="A63" s="96">
        <f>IF(I63&lt;&gt;"",MAX(A$1:A62)+1,"")</f>
        <v>56</v>
      </c>
      <c r="B63" s="97" t="s">
        <v>2195</v>
      </c>
      <c r="C63" s="103" t="s">
        <v>57</v>
      </c>
      <c r="D63" s="103">
        <f t="shared" si="0"/>
        <v>4</v>
      </c>
      <c r="E63" s="89" t="s">
        <v>2678</v>
      </c>
      <c r="G63" s="103">
        <f>ROUND((32768/BASE_ANGLE) * MTPVAngle_18,0)</f>
        <v>17446</v>
      </c>
      <c r="H63" s="94" t="str">
        <f>IF(G63&lt;&gt;"",IF(C63="float32",FLOAT2HEX(G63),DEC2HEX(G63,8)),"")</f>
        <v>00004426</v>
      </c>
      <c r="I63" s="94">
        <f t="shared" si="1"/>
        <v>17446</v>
      </c>
    </row>
    <row r="64" spans="1:9">
      <c r="A64" s="96">
        <f>IF(I64&lt;&gt;"",MAX(A$1:A63)+1,"")</f>
        <v>57</v>
      </c>
      <c r="B64" s="97" t="s">
        <v>2196</v>
      </c>
      <c r="C64" s="103" t="s">
        <v>57</v>
      </c>
      <c r="D64" s="103">
        <f t="shared" si="0"/>
        <v>4</v>
      </c>
      <c r="E64" s="89" t="s">
        <v>2679</v>
      </c>
      <c r="G64" s="103">
        <f>ROUND((32768/BASE_FLUX) * MTPVFlux_19,0)</f>
        <v>4078</v>
      </c>
      <c r="H64" s="94" t="str">
        <f>IF(G64&lt;&gt;"",IF(C64="float32",FLOAT2HEX(G64),DEC2HEX(G64,8)),"")</f>
        <v>00000FEE</v>
      </c>
      <c r="I64" s="94">
        <f t="shared" si="1"/>
        <v>4078</v>
      </c>
    </row>
    <row r="65" spans="1:9">
      <c r="A65" s="96">
        <f>IF(I65&lt;&gt;"",MAX(A$1:A64)+1,"")</f>
        <v>58</v>
      </c>
      <c r="B65" s="74" t="s">
        <v>2197</v>
      </c>
      <c r="C65" s="103" t="s">
        <v>57</v>
      </c>
      <c r="D65" s="103">
        <f t="shared" si="0"/>
        <v>4</v>
      </c>
      <c r="E65" s="89" t="s">
        <v>2680</v>
      </c>
      <c r="G65" s="103">
        <f>ROUND((32768/BASE_TORQ) * MTPVTorque_19,0)</f>
        <v>1748</v>
      </c>
      <c r="H65" s="94" t="str">
        <f>IF(G65&lt;&gt;"",IF(C65="float32",FLOAT2HEX(G65),DEC2HEX(G65,8)),"")</f>
        <v>000006D4</v>
      </c>
      <c r="I65" s="94">
        <f t="shared" si="1"/>
        <v>1748</v>
      </c>
    </row>
    <row r="66" spans="1:9">
      <c r="A66" s="96">
        <f>IF(I66&lt;&gt;"",MAX(A$1:A65)+1,"")</f>
        <v>59</v>
      </c>
      <c r="B66" s="97" t="s">
        <v>2198</v>
      </c>
      <c r="C66" s="103" t="s">
        <v>57</v>
      </c>
      <c r="D66" s="103">
        <f t="shared" si="0"/>
        <v>4</v>
      </c>
      <c r="E66" s="89" t="s">
        <v>2681</v>
      </c>
      <c r="G66" s="103">
        <f>ROUND((32768/BASE_ANGLE) * MTPVAngle_19,0)</f>
        <v>17446</v>
      </c>
      <c r="H66" s="94" t="str">
        <f>IF(G66&lt;&gt;"",IF(C66="float32",FLOAT2HEX(G66),DEC2HEX(G66,8)),"")</f>
        <v>00004426</v>
      </c>
      <c r="I66" s="94">
        <f t="shared" si="1"/>
        <v>17446</v>
      </c>
    </row>
    <row r="67" spans="1:9">
      <c r="A67" s="96">
        <f>IF(I67&lt;&gt;"",MAX(A$1:A66)+1,"")</f>
        <v>60</v>
      </c>
      <c r="B67" s="97" t="s">
        <v>2199</v>
      </c>
      <c r="C67" s="103" t="s">
        <v>57</v>
      </c>
      <c r="D67" s="103">
        <f t="shared" si="0"/>
        <v>4</v>
      </c>
      <c r="E67" s="89" t="s">
        <v>2682</v>
      </c>
      <c r="G67" s="103">
        <f>ROUND((32768/BASE_FLUX) * MTPVFlux_20,0)</f>
        <v>4223</v>
      </c>
      <c r="H67" s="94" t="str">
        <f>IF(G67&lt;&gt;"",IF(C67="float32",FLOAT2HEX(G67),DEC2HEX(G67,8)),"")</f>
        <v>0000107F</v>
      </c>
      <c r="I67" s="94">
        <f t="shared" si="1"/>
        <v>4223</v>
      </c>
    </row>
    <row r="68" spans="1:9">
      <c r="A68" s="96">
        <f>IF(I68&lt;&gt;"",MAX(A$1:A67)+1,"")</f>
        <v>61</v>
      </c>
      <c r="B68" s="74" t="s">
        <v>2200</v>
      </c>
      <c r="C68" s="103" t="s">
        <v>57</v>
      </c>
      <c r="D68" s="103">
        <f t="shared" si="0"/>
        <v>4</v>
      </c>
      <c r="E68" s="89" t="s">
        <v>2683</v>
      </c>
      <c r="G68" s="103">
        <f>ROUND((32768/BASE_TORQ) * MTPVTorque_20,0)</f>
        <v>1814</v>
      </c>
      <c r="H68" s="94" t="str">
        <f>IF(G68&lt;&gt;"",IF(C68="float32",FLOAT2HEX(G68),DEC2HEX(G68,8)),"")</f>
        <v>00000716</v>
      </c>
      <c r="I68" s="94">
        <f t="shared" si="1"/>
        <v>1814</v>
      </c>
    </row>
    <row r="69" spans="1:9">
      <c r="A69" s="96">
        <f>IF(I69&lt;&gt;"",MAX(A$1:A68)+1,"")</f>
        <v>62</v>
      </c>
      <c r="B69" s="97" t="s">
        <v>2201</v>
      </c>
      <c r="C69" s="103" t="s">
        <v>57</v>
      </c>
      <c r="D69" s="103">
        <f t="shared" si="0"/>
        <v>4</v>
      </c>
      <c r="E69" s="89" t="s">
        <v>2684</v>
      </c>
      <c r="G69" s="103">
        <f>ROUND((32768/BASE_ANGLE) * MTPVAngle_20,0)</f>
        <v>17446</v>
      </c>
      <c r="H69" s="94" t="str">
        <f>IF(G69&lt;&gt;"",IF(C69="float32",FLOAT2HEX(G69),DEC2HEX(G69,8)),"")</f>
        <v>00004426</v>
      </c>
      <c r="I69" s="94">
        <f t="shared" si="1"/>
        <v>17446</v>
      </c>
    </row>
    <row r="70" spans="1:9">
      <c r="A70" s="96">
        <f>IF(I70&lt;&gt;"",MAX(A$1:A69)+1,"")</f>
        <v>63</v>
      </c>
      <c r="B70" s="97" t="s">
        <v>2202</v>
      </c>
      <c r="C70" s="103" t="s">
        <v>57</v>
      </c>
      <c r="D70" s="103">
        <f t="shared" si="0"/>
        <v>4</v>
      </c>
      <c r="E70" s="89" t="s">
        <v>2685</v>
      </c>
      <c r="G70" s="103">
        <f>ROUND((32768/BASE_FLUX) * MTPVFlux_21,0)</f>
        <v>4368</v>
      </c>
      <c r="H70" s="94" t="str">
        <f>IF(G70&lt;&gt;"",IF(C70="float32",FLOAT2HEX(G70),DEC2HEX(G70,8)),"")</f>
        <v>00001110</v>
      </c>
      <c r="I70" s="94">
        <f t="shared" si="1"/>
        <v>4368</v>
      </c>
    </row>
    <row r="71" spans="1:9">
      <c r="A71" s="96">
        <f>IF(I71&lt;&gt;"",MAX(A$1:A70)+1,"")</f>
        <v>64</v>
      </c>
      <c r="B71" s="74" t="s">
        <v>2203</v>
      </c>
      <c r="C71" s="103" t="s">
        <v>57</v>
      </c>
      <c r="D71" s="103">
        <f t="shared" ref="D71:D134" si="2">IF(OR(C71="sint64",C71="uint64",C71="double64"), 8, IF(OR(C71="sint32",C71="uint32",C71="float32"),4,IF(OR(C71="sint16",C71="uint16"),2,  IF(OR(C71="sint8",C71="uint8"),1,""))))</f>
        <v>4</v>
      </c>
      <c r="E71" s="89" t="s">
        <v>2686</v>
      </c>
      <c r="G71" s="103">
        <f>ROUND((32768/BASE_TORQ) * MTPVTorque_21,0)</f>
        <v>1879</v>
      </c>
      <c r="H71" s="94" t="str">
        <f>IF(G71&lt;&gt;"",IF(C71="float32",FLOAT2HEX(G71),DEC2HEX(G71,8)),"")</f>
        <v>00000757</v>
      </c>
      <c r="I71" s="94">
        <f t="shared" si="1"/>
        <v>1879</v>
      </c>
    </row>
    <row r="72" spans="1:9">
      <c r="A72" s="96">
        <f>IF(I72&lt;&gt;"",MAX(A$1:A71)+1,"")</f>
        <v>65</v>
      </c>
      <c r="B72" s="97" t="s">
        <v>2204</v>
      </c>
      <c r="C72" s="103" t="s">
        <v>57</v>
      </c>
      <c r="D72" s="103">
        <f t="shared" si="2"/>
        <v>4</v>
      </c>
      <c r="E72" s="89" t="s">
        <v>2687</v>
      </c>
      <c r="G72" s="103">
        <f>ROUND((32768/BASE_ANGLE) * MTPVAngle_21,0)</f>
        <v>17446</v>
      </c>
      <c r="H72" s="94" t="str">
        <f>IF(G72&lt;&gt;"",IF(C72="float32",FLOAT2HEX(G72),DEC2HEX(G72,8)),"")</f>
        <v>00004426</v>
      </c>
      <c r="I72" s="94">
        <f t="shared" si="1"/>
        <v>17446</v>
      </c>
    </row>
    <row r="73" spans="1:9">
      <c r="A73" s="96">
        <f>IF(I73&lt;&gt;"",MAX(A$1:A72)+1,"")</f>
        <v>66</v>
      </c>
      <c r="B73" s="97" t="s">
        <v>2205</v>
      </c>
      <c r="C73" s="103" t="s">
        <v>57</v>
      </c>
      <c r="D73" s="103">
        <f t="shared" si="2"/>
        <v>4</v>
      </c>
      <c r="E73" s="89" t="s">
        <v>2688</v>
      </c>
      <c r="G73" s="103">
        <f>ROUND((32768/BASE_FLUX) * MTPVFlux_22,0)</f>
        <v>4526</v>
      </c>
      <c r="H73" s="94" t="str">
        <f>IF(G73&lt;&gt;"",IF(C73="float32",FLOAT2HEX(G73),DEC2HEX(G73,8)),"")</f>
        <v>000011AE</v>
      </c>
      <c r="I73" s="94">
        <f t="shared" si="1"/>
        <v>4526</v>
      </c>
    </row>
    <row r="74" spans="1:9">
      <c r="A74" s="96">
        <f>IF(I74&lt;&gt;"",MAX(A$1:A73)+1,"")</f>
        <v>67</v>
      </c>
      <c r="B74" s="74" t="s">
        <v>2206</v>
      </c>
      <c r="C74" s="103" t="s">
        <v>57</v>
      </c>
      <c r="D74" s="103">
        <f t="shared" si="2"/>
        <v>4</v>
      </c>
      <c r="E74" s="89" t="s">
        <v>2689</v>
      </c>
      <c r="G74" s="103">
        <f>ROUND((32768/BASE_TORQ) * MTPVTorque_22,0)</f>
        <v>1944</v>
      </c>
      <c r="H74" s="94" t="str">
        <f>IF(G74&lt;&gt;"",IF(C74="float32",FLOAT2HEX(G74),DEC2HEX(G74,8)),"")</f>
        <v>00000798</v>
      </c>
      <c r="I74" s="94">
        <f t="shared" si="1"/>
        <v>1944</v>
      </c>
    </row>
    <row r="75" spans="1:9">
      <c r="A75" s="96">
        <f>IF(I75&lt;&gt;"",MAX(A$1:A74)+1,"")</f>
        <v>68</v>
      </c>
      <c r="B75" s="97" t="s">
        <v>2207</v>
      </c>
      <c r="C75" s="103" t="s">
        <v>57</v>
      </c>
      <c r="D75" s="103">
        <f t="shared" si="2"/>
        <v>4</v>
      </c>
      <c r="E75" s="89" t="s">
        <v>2690</v>
      </c>
      <c r="G75" s="103">
        <f>ROUND((32768/BASE_ANGLE) * MTPVAngle_22,0)</f>
        <v>17446</v>
      </c>
      <c r="H75" s="94" t="str">
        <f>IF(G75&lt;&gt;"",IF(C75="float32",FLOAT2HEX(G75),DEC2HEX(G75,8)),"")</f>
        <v>00004426</v>
      </c>
      <c r="I75" s="94">
        <f t="shared" ref="I75:I138" si="3">IF(G75&lt;&gt;"",HEX2DEC(H75),"")</f>
        <v>17446</v>
      </c>
    </row>
    <row r="76" spans="1:9">
      <c r="A76" s="96">
        <f>IF(I76&lt;&gt;"",MAX(A$1:A75)+1,"")</f>
        <v>69</v>
      </c>
      <c r="B76" s="97" t="s">
        <v>2208</v>
      </c>
      <c r="C76" s="103" t="s">
        <v>57</v>
      </c>
      <c r="D76" s="103">
        <f t="shared" si="2"/>
        <v>4</v>
      </c>
      <c r="E76" s="89" t="s">
        <v>2691</v>
      </c>
      <c r="G76" s="103">
        <f>ROUND((32768/BASE_FLUX) * MTPVFlux_23,0)</f>
        <v>4671</v>
      </c>
      <c r="H76" s="94" t="str">
        <f>IF(G76&lt;&gt;"",IF(C76="float32",FLOAT2HEX(G76),DEC2HEX(G76,8)),"")</f>
        <v>0000123F</v>
      </c>
      <c r="I76" s="94">
        <f t="shared" si="3"/>
        <v>4671</v>
      </c>
    </row>
    <row r="77" spans="1:9">
      <c r="A77" s="96">
        <f>IF(I77&lt;&gt;"",MAX(A$1:A76)+1,"")</f>
        <v>70</v>
      </c>
      <c r="B77" s="74" t="s">
        <v>2209</v>
      </c>
      <c r="C77" s="103" t="s">
        <v>57</v>
      </c>
      <c r="D77" s="103">
        <f t="shared" si="2"/>
        <v>4</v>
      </c>
      <c r="E77" s="89" t="s">
        <v>2692</v>
      </c>
      <c r="G77" s="103">
        <f>ROUND((32768/BASE_TORQ) * MTPVTorque_23,0)</f>
        <v>2008</v>
      </c>
      <c r="H77" s="94" t="str">
        <f>IF(G77&lt;&gt;"",IF(C77="float32",FLOAT2HEX(G77),DEC2HEX(G77,8)),"")</f>
        <v>000007D8</v>
      </c>
      <c r="I77" s="94">
        <f t="shared" si="3"/>
        <v>2008</v>
      </c>
    </row>
    <row r="78" spans="1:9">
      <c r="A78" s="96">
        <f>IF(I78&lt;&gt;"",MAX(A$1:A77)+1,"")</f>
        <v>71</v>
      </c>
      <c r="B78" s="97" t="s">
        <v>2210</v>
      </c>
      <c r="C78" s="103" t="s">
        <v>57</v>
      </c>
      <c r="D78" s="103">
        <f t="shared" si="2"/>
        <v>4</v>
      </c>
      <c r="E78" s="89" t="s">
        <v>2693</v>
      </c>
      <c r="G78" s="103">
        <f>ROUND((32768/BASE_ANGLE) * MTPVAngle_23,0)</f>
        <v>17446</v>
      </c>
      <c r="H78" s="94" t="str">
        <f>IF(G78&lt;&gt;"",IF(C78="float32",FLOAT2HEX(G78),DEC2HEX(G78,8)),"")</f>
        <v>00004426</v>
      </c>
      <c r="I78" s="94">
        <f t="shared" si="3"/>
        <v>17446</v>
      </c>
    </row>
    <row r="79" spans="1:9">
      <c r="A79" s="96">
        <f>IF(I79&lt;&gt;"",MAX(A$1:A78)+1,"")</f>
        <v>72</v>
      </c>
      <c r="B79" s="97" t="s">
        <v>2211</v>
      </c>
      <c r="C79" s="103" t="s">
        <v>57</v>
      </c>
      <c r="D79" s="103">
        <f t="shared" si="2"/>
        <v>4</v>
      </c>
      <c r="E79" s="89" t="s">
        <v>2694</v>
      </c>
      <c r="G79" s="103">
        <f>ROUND((32768/BASE_FLUX) * MTPVFlux_24,0)</f>
        <v>4828</v>
      </c>
      <c r="H79" s="94" t="str">
        <f>IF(G79&lt;&gt;"",IF(C79="float32",FLOAT2HEX(G79),DEC2HEX(G79,8)),"")</f>
        <v>000012DC</v>
      </c>
      <c r="I79" s="94">
        <f t="shared" si="3"/>
        <v>4828</v>
      </c>
    </row>
    <row r="80" spans="1:9">
      <c r="A80" s="96">
        <f>IF(I80&lt;&gt;"",MAX(A$1:A79)+1,"")</f>
        <v>73</v>
      </c>
      <c r="B80" s="74" t="s">
        <v>2212</v>
      </c>
      <c r="C80" s="103" t="s">
        <v>57</v>
      </c>
      <c r="D80" s="103">
        <f t="shared" si="2"/>
        <v>4</v>
      </c>
      <c r="E80" s="89" t="s">
        <v>2695</v>
      </c>
      <c r="G80" s="103">
        <f>ROUND((32768/BASE_TORQ) * MTPVTorque_24,0)</f>
        <v>2072</v>
      </c>
      <c r="H80" s="94" t="str">
        <f>IF(G80&lt;&gt;"",IF(C80="float32",FLOAT2HEX(G80),DEC2HEX(G80,8)),"")</f>
        <v>00000818</v>
      </c>
      <c r="I80" s="94">
        <f t="shared" si="3"/>
        <v>2072</v>
      </c>
    </row>
    <row r="81" spans="1:9">
      <c r="A81" s="96">
        <f>IF(I81&lt;&gt;"",MAX(A$1:A80)+1,"")</f>
        <v>74</v>
      </c>
      <c r="B81" s="97" t="s">
        <v>2213</v>
      </c>
      <c r="C81" s="103" t="s">
        <v>57</v>
      </c>
      <c r="D81" s="103">
        <f t="shared" si="2"/>
        <v>4</v>
      </c>
      <c r="E81" s="89" t="s">
        <v>2696</v>
      </c>
      <c r="G81" s="103">
        <f>ROUND((32768/BASE_ANGLE) * MTPVAngle_24,0)</f>
        <v>17446</v>
      </c>
      <c r="H81" s="94" t="str">
        <f>IF(G81&lt;&gt;"",IF(C81="float32",FLOAT2HEX(G81),DEC2HEX(G81,8)),"")</f>
        <v>00004426</v>
      </c>
      <c r="I81" s="94">
        <f t="shared" si="3"/>
        <v>17446</v>
      </c>
    </row>
    <row r="82" spans="1:9">
      <c r="A82" s="96">
        <f>IF(I82&lt;&gt;"",MAX(A$1:A81)+1,"")</f>
        <v>75</v>
      </c>
      <c r="B82" s="97" t="s">
        <v>2214</v>
      </c>
      <c r="C82" s="103" t="s">
        <v>57</v>
      </c>
      <c r="D82" s="103">
        <f t="shared" si="2"/>
        <v>4</v>
      </c>
      <c r="E82" s="89" t="s">
        <v>2697</v>
      </c>
      <c r="G82" s="103">
        <f>ROUND((32768/BASE_FLUX) * MTPVFlux_25,0)</f>
        <v>4973</v>
      </c>
      <c r="H82" s="94" t="str">
        <f>IF(G82&lt;&gt;"",IF(C82="float32",FLOAT2HEX(G82),DEC2HEX(G82,8)),"")</f>
        <v>0000136D</v>
      </c>
      <c r="I82" s="94">
        <f t="shared" si="3"/>
        <v>4973</v>
      </c>
    </row>
    <row r="83" spans="1:9">
      <c r="A83" s="96">
        <f>IF(I83&lt;&gt;"",MAX(A$1:A82)+1,"")</f>
        <v>76</v>
      </c>
      <c r="B83" s="74" t="s">
        <v>2215</v>
      </c>
      <c r="C83" s="103" t="s">
        <v>57</v>
      </c>
      <c r="D83" s="103">
        <f t="shared" si="2"/>
        <v>4</v>
      </c>
      <c r="E83" s="89" t="s">
        <v>2698</v>
      </c>
      <c r="G83" s="103">
        <f>ROUND((32768/BASE_TORQ) * MTPVTorque_25,0)</f>
        <v>2135</v>
      </c>
      <c r="H83" s="94" t="str">
        <f>IF(G83&lt;&gt;"",IF(C83="float32",FLOAT2HEX(G83),DEC2HEX(G83,8)),"")</f>
        <v>00000857</v>
      </c>
      <c r="I83" s="94">
        <f t="shared" si="3"/>
        <v>2135</v>
      </c>
    </row>
    <row r="84" spans="1:9">
      <c r="A84" s="96">
        <f>IF(I84&lt;&gt;"",MAX(A$1:A83)+1,"")</f>
        <v>77</v>
      </c>
      <c r="B84" s="97" t="s">
        <v>2216</v>
      </c>
      <c r="C84" s="103" t="s">
        <v>57</v>
      </c>
      <c r="D84" s="103">
        <f t="shared" si="2"/>
        <v>4</v>
      </c>
      <c r="E84" s="89" t="s">
        <v>2699</v>
      </c>
      <c r="G84" s="103">
        <f>ROUND((32768/BASE_ANGLE) * MTPVAngle_25,0)</f>
        <v>17446</v>
      </c>
      <c r="H84" s="94" t="str">
        <f>IF(G84&lt;&gt;"",IF(C84="float32",FLOAT2HEX(G84),DEC2HEX(G84,8)),"")</f>
        <v>00004426</v>
      </c>
      <c r="I84" s="94">
        <f t="shared" si="3"/>
        <v>17446</v>
      </c>
    </row>
    <row r="85" spans="1:9">
      <c r="A85" s="96">
        <f>IF(I85&lt;&gt;"",MAX(A$1:A84)+1,"")</f>
        <v>78</v>
      </c>
      <c r="B85" s="97" t="s">
        <v>2217</v>
      </c>
      <c r="C85" s="103" t="s">
        <v>57</v>
      </c>
      <c r="D85" s="103">
        <f t="shared" si="2"/>
        <v>4</v>
      </c>
      <c r="E85" s="89" t="s">
        <v>2700</v>
      </c>
      <c r="G85" s="103">
        <f>ROUND((32768/BASE_FLUX) * MTPVFlux_26,0)</f>
        <v>5131</v>
      </c>
      <c r="H85" s="94" t="str">
        <f>IF(G85&lt;&gt;"",IF(C85="float32",FLOAT2HEX(G85),DEC2HEX(G85,8)),"")</f>
        <v>0000140B</v>
      </c>
      <c r="I85" s="94">
        <f t="shared" si="3"/>
        <v>5131</v>
      </c>
    </row>
    <row r="86" spans="1:9">
      <c r="A86" s="96">
        <f>IF(I86&lt;&gt;"",MAX(A$1:A85)+1,"")</f>
        <v>79</v>
      </c>
      <c r="B86" s="74" t="s">
        <v>2218</v>
      </c>
      <c r="C86" s="103" t="s">
        <v>57</v>
      </c>
      <c r="D86" s="103">
        <f t="shared" si="2"/>
        <v>4</v>
      </c>
      <c r="E86" s="89" t="s">
        <v>2701</v>
      </c>
      <c r="G86" s="103">
        <f>ROUND((32768/BASE_TORQ) * MTPVTorque_26,0)</f>
        <v>2198</v>
      </c>
      <c r="H86" s="94" t="str">
        <f>IF(G86&lt;&gt;"",IF(C86="float32",FLOAT2HEX(G86),DEC2HEX(G86,8)),"")</f>
        <v>00000896</v>
      </c>
      <c r="I86" s="94">
        <f t="shared" si="3"/>
        <v>2198</v>
      </c>
    </row>
    <row r="87" spans="1:9">
      <c r="A87" s="96">
        <f>IF(I87&lt;&gt;"",MAX(A$1:A86)+1,"")</f>
        <v>80</v>
      </c>
      <c r="B87" s="97" t="s">
        <v>2219</v>
      </c>
      <c r="C87" s="103" t="s">
        <v>57</v>
      </c>
      <c r="D87" s="103">
        <f t="shared" si="2"/>
        <v>4</v>
      </c>
      <c r="E87" s="89" t="s">
        <v>2702</v>
      </c>
      <c r="G87" s="103">
        <f>ROUND((32768/BASE_ANGLE) * MTPVAngle_26,0)</f>
        <v>17446</v>
      </c>
      <c r="H87" s="94" t="str">
        <f>IF(G87&lt;&gt;"",IF(C87="float32",FLOAT2HEX(G87),DEC2HEX(G87,8)),"")</f>
        <v>00004426</v>
      </c>
      <c r="I87" s="94">
        <f t="shared" si="3"/>
        <v>17446</v>
      </c>
    </row>
    <row r="88" spans="1:9">
      <c r="A88" s="96">
        <f>IF(I88&lt;&gt;"",MAX(A$1:A87)+1,"")</f>
        <v>81</v>
      </c>
      <c r="B88" s="97" t="s">
        <v>2220</v>
      </c>
      <c r="C88" s="103" t="s">
        <v>57</v>
      </c>
      <c r="D88" s="103">
        <f t="shared" si="2"/>
        <v>4</v>
      </c>
      <c r="E88" s="89" t="s">
        <v>2703</v>
      </c>
      <c r="G88" s="103">
        <f>ROUND((32768/BASE_FLUX) * MTPVFlux_27,0)</f>
        <v>5276</v>
      </c>
      <c r="H88" s="94" t="str">
        <f>IF(G88&lt;&gt;"",IF(C88="float32",FLOAT2HEX(G88),DEC2HEX(G88,8)),"")</f>
        <v>0000149C</v>
      </c>
      <c r="I88" s="94">
        <f t="shared" si="3"/>
        <v>5276</v>
      </c>
    </row>
    <row r="89" spans="1:9">
      <c r="A89" s="96">
        <f>IF(I89&lt;&gt;"",MAX(A$1:A88)+1,"")</f>
        <v>82</v>
      </c>
      <c r="B89" s="74" t="s">
        <v>2221</v>
      </c>
      <c r="C89" s="103" t="s">
        <v>57</v>
      </c>
      <c r="D89" s="103">
        <f t="shared" si="2"/>
        <v>4</v>
      </c>
      <c r="E89" s="89" t="s">
        <v>2704</v>
      </c>
      <c r="G89" s="103">
        <f>ROUND((32768/BASE_TORQ) * MTPVTorque_27,0)</f>
        <v>2260</v>
      </c>
      <c r="H89" s="94" t="str">
        <f>IF(G89&lt;&gt;"",IF(C89="float32",FLOAT2HEX(G89),DEC2HEX(G89,8)),"")</f>
        <v>000008D4</v>
      </c>
      <c r="I89" s="94">
        <f t="shared" si="3"/>
        <v>2260</v>
      </c>
    </row>
    <row r="90" spans="1:9">
      <c r="A90" s="96">
        <f>IF(I90&lt;&gt;"",MAX(A$1:A89)+1,"")</f>
        <v>83</v>
      </c>
      <c r="B90" s="97" t="s">
        <v>2222</v>
      </c>
      <c r="C90" s="103" t="s">
        <v>57</v>
      </c>
      <c r="D90" s="103">
        <f t="shared" si="2"/>
        <v>4</v>
      </c>
      <c r="E90" s="89" t="s">
        <v>2705</v>
      </c>
      <c r="G90" s="103">
        <f>ROUND((32768/BASE_ANGLE) * MTPVAngle_27,0)</f>
        <v>17446</v>
      </c>
      <c r="H90" s="94" t="str">
        <f>IF(G90&lt;&gt;"",IF(C90="float32",FLOAT2HEX(G90),DEC2HEX(G90,8)),"")</f>
        <v>00004426</v>
      </c>
      <c r="I90" s="94">
        <f t="shared" si="3"/>
        <v>17446</v>
      </c>
    </row>
    <row r="91" spans="1:9">
      <c r="A91" s="96">
        <f>IF(I91&lt;&gt;"",MAX(A$1:A90)+1,"")</f>
        <v>84</v>
      </c>
      <c r="B91" s="97" t="s">
        <v>2223</v>
      </c>
      <c r="C91" s="103" t="s">
        <v>57</v>
      </c>
      <c r="D91" s="103">
        <f t="shared" si="2"/>
        <v>4</v>
      </c>
      <c r="E91" s="89" t="s">
        <v>2706</v>
      </c>
      <c r="G91" s="103">
        <f>ROUND((32768/BASE_FLUX) * MTPVFlux_28,0)</f>
        <v>5433</v>
      </c>
      <c r="H91" s="94" t="str">
        <f>IF(G91&lt;&gt;"",IF(C91="float32",FLOAT2HEX(G91),DEC2HEX(G91,8)),"")</f>
        <v>00001539</v>
      </c>
      <c r="I91" s="94">
        <f t="shared" si="3"/>
        <v>5433</v>
      </c>
    </row>
    <row r="92" spans="1:9">
      <c r="A92" s="96">
        <f>IF(I92&lt;&gt;"",MAX(A$1:A91)+1,"")</f>
        <v>85</v>
      </c>
      <c r="B92" s="74" t="s">
        <v>2224</v>
      </c>
      <c r="C92" s="103" t="s">
        <v>57</v>
      </c>
      <c r="D92" s="103">
        <f t="shared" si="2"/>
        <v>4</v>
      </c>
      <c r="E92" s="89" t="s">
        <v>2707</v>
      </c>
      <c r="G92" s="103">
        <f>ROUND((32768/BASE_TORQ) * MTPVTorque_28,0)</f>
        <v>2322</v>
      </c>
      <c r="H92" s="94" t="str">
        <f>IF(G92&lt;&gt;"",IF(C92="float32",FLOAT2HEX(G92),DEC2HEX(G92,8)),"")</f>
        <v>00000912</v>
      </c>
      <c r="I92" s="94">
        <f t="shared" si="3"/>
        <v>2322</v>
      </c>
    </row>
    <row r="93" spans="1:9">
      <c r="A93" s="96">
        <f>IF(I93&lt;&gt;"",MAX(A$1:A92)+1,"")</f>
        <v>86</v>
      </c>
      <c r="B93" s="97" t="s">
        <v>2225</v>
      </c>
      <c r="C93" s="103" t="s">
        <v>57</v>
      </c>
      <c r="D93" s="103">
        <f t="shared" si="2"/>
        <v>4</v>
      </c>
      <c r="E93" s="89" t="s">
        <v>2708</v>
      </c>
      <c r="G93" s="103">
        <f>ROUND((32768/BASE_ANGLE) * MTPVAngle_28,0)</f>
        <v>17446</v>
      </c>
      <c r="H93" s="94" t="str">
        <f>IF(G93&lt;&gt;"",IF(C93="float32",FLOAT2HEX(G93),DEC2HEX(G93,8)),"")</f>
        <v>00004426</v>
      </c>
      <c r="I93" s="94">
        <f t="shared" si="3"/>
        <v>17446</v>
      </c>
    </row>
    <row r="94" spans="1:9">
      <c r="A94" s="96">
        <f>IF(I94&lt;&gt;"",MAX(A$1:A93)+1,"")</f>
        <v>87</v>
      </c>
      <c r="B94" s="97" t="s">
        <v>2226</v>
      </c>
      <c r="C94" s="103" t="s">
        <v>57</v>
      </c>
      <c r="D94" s="103">
        <f t="shared" si="2"/>
        <v>4</v>
      </c>
      <c r="E94" s="89" t="s">
        <v>2709</v>
      </c>
      <c r="G94" s="103">
        <f>ROUND((32768/BASE_FLUX) * MTPVFlux_29,0)</f>
        <v>5578</v>
      </c>
      <c r="H94" s="94" t="str">
        <f>IF(G94&lt;&gt;"",IF(C94="float32",FLOAT2HEX(G94),DEC2HEX(G94,8)),"")</f>
        <v>000015CA</v>
      </c>
      <c r="I94" s="94">
        <f t="shared" si="3"/>
        <v>5578</v>
      </c>
    </row>
    <row r="95" spans="1:9">
      <c r="A95" s="96">
        <f>IF(I95&lt;&gt;"",MAX(A$1:A94)+1,"")</f>
        <v>88</v>
      </c>
      <c r="B95" s="74" t="s">
        <v>2227</v>
      </c>
      <c r="C95" s="103" t="s">
        <v>57</v>
      </c>
      <c r="D95" s="103">
        <f t="shared" si="2"/>
        <v>4</v>
      </c>
      <c r="E95" s="89" t="s">
        <v>2710</v>
      </c>
      <c r="G95" s="103">
        <f>ROUND((32768/BASE_TORQ) * MTPVTorque_29,0)</f>
        <v>2383</v>
      </c>
      <c r="H95" s="94" t="str">
        <f>IF(G95&lt;&gt;"",IF(C95="float32",FLOAT2HEX(G95),DEC2HEX(G95,8)),"")</f>
        <v>0000094F</v>
      </c>
      <c r="I95" s="94">
        <f t="shared" si="3"/>
        <v>2383</v>
      </c>
    </row>
    <row r="96" spans="1:9">
      <c r="A96" s="96">
        <f>IF(I96&lt;&gt;"",MAX(A$1:A95)+1,"")</f>
        <v>89</v>
      </c>
      <c r="B96" s="97" t="s">
        <v>2228</v>
      </c>
      <c r="C96" s="103" t="s">
        <v>57</v>
      </c>
      <c r="D96" s="103">
        <f t="shared" si="2"/>
        <v>4</v>
      </c>
      <c r="E96" s="89" t="s">
        <v>2711</v>
      </c>
      <c r="G96" s="103">
        <f>ROUND((32768/BASE_ANGLE) * MTPVAngle_29,0)</f>
        <v>17446</v>
      </c>
      <c r="H96" s="94" t="str">
        <f>IF(G96&lt;&gt;"",IF(C96="float32",FLOAT2HEX(G96),DEC2HEX(G96,8)),"")</f>
        <v>00004426</v>
      </c>
      <c r="I96" s="94">
        <f t="shared" si="3"/>
        <v>17446</v>
      </c>
    </row>
    <row r="97" spans="1:9">
      <c r="A97" s="96">
        <f>IF(I97&lt;&gt;"",MAX(A$1:A96)+1,"")</f>
        <v>90</v>
      </c>
      <c r="B97" s="97" t="s">
        <v>2229</v>
      </c>
      <c r="C97" s="103" t="s">
        <v>57</v>
      </c>
      <c r="D97" s="103">
        <f t="shared" si="2"/>
        <v>4</v>
      </c>
      <c r="E97" s="89" t="s">
        <v>2712</v>
      </c>
      <c r="G97" s="103">
        <f>ROUND((32768/BASE_FLUX) * MTPVFlux_30,0)</f>
        <v>5736</v>
      </c>
      <c r="H97" s="94" t="str">
        <f>IF(G97&lt;&gt;"",IF(C97="float32",FLOAT2HEX(G97),DEC2HEX(G97,8)),"")</f>
        <v>00001668</v>
      </c>
      <c r="I97" s="94">
        <f t="shared" si="3"/>
        <v>5736</v>
      </c>
    </row>
    <row r="98" spans="1:9">
      <c r="A98" s="96">
        <f>IF(I98&lt;&gt;"",MAX(A$1:A97)+1,"")</f>
        <v>91</v>
      </c>
      <c r="B98" s="74" t="s">
        <v>2230</v>
      </c>
      <c r="C98" s="103" t="s">
        <v>57</v>
      </c>
      <c r="D98" s="103">
        <f t="shared" si="2"/>
        <v>4</v>
      </c>
      <c r="E98" s="89" t="s">
        <v>2713</v>
      </c>
      <c r="G98" s="103">
        <f>ROUND((32768/BASE_TORQ) * MTPVTorque_30,0)</f>
        <v>2443</v>
      </c>
      <c r="H98" s="94" t="str">
        <f>IF(G98&lt;&gt;"",IF(C98="float32",FLOAT2HEX(G98),DEC2HEX(G98,8)),"")</f>
        <v>0000098B</v>
      </c>
      <c r="I98" s="94">
        <f t="shared" si="3"/>
        <v>2443</v>
      </c>
    </row>
    <row r="99" spans="1:9">
      <c r="A99" s="96">
        <f>IF(I99&lt;&gt;"",MAX(A$1:A98)+1,"")</f>
        <v>92</v>
      </c>
      <c r="B99" s="97" t="s">
        <v>2231</v>
      </c>
      <c r="C99" s="103" t="s">
        <v>57</v>
      </c>
      <c r="D99" s="103">
        <f t="shared" si="2"/>
        <v>4</v>
      </c>
      <c r="E99" s="89" t="s">
        <v>2714</v>
      </c>
      <c r="G99" s="103">
        <f>ROUND((32768/BASE_ANGLE) * MTPVAngle_30,0)</f>
        <v>17446</v>
      </c>
      <c r="H99" s="94" t="str">
        <f>IF(G99&lt;&gt;"",IF(C99="float32",FLOAT2HEX(G99),DEC2HEX(G99,8)),"")</f>
        <v>00004426</v>
      </c>
      <c r="I99" s="94">
        <f t="shared" si="3"/>
        <v>17446</v>
      </c>
    </row>
    <row r="100" spans="1:9">
      <c r="A100" s="96">
        <f>IF(I100&lt;&gt;"",MAX(A$1:A99)+1,"")</f>
        <v>93</v>
      </c>
      <c r="B100" s="97" t="s">
        <v>2232</v>
      </c>
      <c r="C100" s="103" t="s">
        <v>57</v>
      </c>
      <c r="D100" s="103">
        <f t="shared" si="2"/>
        <v>4</v>
      </c>
      <c r="E100" s="89" t="s">
        <v>2715</v>
      </c>
      <c r="G100" s="103">
        <f>ROUND((32768/BASE_FLUX) * MTPVFlux_31,0)</f>
        <v>5881</v>
      </c>
      <c r="H100" s="94" t="str">
        <f>IF(G100&lt;&gt;"",IF(C100="float32",FLOAT2HEX(G100),DEC2HEX(G100,8)),"")</f>
        <v>000016F9</v>
      </c>
      <c r="I100" s="94">
        <f t="shared" si="3"/>
        <v>5881</v>
      </c>
    </row>
    <row r="101" spans="1:9">
      <c r="A101" s="96">
        <f>IF(I101&lt;&gt;"",MAX(A$1:A100)+1,"")</f>
        <v>94</v>
      </c>
      <c r="B101" s="74" t="s">
        <v>2233</v>
      </c>
      <c r="C101" s="103" t="s">
        <v>57</v>
      </c>
      <c r="D101" s="103">
        <f t="shared" si="2"/>
        <v>4</v>
      </c>
      <c r="E101" s="89" t="s">
        <v>2716</v>
      </c>
      <c r="G101" s="103">
        <f>ROUND((32768/BASE_TORQ) * MTPVTorque_31,0)</f>
        <v>2503</v>
      </c>
      <c r="H101" s="94" t="str">
        <f>IF(G101&lt;&gt;"",IF(C101="float32",FLOAT2HEX(G101),DEC2HEX(G101,8)),"")</f>
        <v>000009C7</v>
      </c>
      <c r="I101" s="94">
        <f t="shared" si="3"/>
        <v>2503</v>
      </c>
    </row>
    <row r="102" spans="1:9">
      <c r="A102" s="96">
        <f>IF(I102&lt;&gt;"",MAX(A$1:A101)+1,"")</f>
        <v>95</v>
      </c>
      <c r="B102" s="97" t="s">
        <v>2234</v>
      </c>
      <c r="C102" s="103" t="s">
        <v>57</v>
      </c>
      <c r="D102" s="103">
        <f t="shared" si="2"/>
        <v>4</v>
      </c>
      <c r="E102" s="89" t="s">
        <v>2717</v>
      </c>
      <c r="G102" s="103">
        <f>ROUND((32768/BASE_ANGLE) * MTPVAngle_31,0)</f>
        <v>17446</v>
      </c>
      <c r="H102" s="94" t="str">
        <f>IF(G102&lt;&gt;"",IF(C102="float32",FLOAT2HEX(G102),DEC2HEX(G102,8)),"")</f>
        <v>00004426</v>
      </c>
      <c r="I102" s="94">
        <f t="shared" si="3"/>
        <v>17446</v>
      </c>
    </row>
    <row r="103" spans="1:9">
      <c r="A103" s="96">
        <f>IF(I103&lt;&gt;"",MAX(A$1:A102)+1,"")</f>
        <v>96</v>
      </c>
      <c r="B103" s="97" t="s">
        <v>2235</v>
      </c>
      <c r="C103" s="103" t="s">
        <v>57</v>
      </c>
      <c r="D103" s="103">
        <f t="shared" si="2"/>
        <v>4</v>
      </c>
      <c r="E103" s="89" t="s">
        <v>2718</v>
      </c>
      <c r="G103" s="103">
        <f>ROUND((32768/BASE_FLUX) * MTPVFlux_32,0)</f>
        <v>6026</v>
      </c>
      <c r="H103" s="94" t="str">
        <f>IF(G103&lt;&gt;"",IF(C103="float32",FLOAT2HEX(G103),DEC2HEX(G103,8)),"")</f>
        <v>0000178A</v>
      </c>
      <c r="I103" s="94">
        <f t="shared" si="3"/>
        <v>6026</v>
      </c>
    </row>
    <row r="104" spans="1:9">
      <c r="A104" s="96">
        <f>IF(I104&lt;&gt;"",MAX(A$1:A103)+1,"")</f>
        <v>97</v>
      </c>
      <c r="B104" s="74" t="s">
        <v>2236</v>
      </c>
      <c r="C104" s="103" t="s">
        <v>57</v>
      </c>
      <c r="D104" s="103">
        <f t="shared" si="2"/>
        <v>4</v>
      </c>
      <c r="E104" s="89" t="s">
        <v>2719</v>
      </c>
      <c r="G104" s="103">
        <f>ROUND((32768/BASE_TORQ) * MTPVTorque_32,0)</f>
        <v>2562</v>
      </c>
      <c r="H104" s="94" t="str">
        <f>IF(G104&lt;&gt;"",IF(C104="float32",FLOAT2HEX(G104),DEC2HEX(G104,8)),"")</f>
        <v>00000A02</v>
      </c>
      <c r="I104" s="94">
        <f t="shared" si="3"/>
        <v>2562</v>
      </c>
    </row>
    <row r="105" spans="1:9">
      <c r="A105" s="96">
        <f>IF(I105&lt;&gt;"",MAX(A$1:A104)+1,"")</f>
        <v>98</v>
      </c>
      <c r="B105" s="97" t="s">
        <v>2237</v>
      </c>
      <c r="C105" s="103" t="s">
        <v>57</v>
      </c>
      <c r="D105" s="103">
        <f t="shared" si="2"/>
        <v>4</v>
      </c>
      <c r="E105" s="89" t="s">
        <v>2720</v>
      </c>
      <c r="G105" s="103">
        <f>ROUND((32768/BASE_ANGLE) * MTPVAngle_32,0)</f>
        <v>17446</v>
      </c>
      <c r="H105" s="94" t="str">
        <f>IF(G105&lt;&gt;"",IF(C105="float32",FLOAT2HEX(G105),DEC2HEX(G105,8)),"")</f>
        <v>00004426</v>
      </c>
      <c r="I105" s="94">
        <f t="shared" si="3"/>
        <v>17446</v>
      </c>
    </row>
    <row r="106" spans="1:9">
      <c r="A106" s="96">
        <f>IF(I106&lt;&gt;"",MAX(A$1:A105)+1,"")</f>
        <v>99</v>
      </c>
      <c r="B106" s="97" t="s">
        <v>2238</v>
      </c>
      <c r="C106" s="103" t="s">
        <v>57</v>
      </c>
      <c r="D106" s="103">
        <f t="shared" si="2"/>
        <v>4</v>
      </c>
      <c r="E106" s="89" t="s">
        <v>2721</v>
      </c>
      <c r="G106" s="103">
        <f>ROUND((32768/BASE_FLUX) * MTPVFlux_33,0)</f>
        <v>6183</v>
      </c>
      <c r="H106" s="94" t="str">
        <f>IF(G106&lt;&gt;"",IF(C106="float32",FLOAT2HEX(G106),DEC2HEX(G106,8)),"")</f>
        <v>00001827</v>
      </c>
      <c r="I106" s="94">
        <f t="shared" si="3"/>
        <v>6183</v>
      </c>
    </row>
    <row r="107" spans="1:9">
      <c r="A107" s="96">
        <f>IF(I107&lt;&gt;"",MAX(A$1:A106)+1,"")</f>
        <v>100</v>
      </c>
      <c r="B107" s="74" t="s">
        <v>2239</v>
      </c>
      <c r="C107" s="103" t="s">
        <v>57</v>
      </c>
      <c r="D107" s="103">
        <f t="shared" si="2"/>
        <v>4</v>
      </c>
      <c r="E107" s="89" t="s">
        <v>2722</v>
      </c>
      <c r="G107" s="103">
        <f>ROUND((32768/BASE_TORQ) * MTPVTorque_33,0)</f>
        <v>2620</v>
      </c>
      <c r="H107" s="94" t="str">
        <f>IF(G107&lt;&gt;"",IF(C107="float32",FLOAT2HEX(G107),DEC2HEX(G107,8)),"")</f>
        <v>00000A3C</v>
      </c>
      <c r="I107" s="94">
        <f t="shared" si="3"/>
        <v>2620</v>
      </c>
    </row>
    <row r="108" spans="1:9">
      <c r="A108" s="96">
        <f>IF(I108&lt;&gt;"",MAX(A$1:A107)+1,"")</f>
        <v>101</v>
      </c>
      <c r="B108" s="97" t="s">
        <v>2240</v>
      </c>
      <c r="C108" s="103" t="s">
        <v>57</v>
      </c>
      <c r="D108" s="103">
        <f t="shared" si="2"/>
        <v>4</v>
      </c>
      <c r="E108" s="89" t="s">
        <v>2723</v>
      </c>
      <c r="G108" s="103">
        <f>ROUND((32768/BASE_ANGLE) * MTPVAngle_33,0)</f>
        <v>17446</v>
      </c>
      <c r="H108" s="94" t="str">
        <f>IF(G108&lt;&gt;"",IF(C108="float32",FLOAT2HEX(G108),DEC2HEX(G108,8)),"")</f>
        <v>00004426</v>
      </c>
      <c r="I108" s="94">
        <f t="shared" si="3"/>
        <v>17446</v>
      </c>
    </row>
    <row r="109" spans="1:9">
      <c r="A109" s="96">
        <f>IF(I109&lt;&gt;"",MAX(A$1:A108)+1,"")</f>
        <v>102</v>
      </c>
      <c r="B109" s="97" t="s">
        <v>2241</v>
      </c>
      <c r="C109" s="103" t="s">
        <v>57</v>
      </c>
      <c r="D109" s="103">
        <f t="shared" si="2"/>
        <v>4</v>
      </c>
      <c r="E109" s="89" t="s">
        <v>2724</v>
      </c>
      <c r="G109" s="103">
        <f>ROUND((32768/BASE_FLUX) * MTPVFlux_34,0)</f>
        <v>6329</v>
      </c>
      <c r="H109" s="94" t="str">
        <f>IF(G109&lt;&gt;"",IF(C109="float32",FLOAT2HEX(G109),DEC2HEX(G109,8)),"")</f>
        <v>000018B9</v>
      </c>
      <c r="I109" s="94">
        <f t="shared" si="3"/>
        <v>6329</v>
      </c>
    </row>
    <row r="110" spans="1:9">
      <c r="A110" s="96">
        <f>IF(I110&lt;&gt;"",MAX(A$1:A109)+1,"")</f>
        <v>103</v>
      </c>
      <c r="B110" s="74" t="s">
        <v>2242</v>
      </c>
      <c r="C110" s="103" t="s">
        <v>57</v>
      </c>
      <c r="D110" s="103">
        <f t="shared" si="2"/>
        <v>4</v>
      </c>
      <c r="E110" s="89" t="s">
        <v>2725</v>
      </c>
      <c r="G110" s="103">
        <f>ROUND((32768/BASE_TORQ) * MTPVTorque_34,0)</f>
        <v>2678</v>
      </c>
      <c r="H110" s="94" t="str">
        <f>IF(G110&lt;&gt;"",IF(C110="float32",FLOAT2HEX(G110),DEC2HEX(G110,8)),"")</f>
        <v>00000A76</v>
      </c>
      <c r="I110" s="94">
        <f t="shared" si="3"/>
        <v>2678</v>
      </c>
    </row>
    <row r="111" spans="1:9">
      <c r="A111" s="96">
        <f>IF(I111&lt;&gt;"",MAX(A$1:A110)+1,"")</f>
        <v>104</v>
      </c>
      <c r="B111" s="97" t="s">
        <v>2243</v>
      </c>
      <c r="C111" s="103" t="s">
        <v>57</v>
      </c>
      <c r="D111" s="103">
        <f t="shared" si="2"/>
        <v>4</v>
      </c>
      <c r="E111" s="89" t="s">
        <v>2726</v>
      </c>
      <c r="G111" s="103">
        <f>ROUND((32768/BASE_ANGLE) * MTPVAngle_34,0)</f>
        <v>17446</v>
      </c>
      <c r="H111" s="94" t="str">
        <f>IF(G111&lt;&gt;"",IF(C111="float32",FLOAT2HEX(G111),DEC2HEX(G111,8)),"")</f>
        <v>00004426</v>
      </c>
      <c r="I111" s="94">
        <f t="shared" si="3"/>
        <v>17446</v>
      </c>
    </row>
    <row r="112" spans="1:9">
      <c r="A112" s="96">
        <f>IF(I112&lt;&gt;"",MAX(A$1:A111)+1,"")</f>
        <v>105</v>
      </c>
      <c r="B112" s="97" t="s">
        <v>2244</v>
      </c>
      <c r="C112" s="103" t="s">
        <v>57</v>
      </c>
      <c r="D112" s="103">
        <f t="shared" si="2"/>
        <v>4</v>
      </c>
      <c r="E112" s="89" t="s">
        <v>2727</v>
      </c>
      <c r="G112" s="103">
        <f>ROUND((32768/BASE_FLUX) * MTPVFlux_35,0)</f>
        <v>6486</v>
      </c>
      <c r="H112" s="94" t="str">
        <f>IF(G112&lt;&gt;"",IF(C112="float32",FLOAT2HEX(G112),DEC2HEX(G112,8)),"")</f>
        <v>00001956</v>
      </c>
      <c r="I112" s="94">
        <f t="shared" si="3"/>
        <v>6486</v>
      </c>
    </row>
    <row r="113" spans="1:9">
      <c r="A113" s="96">
        <f>IF(I113&lt;&gt;"",MAX(A$1:A112)+1,"")</f>
        <v>106</v>
      </c>
      <c r="B113" s="74" t="s">
        <v>2245</v>
      </c>
      <c r="C113" s="103" t="s">
        <v>57</v>
      </c>
      <c r="D113" s="103">
        <f t="shared" si="2"/>
        <v>4</v>
      </c>
      <c r="E113" s="89" t="s">
        <v>2728</v>
      </c>
      <c r="G113" s="103">
        <f>ROUND((32768/BASE_TORQ) * MTPVTorque_35,0)</f>
        <v>2735</v>
      </c>
      <c r="H113" s="94" t="str">
        <f>IF(G113&lt;&gt;"",IF(C113="float32",FLOAT2HEX(G113),DEC2HEX(G113,8)),"")</f>
        <v>00000AAF</v>
      </c>
      <c r="I113" s="94">
        <f t="shared" si="3"/>
        <v>2735</v>
      </c>
    </row>
    <row r="114" spans="1:9">
      <c r="A114" s="96">
        <f>IF(I114&lt;&gt;"",MAX(A$1:A113)+1,"")</f>
        <v>107</v>
      </c>
      <c r="B114" s="97" t="s">
        <v>2246</v>
      </c>
      <c r="C114" s="103" t="s">
        <v>57</v>
      </c>
      <c r="D114" s="103">
        <f t="shared" si="2"/>
        <v>4</v>
      </c>
      <c r="E114" s="89" t="s">
        <v>2729</v>
      </c>
      <c r="G114" s="103">
        <f>ROUND((32768/BASE_ANGLE) * MTPVAngle_35,0)</f>
        <v>17446</v>
      </c>
      <c r="H114" s="94" t="str">
        <f>IF(G114&lt;&gt;"",IF(C114="float32",FLOAT2HEX(G114),DEC2HEX(G114,8)),"")</f>
        <v>00004426</v>
      </c>
      <c r="I114" s="94">
        <f t="shared" si="3"/>
        <v>17446</v>
      </c>
    </row>
    <row r="115" spans="1:9">
      <c r="A115" s="96">
        <f>IF(I115&lt;&gt;"",MAX(A$1:A114)+1,"")</f>
        <v>108</v>
      </c>
      <c r="B115" s="97" t="s">
        <v>2247</v>
      </c>
      <c r="C115" s="103" t="s">
        <v>57</v>
      </c>
      <c r="D115" s="103">
        <f t="shared" si="2"/>
        <v>4</v>
      </c>
      <c r="E115" s="89" t="s">
        <v>2730</v>
      </c>
      <c r="G115" s="103">
        <f>ROUND((32768/BASE_FLUX) * MTPVFlux_36,0)</f>
        <v>6631</v>
      </c>
      <c r="H115" s="94" t="str">
        <f>IF(G115&lt;&gt;"",IF(C115="float32",FLOAT2HEX(G115),DEC2HEX(G115,8)),"")</f>
        <v>000019E7</v>
      </c>
      <c r="I115" s="94">
        <f t="shared" si="3"/>
        <v>6631</v>
      </c>
    </row>
    <row r="116" spans="1:9">
      <c r="A116" s="96">
        <f>IF(I116&lt;&gt;"",MAX(A$1:A115)+1,"")</f>
        <v>109</v>
      </c>
      <c r="B116" s="74" t="s">
        <v>2248</v>
      </c>
      <c r="C116" s="103" t="s">
        <v>57</v>
      </c>
      <c r="D116" s="103">
        <f t="shared" si="2"/>
        <v>4</v>
      </c>
      <c r="E116" s="89" t="s">
        <v>2731</v>
      </c>
      <c r="G116" s="103">
        <f>ROUND((32768/BASE_TORQ) * MTPVTorque_36,0)</f>
        <v>2791</v>
      </c>
      <c r="H116" s="94" t="str">
        <f>IF(G116&lt;&gt;"",IF(C116="float32",FLOAT2HEX(G116),DEC2HEX(G116,8)),"")</f>
        <v>00000AE7</v>
      </c>
      <c r="I116" s="94">
        <f t="shared" si="3"/>
        <v>2791</v>
      </c>
    </row>
    <row r="117" spans="1:9">
      <c r="A117" s="96">
        <f>IF(I117&lt;&gt;"",MAX(A$1:A116)+1,"")</f>
        <v>110</v>
      </c>
      <c r="B117" s="97" t="s">
        <v>2249</v>
      </c>
      <c r="C117" s="103" t="s">
        <v>57</v>
      </c>
      <c r="D117" s="103">
        <f t="shared" si="2"/>
        <v>4</v>
      </c>
      <c r="E117" s="89" t="s">
        <v>2732</v>
      </c>
      <c r="G117" s="103">
        <f>ROUND((32768/BASE_ANGLE) * MTPVAngle_36,0)</f>
        <v>17446</v>
      </c>
      <c r="H117" s="94" t="str">
        <f>IF(G117&lt;&gt;"",IF(C117="float32",FLOAT2HEX(G117),DEC2HEX(G117,8)),"")</f>
        <v>00004426</v>
      </c>
      <c r="I117" s="94">
        <f t="shared" si="3"/>
        <v>17446</v>
      </c>
    </row>
    <row r="118" spans="1:9">
      <c r="A118" s="96">
        <f>IF(I118&lt;&gt;"",MAX(A$1:A117)+1,"")</f>
        <v>111</v>
      </c>
      <c r="B118" s="97" t="s">
        <v>2250</v>
      </c>
      <c r="C118" s="103" t="s">
        <v>57</v>
      </c>
      <c r="D118" s="103">
        <f t="shared" si="2"/>
        <v>4</v>
      </c>
      <c r="E118" s="89" t="s">
        <v>2733</v>
      </c>
      <c r="G118" s="103">
        <f>ROUND((32768/BASE_FLUX) * MTPVFlux_37,0)</f>
        <v>6788</v>
      </c>
      <c r="H118" s="94" t="str">
        <f>IF(G118&lt;&gt;"",IF(C118="float32",FLOAT2HEX(G118),DEC2HEX(G118,8)),"")</f>
        <v>00001A84</v>
      </c>
      <c r="I118" s="94">
        <f t="shared" si="3"/>
        <v>6788</v>
      </c>
    </row>
    <row r="119" spans="1:9">
      <c r="A119" s="96">
        <f>IF(I119&lt;&gt;"",MAX(A$1:A118)+1,"")</f>
        <v>112</v>
      </c>
      <c r="B119" s="74" t="s">
        <v>2251</v>
      </c>
      <c r="C119" s="103" t="s">
        <v>57</v>
      </c>
      <c r="D119" s="103">
        <f t="shared" si="2"/>
        <v>4</v>
      </c>
      <c r="E119" s="89" t="s">
        <v>2734</v>
      </c>
      <c r="G119" s="103">
        <f>ROUND((32768/BASE_TORQ) * MTPVTorque_37,0)</f>
        <v>2847</v>
      </c>
      <c r="H119" s="94" t="str">
        <f>IF(G119&lt;&gt;"",IF(C119="float32",FLOAT2HEX(G119),DEC2HEX(G119,8)),"")</f>
        <v>00000B1F</v>
      </c>
      <c r="I119" s="94">
        <f t="shared" si="3"/>
        <v>2847</v>
      </c>
    </row>
    <row r="120" spans="1:9">
      <c r="A120" s="96">
        <f>IF(I120&lt;&gt;"",MAX(A$1:A119)+1,"")</f>
        <v>113</v>
      </c>
      <c r="B120" s="97" t="s">
        <v>2252</v>
      </c>
      <c r="C120" s="103" t="s">
        <v>57</v>
      </c>
      <c r="D120" s="103">
        <f t="shared" si="2"/>
        <v>4</v>
      </c>
      <c r="E120" s="89" t="s">
        <v>2735</v>
      </c>
      <c r="G120" s="103">
        <f>ROUND((32768/BASE_ANGLE) * MTPVAngle_37,0)</f>
        <v>17446</v>
      </c>
      <c r="H120" s="94" t="str">
        <f>IF(G120&lt;&gt;"",IF(C120="float32",FLOAT2HEX(G120),DEC2HEX(G120,8)),"")</f>
        <v>00004426</v>
      </c>
      <c r="I120" s="94">
        <f t="shared" si="3"/>
        <v>17446</v>
      </c>
    </row>
    <row r="121" spans="1:9">
      <c r="A121" s="96">
        <f>IF(I121&lt;&gt;"",MAX(A$1:A120)+1,"")</f>
        <v>114</v>
      </c>
      <c r="B121" s="97" t="s">
        <v>2253</v>
      </c>
      <c r="C121" s="103" t="s">
        <v>57</v>
      </c>
      <c r="D121" s="103">
        <f t="shared" si="2"/>
        <v>4</v>
      </c>
      <c r="E121" s="89" t="s">
        <v>2736</v>
      </c>
      <c r="G121" s="103">
        <f>ROUND((32768/BASE_FLUX) * MTPVFlux_38,0)</f>
        <v>6934</v>
      </c>
      <c r="H121" s="94" t="str">
        <f>IF(G121&lt;&gt;"",IF(C121="float32",FLOAT2HEX(G121),DEC2HEX(G121,8)),"")</f>
        <v>00001B16</v>
      </c>
      <c r="I121" s="94">
        <f t="shared" si="3"/>
        <v>6934</v>
      </c>
    </row>
    <row r="122" spans="1:9">
      <c r="A122" s="96">
        <f>IF(I122&lt;&gt;"",MAX(A$1:A121)+1,"")</f>
        <v>115</v>
      </c>
      <c r="B122" s="74" t="s">
        <v>2254</v>
      </c>
      <c r="C122" s="103" t="s">
        <v>57</v>
      </c>
      <c r="D122" s="103">
        <f t="shared" si="2"/>
        <v>4</v>
      </c>
      <c r="E122" s="89" t="s">
        <v>2737</v>
      </c>
      <c r="G122" s="103">
        <f>ROUND((32768/BASE_TORQ) * MTPVTorque_38,0)</f>
        <v>2902</v>
      </c>
      <c r="H122" s="94" t="str">
        <f>IF(G122&lt;&gt;"",IF(C122="float32",FLOAT2HEX(G122),DEC2HEX(G122,8)),"")</f>
        <v>00000B56</v>
      </c>
      <c r="I122" s="94">
        <f t="shared" si="3"/>
        <v>2902</v>
      </c>
    </row>
    <row r="123" spans="1:9">
      <c r="A123" s="96">
        <f>IF(I123&lt;&gt;"",MAX(A$1:A122)+1,"")</f>
        <v>116</v>
      </c>
      <c r="B123" s="97" t="s">
        <v>2255</v>
      </c>
      <c r="C123" s="103" t="s">
        <v>57</v>
      </c>
      <c r="D123" s="103">
        <f t="shared" si="2"/>
        <v>4</v>
      </c>
      <c r="E123" s="89" t="s">
        <v>2738</v>
      </c>
      <c r="G123" s="103">
        <f>ROUND((32768/BASE_ANGLE) * MTPVAngle_38,0)</f>
        <v>17446</v>
      </c>
      <c r="H123" s="94" t="str">
        <f>IF(G123&lt;&gt;"",IF(C123="float32",FLOAT2HEX(G123),DEC2HEX(G123,8)),"")</f>
        <v>00004426</v>
      </c>
      <c r="I123" s="94">
        <f t="shared" si="3"/>
        <v>17446</v>
      </c>
    </row>
    <row r="124" spans="1:9">
      <c r="A124" s="96">
        <f>IF(I124&lt;&gt;"",MAX(A$1:A123)+1,"")</f>
        <v>117</v>
      </c>
      <c r="B124" s="97" t="s">
        <v>2256</v>
      </c>
      <c r="C124" s="103" t="s">
        <v>57</v>
      </c>
      <c r="D124" s="103">
        <f t="shared" si="2"/>
        <v>4</v>
      </c>
      <c r="E124" s="89" t="s">
        <v>2739</v>
      </c>
      <c r="G124" s="103">
        <f>ROUND((32768/BASE_FLUX) * MTPVFlux_39,0)</f>
        <v>7091</v>
      </c>
      <c r="H124" s="94" t="str">
        <f>IF(G124&lt;&gt;"",IF(C124="float32",FLOAT2HEX(G124),DEC2HEX(G124,8)),"")</f>
        <v>00001BB3</v>
      </c>
      <c r="I124" s="94">
        <f t="shared" si="3"/>
        <v>7091</v>
      </c>
    </row>
    <row r="125" spans="1:9">
      <c r="A125" s="96">
        <f>IF(I125&lt;&gt;"",MAX(A$1:A124)+1,"")</f>
        <v>118</v>
      </c>
      <c r="B125" s="74" t="s">
        <v>2257</v>
      </c>
      <c r="C125" s="103" t="s">
        <v>57</v>
      </c>
      <c r="D125" s="103">
        <f t="shared" si="2"/>
        <v>4</v>
      </c>
      <c r="E125" s="89" t="s">
        <v>2740</v>
      </c>
      <c r="G125" s="103">
        <f>ROUND((32768/BASE_TORQ) * MTPVTorque_39,0)</f>
        <v>2956</v>
      </c>
      <c r="H125" s="94" t="str">
        <f>IF(G125&lt;&gt;"",IF(C125="float32",FLOAT2HEX(G125),DEC2HEX(G125,8)),"")</f>
        <v>00000B8C</v>
      </c>
      <c r="I125" s="94">
        <f t="shared" si="3"/>
        <v>2956</v>
      </c>
    </row>
    <row r="126" spans="1:9">
      <c r="A126" s="96">
        <f>IF(I126&lt;&gt;"",MAX(A$1:A125)+1,"")</f>
        <v>119</v>
      </c>
      <c r="B126" s="97" t="s">
        <v>2258</v>
      </c>
      <c r="C126" s="103" t="s">
        <v>57</v>
      </c>
      <c r="D126" s="103">
        <f t="shared" si="2"/>
        <v>4</v>
      </c>
      <c r="E126" s="89" t="s">
        <v>2741</v>
      </c>
      <c r="G126" s="103">
        <f>ROUND((32768/BASE_ANGLE) * MTPVAngle_39,0)</f>
        <v>18709</v>
      </c>
      <c r="H126" s="94" t="str">
        <f>IF(G126&lt;&gt;"",IF(C126="float32",FLOAT2HEX(G126),DEC2HEX(G126,8)),"")</f>
        <v>00004915</v>
      </c>
      <c r="I126" s="94">
        <f t="shared" si="3"/>
        <v>18709</v>
      </c>
    </row>
    <row r="127" spans="1:9">
      <c r="A127" s="96">
        <f>IF(I127&lt;&gt;"",MAX(A$1:A126)+1,"")</f>
        <v>120</v>
      </c>
      <c r="B127" s="97" t="s">
        <v>2259</v>
      </c>
      <c r="C127" s="103" t="s">
        <v>57</v>
      </c>
      <c r="D127" s="103">
        <f t="shared" si="2"/>
        <v>4</v>
      </c>
      <c r="E127" s="89" t="s">
        <v>2742</v>
      </c>
      <c r="G127" s="103">
        <f>ROUND((32768/BASE_FLUX) * MTPVFlux_40,0)</f>
        <v>7236</v>
      </c>
      <c r="H127" s="94" t="str">
        <f>IF(G127&lt;&gt;"",IF(C127="float32",FLOAT2HEX(G127),DEC2HEX(G127,8)),"")</f>
        <v>00001C44</v>
      </c>
      <c r="I127" s="94">
        <f t="shared" si="3"/>
        <v>7236</v>
      </c>
    </row>
    <row r="128" spans="1:9">
      <c r="A128" s="96">
        <f>IF(I128&lt;&gt;"",MAX(A$1:A127)+1,"")</f>
        <v>121</v>
      </c>
      <c r="B128" s="74" t="s">
        <v>2260</v>
      </c>
      <c r="C128" s="103" t="s">
        <v>57</v>
      </c>
      <c r="D128" s="103">
        <f t="shared" si="2"/>
        <v>4</v>
      </c>
      <c r="E128" s="89" t="s">
        <v>2743</v>
      </c>
      <c r="G128" s="103">
        <f>ROUND((32768/BASE_TORQ) * MTPVTorque_40,0)</f>
        <v>3010</v>
      </c>
      <c r="H128" s="94" t="str">
        <f>IF(G128&lt;&gt;"",IF(C128="float32",FLOAT2HEX(G128),DEC2HEX(G128,8)),"")</f>
        <v>00000BC2</v>
      </c>
      <c r="I128" s="94">
        <f t="shared" si="3"/>
        <v>3010</v>
      </c>
    </row>
    <row r="129" spans="1:9">
      <c r="A129" s="96">
        <f>IF(I129&lt;&gt;"",MAX(A$1:A128)+1,"")</f>
        <v>122</v>
      </c>
      <c r="B129" s="97" t="s">
        <v>2261</v>
      </c>
      <c r="C129" s="103" t="s">
        <v>57</v>
      </c>
      <c r="D129" s="103">
        <f t="shared" si="2"/>
        <v>4</v>
      </c>
      <c r="E129" s="89" t="s">
        <v>2744</v>
      </c>
      <c r="G129" s="103">
        <f>ROUND((32768/BASE_ANGLE) * MTPVAngle_40,0)</f>
        <v>20011</v>
      </c>
      <c r="H129" s="94" t="str">
        <f>IF(G129&lt;&gt;"",IF(C129="float32",FLOAT2HEX(G129),DEC2HEX(G129,8)),"")</f>
        <v>00004E2B</v>
      </c>
      <c r="I129" s="94">
        <f t="shared" si="3"/>
        <v>20011</v>
      </c>
    </row>
    <row r="130" spans="1:9">
      <c r="A130" s="96">
        <f>IF(I130&lt;&gt;"",MAX(A$1:A129)+1,"")</f>
        <v>123</v>
      </c>
      <c r="B130" s="97" t="s">
        <v>2262</v>
      </c>
      <c r="C130" s="103" t="s">
        <v>57</v>
      </c>
      <c r="D130" s="103">
        <f t="shared" si="2"/>
        <v>4</v>
      </c>
      <c r="E130" s="89" t="s">
        <v>2745</v>
      </c>
      <c r="G130" s="103">
        <f>ROUND((32768/BASE_FLUX) * MTPVFlux_41,0)</f>
        <v>7381</v>
      </c>
      <c r="H130" s="94" t="str">
        <f>IF(G130&lt;&gt;"",IF(C130="float32",FLOAT2HEX(G130),DEC2HEX(G130,8)),"")</f>
        <v>00001CD5</v>
      </c>
      <c r="I130" s="94">
        <f t="shared" si="3"/>
        <v>7381</v>
      </c>
    </row>
    <row r="131" spans="1:9">
      <c r="A131" s="96">
        <f>IF(I131&lt;&gt;"",MAX(A$1:A130)+1,"")</f>
        <v>124</v>
      </c>
      <c r="B131" s="74" t="s">
        <v>2263</v>
      </c>
      <c r="C131" s="103" t="s">
        <v>57</v>
      </c>
      <c r="D131" s="103">
        <f t="shared" si="2"/>
        <v>4</v>
      </c>
      <c r="E131" s="89" t="s">
        <v>2746</v>
      </c>
      <c r="G131" s="103">
        <f>ROUND((32768/BASE_TORQ) * MTPVTorque_41,0)</f>
        <v>3063</v>
      </c>
      <c r="H131" s="94" t="str">
        <f>IF(G131&lt;&gt;"",IF(C131="float32",FLOAT2HEX(G131),DEC2HEX(G131,8)),"")</f>
        <v>00000BF7</v>
      </c>
      <c r="I131" s="94">
        <f t="shared" si="3"/>
        <v>3063</v>
      </c>
    </row>
    <row r="132" spans="1:9">
      <c r="A132" s="96">
        <f>IF(I132&lt;&gt;"",MAX(A$1:A131)+1,"")</f>
        <v>125</v>
      </c>
      <c r="B132" s="97" t="s">
        <v>2264</v>
      </c>
      <c r="C132" s="103" t="s">
        <v>57</v>
      </c>
      <c r="D132" s="103">
        <f t="shared" si="2"/>
        <v>4</v>
      </c>
      <c r="E132" s="89" t="s">
        <v>2747</v>
      </c>
      <c r="G132" s="103">
        <f>ROUND((32768/BASE_ANGLE) * MTPVAngle_41,0)</f>
        <v>20829</v>
      </c>
      <c r="H132" s="94" t="str">
        <f>IF(G132&lt;&gt;"",IF(C132="float32",FLOAT2HEX(G132),DEC2HEX(G132,8)),"")</f>
        <v>0000515D</v>
      </c>
      <c r="I132" s="94">
        <f t="shared" si="3"/>
        <v>20829</v>
      </c>
    </row>
    <row r="133" spans="1:9">
      <c r="A133" s="96">
        <f>IF(I133&lt;&gt;"",MAX(A$1:A132)+1,"")</f>
        <v>126</v>
      </c>
      <c r="B133" s="97" t="s">
        <v>2265</v>
      </c>
      <c r="C133" s="103" t="s">
        <v>57</v>
      </c>
      <c r="D133" s="103">
        <f t="shared" si="2"/>
        <v>4</v>
      </c>
      <c r="E133" s="89" t="s">
        <v>2748</v>
      </c>
      <c r="G133" s="103">
        <f>ROUND((32768/BASE_FLUX) * MTPVFlux_42,0)</f>
        <v>7539</v>
      </c>
      <c r="H133" s="94" t="str">
        <f>IF(G133&lt;&gt;"",IF(C133="float32",FLOAT2HEX(G133),DEC2HEX(G133,8)),"")</f>
        <v>00001D73</v>
      </c>
      <c r="I133" s="94">
        <f t="shared" si="3"/>
        <v>7539</v>
      </c>
    </row>
    <row r="134" spans="1:9">
      <c r="A134" s="96">
        <f>IF(I134&lt;&gt;"",MAX(A$1:A133)+1,"")</f>
        <v>127</v>
      </c>
      <c r="B134" s="74" t="s">
        <v>2266</v>
      </c>
      <c r="C134" s="103" t="s">
        <v>57</v>
      </c>
      <c r="D134" s="103">
        <f t="shared" si="2"/>
        <v>4</v>
      </c>
      <c r="E134" s="89" t="s">
        <v>2749</v>
      </c>
      <c r="G134" s="103">
        <f>ROUND((32768/BASE_TORQ) * MTPVTorque_42,0)</f>
        <v>3115</v>
      </c>
      <c r="H134" s="94" t="str">
        <f>IF(G134&lt;&gt;"",IF(C134="float32",FLOAT2HEX(G134),DEC2HEX(G134,8)),"")</f>
        <v>00000C2B</v>
      </c>
      <c r="I134" s="94">
        <f t="shared" si="3"/>
        <v>3115</v>
      </c>
    </row>
    <row r="135" spans="1:9">
      <c r="A135" s="96">
        <f>IF(I135&lt;&gt;"",MAX(A$1:A134)+1,"")</f>
        <v>128</v>
      </c>
      <c r="B135" s="97" t="s">
        <v>2267</v>
      </c>
      <c r="C135" s="103" t="s">
        <v>57</v>
      </c>
      <c r="D135" s="103">
        <f t="shared" ref="D135:D168" si="4">IF(OR(C135="sint64",C135="uint64",C135="double64"), 8, IF(OR(C135="sint32",C135="uint32",C135="float32"),4,IF(OR(C135="sint16",C135="uint16"),2,  IF(OR(C135="sint8",C135="uint8"),1,""))))</f>
        <v>4</v>
      </c>
      <c r="E135" s="89" t="s">
        <v>2750</v>
      </c>
      <c r="G135" s="103">
        <f>ROUND((32768/BASE_ANGLE) * MTPVAngle_42,0)</f>
        <v>21469</v>
      </c>
      <c r="H135" s="94" t="str">
        <f>IF(G135&lt;&gt;"",IF(C135="float32",FLOAT2HEX(G135),DEC2HEX(G135,8)),"")</f>
        <v>000053DD</v>
      </c>
      <c r="I135" s="94">
        <f t="shared" si="3"/>
        <v>21469</v>
      </c>
    </row>
    <row r="136" spans="1:9">
      <c r="A136" s="96">
        <f>IF(I136&lt;&gt;"",MAX(A$1:A135)+1,"")</f>
        <v>129</v>
      </c>
      <c r="B136" s="97" t="s">
        <v>2268</v>
      </c>
      <c r="C136" s="103" t="s">
        <v>57</v>
      </c>
      <c r="D136" s="103">
        <f t="shared" si="4"/>
        <v>4</v>
      </c>
      <c r="E136" s="89" t="s">
        <v>2751</v>
      </c>
      <c r="G136" s="103">
        <f>ROUND((32768/BASE_FLUX) * MTPVFlux_43,0)</f>
        <v>7684</v>
      </c>
      <c r="H136" s="94" t="str">
        <f>IF(G136&lt;&gt;"",IF(C136="float32",FLOAT2HEX(G136),DEC2HEX(G136,8)),"")</f>
        <v>00001E04</v>
      </c>
      <c r="I136" s="94">
        <f t="shared" si="3"/>
        <v>7684</v>
      </c>
    </row>
    <row r="137" spans="1:9">
      <c r="A137" s="96">
        <f>IF(I137&lt;&gt;"",MAX(A$1:A136)+1,"")</f>
        <v>130</v>
      </c>
      <c r="B137" s="74" t="s">
        <v>2269</v>
      </c>
      <c r="C137" s="103" t="s">
        <v>57</v>
      </c>
      <c r="D137" s="103">
        <f t="shared" si="4"/>
        <v>4</v>
      </c>
      <c r="E137" s="89" t="s">
        <v>2752</v>
      </c>
      <c r="G137" s="103">
        <f>ROUND((32768/BASE_TORQ) * MTPVTorque_43,0)</f>
        <v>3166</v>
      </c>
      <c r="H137" s="94" t="str">
        <f>IF(G137&lt;&gt;"",IF(C137="float32",FLOAT2HEX(G137),DEC2HEX(G137,8)),"")</f>
        <v>00000C5E</v>
      </c>
      <c r="I137" s="94">
        <f t="shared" si="3"/>
        <v>3166</v>
      </c>
    </row>
    <row r="138" spans="1:9">
      <c r="A138" s="96">
        <f>IF(I138&lt;&gt;"",MAX(A$1:A137)+1,"")</f>
        <v>131</v>
      </c>
      <c r="B138" s="97" t="s">
        <v>2270</v>
      </c>
      <c r="C138" s="103" t="s">
        <v>57</v>
      </c>
      <c r="D138" s="103">
        <f t="shared" si="4"/>
        <v>4</v>
      </c>
      <c r="E138" s="89" t="s">
        <v>2753</v>
      </c>
      <c r="G138" s="103">
        <f>ROUND((32768/BASE_ANGLE) * MTPVAngle_43,0)</f>
        <v>22006</v>
      </c>
      <c r="H138" s="94" t="str">
        <f>IF(G138&lt;&gt;"",IF(C138="float32",FLOAT2HEX(G138),DEC2HEX(G138,8)),"")</f>
        <v>000055F6</v>
      </c>
      <c r="I138" s="94">
        <f t="shared" si="3"/>
        <v>22006</v>
      </c>
    </row>
    <row r="139" spans="1:9">
      <c r="A139" s="96">
        <f>IF(I139&lt;&gt;"",MAX(A$1:A138)+1,"")</f>
        <v>132</v>
      </c>
      <c r="B139" s="97" t="s">
        <v>2271</v>
      </c>
      <c r="C139" s="103" t="s">
        <v>57</v>
      </c>
      <c r="D139" s="103">
        <f t="shared" si="4"/>
        <v>4</v>
      </c>
      <c r="E139" s="89" t="s">
        <v>2754</v>
      </c>
      <c r="G139" s="103">
        <f>ROUND((32768/BASE_FLUX) * MTPVFlux_44,0)</f>
        <v>7841</v>
      </c>
      <c r="H139" s="94" t="str">
        <f>IF(G139&lt;&gt;"",IF(C139="float32",FLOAT2HEX(G139),DEC2HEX(G139,8)),"")</f>
        <v>00001EA1</v>
      </c>
      <c r="I139" s="94">
        <f t="shared" ref="I139:I168" si="5">IF(G139&lt;&gt;"",HEX2DEC(H139),"")</f>
        <v>7841</v>
      </c>
    </row>
    <row r="140" spans="1:9">
      <c r="A140" s="96">
        <f>IF(I140&lt;&gt;"",MAX(A$1:A139)+1,"")</f>
        <v>133</v>
      </c>
      <c r="B140" s="74" t="s">
        <v>2272</v>
      </c>
      <c r="C140" s="103" t="s">
        <v>57</v>
      </c>
      <c r="D140" s="103">
        <f t="shared" si="4"/>
        <v>4</v>
      </c>
      <c r="E140" s="89" t="s">
        <v>2755</v>
      </c>
      <c r="G140" s="103">
        <f>ROUND((32768/BASE_TORQ) * MTPVTorque_44,0)</f>
        <v>3216</v>
      </c>
      <c r="H140" s="94" t="str">
        <f>IF(G140&lt;&gt;"",IF(C140="float32",FLOAT2HEX(G140),DEC2HEX(G140,8)),"")</f>
        <v>00000C90</v>
      </c>
      <c r="I140" s="94">
        <f t="shared" si="5"/>
        <v>3216</v>
      </c>
    </row>
    <row r="141" spans="1:9">
      <c r="A141" s="96">
        <f>IF(I141&lt;&gt;"",MAX(A$1:A140)+1,"")</f>
        <v>134</v>
      </c>
      <c r="B141" s="97" t="s">
        <v>2273</v>
      </c>
      <c r="C141" s="103" t="s">
        <v>57</v>
      </c>
      <c r="D141" s="103">
        <f t="shared" si="4"/>
        <v>4</v>
      </c>
      <c r="E141" s="89" t="s">
        <v>2756</v>
      </c>
      <c r="G141" s="103">
        <f>ROUND((32768/BASE_ANGLE) * MTPVAngle_44,0)</f>
        <v>22473</v>
      </c>
      <c r="H141" s="94" t="str">
        <f>IF(G141&lt;&gt;"",IF(C141="float32",FLOAT2HEX(G141),DEC2HEX(G141,8)),"")</f>
        <v>000057C9</v>
      </c>
      <c r="I141" s="94">
        <f t="shared" si="5"/>
        <v>22473</v>
      </c>
    </row>
    <row r="142" spans="1:9">
      <c r="A142" s="96">
        <f>IF(I142&lt;&gt;"",MAX(A$1:A141)+1,"")</f>
        <v>135</v>
      </c>
      <c r="B142" s="97" t="s">
        <v>2274</v>
      </c>
      <c r="C142" s="103" t="s">
        <v>57</v>
      </c>
      <c r="D142" s="103">
        <f t="shared" si="4"/>
        <v>4</v>
      </c>
      <c r="E142" s="89" t="s">
        <v>2757</v>
      </c>
      <c r="G142" s="103">
        <f>ROUND((32768/BASE_FLUX) * MTPVFlux_45,0)</f>
        <v>7986</v>
      </c>
      <c r="H142" s="94" t="str">
        <f>IF(G142&lt;&gt;"",IF(C142="float32",FLOAT2HEX(G142),DEC2HEX(G142,8)),"")</f>
        <v>00001F32</v>
      </c>
      <c r="I142" s="94">
        <f t="shared" si="5"/>
        <v>7986</v>
      </c>
    </row>
    <row r="143" spans="1:9">
      <c r="A143" s="96">
        <f>IF(I143&lt;&gt;"",MAX(A$1:A142)+1,"")</f>
        <v>136</v>
      </c>
      <c r="B143" s="74" t="s">
        <v>2275</v>
      </c>
      <c r="C143" s="103" t="s">
        <v>57</v>
      </c>
      <c r="D143" s="103">
        <f t="shared" si="4"/>
        <v>4</v>
      </c>
      <c r="E143" s="89" t="s">
        <v>2758</v>
      </c>
      <c r="G143" s="103">
        <f>ROUND((32768/BASE_TORQ) * MTPVTorque_45,0)</f>
        <v>3266</v>
      </c>
      <c r="H143" s="94" t="str">
        <f>IF(G143&lt;&gt;"",IF(C143="float32",FLOAT2HEX(G143),DEC2HEX(G143,8)),"")</f>
        <v>00000CC2</v>
      </c>
      <c r="I143" s="94">
        <f t="shared" si="5"/>
        <v>3266</v>
      </c>
    </row>
    <row r="144" spans="1:9">
      <c r="A144" s="96">
        <f>IF(I144&lt;&gt;"",MAX(A$1:A143)+1,"")</f>
        <v>137</v>
      </c>
      <c r="B144" s="97" t="s">
        <v>2276</v>
      </c>
      <c r="C144" s="103" t="s">
        <v>57</v>
      </c>
      <c r="D144" s="103">
        <f t="shared" si="4"/>
        <v>4</v>
      </c>
      <c r="E144" s="89" t="s">
        <v>2759</v>
      </c>
      <c r="G144" s="103">
        <f>ROUND((32768/BASE_ANGLE) * MTPVAngle_45,0)</f>
        <v>22888</v>
      </c>
      <c r="H144" s="94" t="str">
        <f>IF(G144&lt;&gt;"",IF(C144="float32",FLOAT2HEX(G144),DEC2HEX(G144,8)),"")</f>
        <v>00005968</v>
      </c>
      <c r="I144" s="94">
        <f t="shared" si="5"/>
        <v>22888</v>
      </c>
    </row>
    <row r="145" spans="1:9">
      <c r="A145" s="96">
        <f>IF(I145&lt;&gt;"",MAX(A$1:A144)+1,"")</f>
        <v>138</v>
      </c>
      <c r="B145" s="97" t="s">
        <v>2277</v>
      </c>
      <c r="C145" s="103" t="s">
        <v>57</v>
      </c>
      <c r="D145" s="103">
        <f t="shared" si="4"/>
        <v>4</v>
      </c>
      <c r="E145" s="89" t="s">
        <v>2760</v>
      </c>
      <c r="G145" s="103">
        <f>ROUND((32768/BASE_FLUX) * MTPVFlux_46,0)</f>
        <v>8144</v>
      </c>
      <c r="H145" s="94" t="str">
        <f>IF(G145&lt;&gt;"",IF(C145="float32",FLOAT2HEX(G145),DEC2HEX(G145,8)),"")</f>
        <v>00001FD0</v>
      </c>
      <c r="I145" s="94">
        <f t="shared" si="5"/>
        <v>8144</v>
      </c>
    </row>
    <row r="146" spans="1:9">
      <c r="A146" s="96">
        <f>IF(I146&lt;&gt;"",MAX(A$1:A145)+1,"")</f>
        <v>139</v>
      </c>
      <c r="B146" s="74" t="s">
        <v>2278</v>
      </c>
      <c r="C146" s="103" t="s">
        <v>57</v>
      </c>
      <c r="D146" s="103">
        <f t="shared" si="4"/>
        <v>4</v>
      </c>
      <c r="E146" s="89" t="s">
        <v>2761</v>
      </c>
      <c r="G146" s="103">
        <f>ROUND((32768/BASE_TORQ) * MTPVTorque_46,0)</f>
        <v>3314</v>
      </c>
      <c r="H146" s="94" t="str">
        <f>IF(G146&lt;&gt;"",IF(C146="float32",FLOAT2HEX(G146),DEC2HEX(G146,8)),"")</f>
        <v>00000CF2</v>
      </c>
      <c r="I146" s="94">
        <f t="shared" si="5"/>
        <v>3314</v>
      </c>
    </row>
    <row r="147" spans="1:9">
      <c r="A147" s="96">
        <f>IF(I147&lt;&gt;"",MAX(A$1:A146)+1,"")</f>
        <v>140</v>
      </c>
      <c r="B147" s="97" t="s">
        <v>2279</v>
      </c>
      <c r="C147" s="103" t="s">
        <v>57</v>
      </c>
      <c r="D147" s="103">
        <f t="shared" si="4"/>
        <v>4</v>
      </c>
      <c r="E147" s="89" t="s">
        <v>2762</v>
      </c>
      <c r="G147" s="103">
        <f>ROUND((32768/BASE_ANGLE) * MTPVAngle_46,0)</f>
        <v>23262</v>
      </c>
      <c r="H147" s="94" t="str">
        <f>IF(G147&lt;&gt;"",IF(C147="float32",FLOAT2HEX(G147),DEC2HEX(G147,8)),"")</f>
        <v>00005ADE</v>
      </c>
      <c r="I147" s="94">
        <f t="shared" si="5"/>
        <v>23262</v>
      </c>
    </row>
    <row r="148" spans="1:9">
      <c r="A148" s="96">
        <f>IF(I148&lt;&gt;"",MAX(A$1:A147)+1,"")</f>
        <v>141</v>
      </c>
      <c r="B148" s="97" t="s">
        <v>2280</v>
      </c>
      <c r="C148" s="103" t="s">
        <v>57</v>
      </c>
      <c r="D148" s="103">
        <f t="shared" si="4"/>
        <v>4</v>
      </c>
      <c r="E148" s="89" t="s">
        <v>2763</v>
      </c>
      <c r="G148" s="103">
        <f>ROUND((32768/BASE_FLUX) * MTPVFlux_47,0)</f>
        <v>8289</v>
      </c>
      <c r="H148" s="94" t="str">
        <f>IF(G148&lt;&gt;"",IF(C148="float32",FLOAT2HEX(G148),DEC2HEX(G148,8)),"")</f>
        <v>00002061</v>
      </c>
      <c r="I148" s="94">
        <f t="shared" si="5"/>
        <v>8289</v>
      </c>
    </row>
    <row r="149" spans="1:9">
      <c r="A149" s="96">
        <f>IF(I149&lt;&gt;"",MAX(A$1:A148)+1,"")</f>
        <v>142</v>
      </c>
      <c r="B149" s="74" t="s">
        <v>2281</v>
      </c>
      <c r="C149" s="103" t="s">
        <v>57</v>
      </c>
      <c r="D149" s="103">
        <f t="shared" si="4"/>
        <v>4</v>
      </c>
      <c r="E149" s="89" t="s">
        <v>2764</v>
      </c>
      <c r="G149" s="103">
        <f>ROUND((32768/BASE_TORQ) * MTPVTorque_47,0)</f>
        <v>3362</v>
      </c>
      <c r="H149" s="94" t="str">
        <f>IF(G149&lt;&gt;"",IF(C149="float32",FLOAT2HEX(G149),DEC2HEX(G149,8)),"")</f>
        <v>00000D22</v>
      </c>
      <c r="I149" s="94">
        <f t="shared" si="5"/>
        <v>3362</v>
      </c>
    </row>
    <row r="150" spans="1:9">
      <c r="A150" s="96">
        <f>IF(I150&lt;&gt;"",MAX(A$1:A149)+1,"")</f>
        <v>143</v>
      </c>
      <c r="B150" s="97" t="s">
        <v>2282</v>
      </c>
      <c r="C150" s="103" t="s">
        <v>57</v>
      </c>
      <c r="D150" s="103">
        <f t="shared" si="4"/>
        <v>4</v>
      </c>
      <c r="E150" s="89" t="s">
        <v>2765</v>
      </c>
      <c r="G150" s="103">
        <f>ROUND((32768/BASE_ANGLE) * MTPVAngle_47,0)</f>
        <v>23604</v>
      </c>
      <c r="H150" s="94" t="str">
        <f>IF(G150&lt;&gt;"",IF(C150="float32",FLOAT2HEX(G150),DEC2HEX(G150,8)),"")</f>
        <v>00005C34</v>
      </c>
      <c r="I150" s="94">
        <f t="shared" si="5"/>
        <v>23604</v>
      </c>
    </row>
    <row r="151" spans="1:9">
      <c r="A151" s="96">
        <f>IF(I151&lt;&gt;"",MAX(A$1:A150)+1,"")</f>
        <v>144</v>
      </c>
      <c r="B151" s="97" t="s">
        <v>2283</v>
      </c>
      <c r="C151" s="103" t="s">
        <v>57</v>
      </c>
      <c r="D151" s="103">
        <f t="shared" si="4"/>
        <v>4</v>
      </c>
      <c r="E151" s="89" t="s">
        <v>2766</v>
      </c>
      <c r="G151" s="103">
        <f>ROUND((32768/BASE_FLUX) * MTPVFlux_48,0)</f>
        <v>8446</v>
      </c>
      <c r="H151" s="94" t="str">
        <f>IF(G151&lt;&gt;"",IF(C151="float32",FLOAT2HEX(G151),DEC2HEX(G151,8)),"")</f>
        <v>000020FE</v>
      </c>
      <c r="I151" s="94">
        <f t="shared" si="5"/>
        <v>8446</v>
      </c>
    </row>
    <row r="152" spans="1:9">
      <c r="A152" s="96">
        <f>IF(I152&lt;&gt;"",MAX(A$1:A151)+1,"")</f>
        <v>145</v>
      </c>
      <c r="B152" s="74" t="s">
        <v>2284</v>
      </c>
      <c r="C152" s="103" t="s">
        <v>57</v>
      </c>
      <c r="D152" s="103">
        <f t="shared" si="4"/>
        <v>4</v>
      </c>
      <c r="E152" s="89" t="s">
        <v>2767</v>
      </c>
      <c r="G152" s="103">
        <f>ROUND((32768/BASE_TORQ) * MTPVTorque_48,0)</f>
        <v>3409</v>
      </c>
      <c r="H152" s="94" t="str">
        <f>IF(G152&lt;&gt;"",IF(C152="float32",FLOAT2HEX(G152),DEC2HEX(G152,8)),"")</f>
        <v>00000D51</v>
      </c>
      <c r="I152" s="94">
        <f t="shared" si="5"/>
        <v>3409</v>
      </c>
    </row>
    <row r="153" spans="1:9">
      <c r="A153" s="96">
        <f>IF(I153&lt;&gt;"",MAX(A$1:A152)+1,"")</f>
        <v>146</v>
      </c>
      <c r="B153" s="97" t="s">
        <v>2285</v>
      </c>
      <c r="C153" s="103" t="s">
        <v>57</v>
      </c>
      <c r="D153" s="103">
        <f t="shared" si="4"/>
        <v>4</v>
      </c>
      <c r="E153" s="89" t="s">
        <v>2768</v>
      </c>
      <c r="G153" s="103">
        <f>ROUND((32768/BASE_ANGLE) * MTPVAngle_48,0)</f>
        <v>23918</v>
      </c>
      <c r="H153" s="94" t="str">
        <f>IF(G153&lt;&gt;"",IF(C153="float32",FLOAT2HEX(G153),DEC2HEX(G153,8)),"")</f>
        <v>00005D6E</v>
      </c>
      <c r="I153" s="94">
        <f t="shared" si="5"/>
        <v>23918</v>
      </c>
    </row>
    <row r="154" spans="1:9">
      <c r="A154" s="96">
        <f>IF(I154&lt;&gt;"",MAX(A$1:A153)+1,"")</f>
        <v>147</v>
      </c>
      <c r="B154" s="97" t="s">
        <v>2286</v>
      </c>
      <c r="C154" s="103" t="s">
        <v>57</v>
      </c>
      <c r="D154" s="103">
        <f t="shared" si="4"/>
        <v>4</v>
      </c>
      <c r="E154" s="89" t="s">
        <v>2769</v>
      </c>
      <c r="G154" s="103">
        <f>ROUND((32768/BASE_FLUX) * MTPVFlux_49,0)</f>
        <v>8591</v>
      </c>
      <c r="H154" s="94" t="str">
        <f>IF(G154&lt;&gt;"",IF(C154="float32",FLOAT2HEX(G154),DEC2HEX(G154,8)),"")</f>
        <v>0000218F</v>
      </c>
      <c r="I154" s="94">
        <f t="shared" si="5"/>
        <v>8591</v>
      </c>
    </row>
    <row r="155" spans="1:9">
      <c r="A155" s="96">
        <f>IF(I155&lt;&gt;"",MAX(A$1:A154)+1,"")</f>
        <v>148</v>
      </c>
      <c r="B155" s="74" t="s">
        <v>2287</v>
      </c>
      <c r="C155" s="103" t="s">
        <v>57</v>
      </c>
      <c r="D155" s="103">
        <f t="shared" si="4"/>
        <v>4</v>
      </c>
      <c r="E155" s="89" t="s">
        <v>2770</v>
      </c>
      <c r="G155" s="103">
        <f>ROUND((32768/BASE_TORQ) * MTPVTorque_49,0)</f>
        <v>3455</v>
      </c>
      <c r="H155" s="94" t="str">
        <f>IF(G155&lt;&gt;"",IF(C155="float32",FLOAT2HEX(G155),DEC2HEX(G155,8)),"")</f>
        <v>00000D7F</v>
      </c>
      <c r="I155" s="94">
        <f t="shared" si="5"/>
        <v>3455</v>
      </c>
    </row>
    <row r="156" spans="1:9">
      <c r="A156" s="96">
        <f>IF(I156&lt;&gt;"",MAX(A$1:A155)+1,"")</f>
        <v>149</v>
      </c>
      <c r="B156" s="97" t="s">
        <v>2288</v>
      </c>
      <c r="C156" s="103" t="s">
        <v>57</v>
      </c>
      <c r="D156" s="103">
        <f t="shared" si="4"/>
        <v>4</v>
      </c>
      <c r="E156" s="89" t="s">
        <v>2771</v>
      </c>
      <c r="G156" s="103">
        <f>ROUND((32768/BASE_ANGLE) * MTPVAngle_49,0)</f>
        <v>24208</v>
      </c>
      <c r="H156" s="94" t="str">
        <f>IF(G156&lt;&gt;"",IF(C156="float32",FLOAT2HEX(G156),DEC2HEX(G156,8)),"")</f>
        <v>00005E90</v>
      </c>
      <c r="I156" s="94">
        <f t="shared" si="5"/>
        <v>24208</v>
      </c>
    </row>
    <row r="157" spans="1:9">
      <c r="A157" s="96">
        <f>IF(I157&lt;&gt;"",MAX(A$1:A156)+1,"")</f>
        <v>150</v>
      </c>
      <c r="B157" s="97" t="s">
        <v>2289</v>
      </c>
      <c r="C157" s="103" t="s">
        <v>57</v>
      </c>
      <c r="D157" s="103">
        <f t="shared" si="4"/>
        <v>4</v>
      </c>
      <c r="E157" s="89" t="s">
        <v>2772</v>
      </c>
      <c r="G157" s="103">
        <f>ROUND((32768/BASE_FLUX) * MTPVFlux_50,0)</f>
        <v>8737</v>
      </c>
      <c r="H157" s="94" t="str">
        <f>IF(G157&lt;&gt;"",IF(C157="float32",FLOAT2HEX(G157),DEC2HEX(G157,8)),"")</f>
        <v>00002221</v>
      </c>
      <c r="I157" s="94">
        <f t="shared" si="5"/>
        <v>8737</v>
      </c>
    </row>
    <row r="158" spans="1:9">
      <c r="A158" s="96">
        <f>IF(I158&lt;&gt;"",MAX(A$1:A157)+1,"")</f>
        <v>151</v>
      </c>
      <c r="B158" s="74" t="s">
        <v>2290</v>
      </c>
      <c r="C158" s="103" t="s">
        <v>57</v>
      </c>
      <c r="D158" s="103">
        <f t="shared" si="4"/>
        <v>4</v>
      </c>
      <c r="E158" s="89" t="s">
        <v>2773</v>
      </c>
      <c r="G158" s="103">
        <f>ROUND((32768/BASE_TORQ) * MTPVTorque_50,0)</f>
        <v>3500</v>
      </c>
      <c r="H158" s="94" t="str">
        <f>IF(G158&lt;&gt;"",IF(C158="float32",FLOAT2HEX(G158),DEC2HEX(G158,8)),"")</f>
        <v>00000DAC</v>
      </c>
      <c r="I158" s="94">
        <f t="shared" si="5"/>
        <v>3500</v>
      </c>
    </row>
    <row r="159" spans="1:9">
      <c r="A159" s="96">
        <f>IF(I159&lt;&gt;"",MAX(A$1:A158)+1,"")</f>
        <v>152</v>
      </c>
      <c r="B159" s="97" t="s">
        <v>2291</v>
      </c>
      <c r="C159" s="103" t="s">
        <v>57</v>
      </c>
      <c r="D159" s="103">
        <f t="shared" si="4"/>
        <v>4</v>
      </c>
      <c r="E159" s="89" t="s">
        <v>2774</v>
      </c>
      <c r="G159" s="103">
        <f>ROUND((32768/BASE_ANGLE) * MTPVAngle_50,0)</f>
        <v>24478</v>
      </c>
      <c r="H159" s="94" t="str">
        <f>IF(G159&lt;&gt;"",IF(C159="float32",FLOAT2HEX(G159),DEC2HEX(G159,8)),"")</f>
        <v>00005F9E</v>
      </c>
      <c r="I159" s="94">
        <f t="shared" si="5"/>
        <v>24478</v>
      </c>
    </row>
    <row r="160" spans="1:9">
      <c r="A160" s="96">
        <f>IF(I160&lt;&gt;"",MAX(A$1:A159)+1,"")</f>
        <v>153</v>
      </c>
      <c r="B160" s="97" t="s">
        <v>2292</v>
      </c>
      <c r="C160" s="103" t="s">
        <v>57</v>
      </c>
      <c r="D160" s="103">
        <f t="shared" si="4"/>
        <v>4</v>
      </c>
      <c r="E160" s="89" t="s">
        <v>2775</v>
      </c>
      <c r="G160" s="103">
        <f>ROUND((32768/BASE_FLUX) * MTPVFlux_51,0)</f>
        <v>8894</v>
      </c>
      <c r="H160" s="94" t="str">
        <f>IF(G160&lt;&gt;"",IF(C160="float32",FLOAT2HEX(G160),DEC2HEX(G160,8)),"")</f>
        <v>000022BE</v>
      </c>
      <c r="I160" s="94">
        <f t="shared" si="5"/>
        <v>8894</v>
      </c>
    </row>
    <row r="161" spans="1:9">
      <c r="A161" s="96">
        <f>IF(I161&lt;&gt;"",MAX(A$1:A160)+1,"")</f>
        <v>154</v>
      </c>
      <c r="B161" s="74" t="s">
        <v>2293</v>
      </c>
      <c r="C161" s="103" t="s">
        <v>57</v>
      </c>
      <c r="D161" s="103">
        <f t="shared" si="4"/>
        <v>4</v>
      </c>
      <c r="E161" s="89" t="s">
        <v>2776</v>
      </c>
      <c r="G161" s="103">
        <f>ROUND((32768/BASE_TORQ) * MTPVTorque_51,0)</f>
        <v>3544</v>
      </c>
      <c r="H161" s="94" t="str">
        <f>IF(G161&lt;&gt;"",IF(C161="float32",FLOAT2HEX(G161),DEC2HEX(G161,8)),"")</f>
        <v>00000DD8</v>
      </c>
      <c r="I161" s="94">
        <f t="shared" si="5"/>
        <v>3544</v>
      </c>
    </row>
    <row r="162" spans="1:9">
      <c r="A162" s="96">
        <f>IF(I162&lt;&gt;"",MAX(A$1:A161)+1,"")</f>
        <v>155</v>
      </c>
      <c r="B162" s="97" t="s">
        <v>2294</v>
      </c>
      <c r="C162" s="103" t="s">
        <v>57</v>
      </c>
      <c r="D162" s="103">
        <f t="shared" si="4"/>
        <v>4</v>
      </c>
      <c r="E162" s="89" t="s">
        <v>2777</v>
      </c>
      <c r="G162" s="103">
        <f>ROUND((32768/BASE_ANGLE) * MTPVAngle_51,0)</f>
        <v>24730</v>
      </c>
      <c r="H162" s="94" t="str">
        <f>IF(G162&lt;&gt;"",IF(C162="float32",FLOAT2HEX(G162),DEC2HEX(G162,8)),"")</f>
        <v>0000609A</v>
      </c>
      <c r="I162" s="94">
        <f t="shared" si="5"/>
        <v>24730</v>
      </c>
    </row>
    <row r="163" spans="1:9">
      <c r="A163" s="96">
        <f>IF(I163&lt;&gt;"",MAX(A$1:A162)+1,"")</f>
        <v>156</v>
      </c>
      <c r="B163" s="97" t="s">
        <v>2295</v>
      </c>
      <c r="C163" s="103" t="s">
        <v>57</v>
      </c>
      <c r="D163" s="103">
        <f t="shared" si="4"/>
        <v>4</v>
      </c>
      <c r="E163" s="89" t="s">
        <v>2778</v>
      </c>
      <c r="G163" s="103">
        <f>ROUND((32768/BASE_FLUX) * MTPVFlux_52,0)</f>
        <v>9039</v>
      </c>
      <c r="H163" s="94" t="str">
        <f>IF(G163&lt;&gt;"",IF(C163="float32",FLOAT2HEX(G163),DEC2HEX(G163,8)),"")</f>
        <v>0000234F</v>
      </c>
      <c r="I163" s="94">
        <f t="shared" si="5"/>
        <v>9039</v>
      </c>
    </row>
    <row r="164" spans="1:9">
      <c r="A164" s="96">
        <f>IF(I164&lt;&gt;"",MAX(A$1:A163)+1,"")</f>
        <v>157</v>
      </c>
      <c r="B164" s="74" t="s">
        <v>2296</v>
      </c>
      <c r="C164" s="103" t="s">
        <v>57</v>
      </c>
      <c r="D164" s="103">
        <f t="shared" si="4"/>
        <v>4</v>
      </c>
      <c r="E164" s="89" t="s">
        <v>2779</v>
      </c>
      <c r="G164" s="103">
        <f>ROUND((32768/BASE_TORQ) * MTPVTorque_52,0)</f>
        <v>3587</v>
      </c>
      <c r="H164" s="94" t="str">
        <f>IF(G164&lt;&gt;"",IF(C164="float32",FLOAT2HEX(G164),DEC2HEX(G164,8)),"")</f>
        <v>00000E03</v>
      </c>
      <c r="I164" s="94">
        <f t="shared" si="5"/>
        <v>3587</v>
      </c>
    </row>
    <row r="165" spans="1:9">
      <c r="A165" s="96">
        <f>IF(I165&lt;&gt;"",MAX(A$1:A164)+1,"")</f>
        <v>158</v>
      </c>
      <c r="B165" s="97" t="s">
        <v>2297</v>
      </c>
      <c r="C165" s="103" t="s">
        <v>57</v>
      </c>
      <c r="D165" s="103">
        <f t="shared" si="4"/>
        <v>4</v>
      </c>
      <c r="E165" s="89" t="s">
        <v>2780</v>
      </c>
      <c r="G165" s="103">
        <f>ROUND((32768/BASE_ANGLE) * MTPVAngle_52,0)</f>
        <v>24965</v>
      </c>
      <c r="H165" s="94" t="str">
        <f>IF(G165&lt;&gt;"",IF(C165="float32",FLOAT2HEX(G165),DEC2HEX(G165,8)),"")</f>
        <v>00006185</v>
      </c>
      <c r="I165" s="94">
        <f t="shared" si="5"/>
        <v>24965</v>
      </c>
    </row>
    <row r="166" spans="1:9">
      <c r="A166" s="96">
        <f>IF(I166&lt;&gt;"",MAX(A$1:A165)+1,"")</f>
        <v>159</v>
      </c>
      <c r="B166" s="97" t="s">
        <v>2298</v>
      </c>
      <c r="C166" s="103" t="s">
        <v>57</v>
      </c>
      <c r="D166" s="103">
        <f t="shared" si="4"/>
        <v>4</v>
      </c>
      <c r="E166" s="89" t="s">
        <v>2781</v>
      </c>
      <c r="G166" s="103">
        <f>ROUND((32768/BASE_FLUX) * MTPVFlux_53,0)</f>
        <v>9196</v>
      </c>
      <c r="H166" s="94" t="str">
        <f>IF(G166&lt;&gt;"",IF(C166="float32",FLOAT2HEX(G166),DEC2HEX(G166,8)),"")</f>
        <v>000023EC</v>
      </c>
      <c r="I166" s="94">
        <f t="shared" si="5"/>
        <v>9196</v>
      </c>
    </row>
    <row r="167" spans="1:9">
      <c r="A167" s="96">
        <f>IF(I167&lt;&gt;"",MAX(A$1:A166)+1,"")</f>
        <v>160</v>
      </c>
      <c r="B167" s="74" t="s">
        <v>2299</v>
      </c>
      <c r="C167" s="103" t="s">
        <v>57</v>
      </c>
      <c r="D167" s="103">
        <f t="shared" si="4"/>
        <v>4</v>
      </c>
      <c r="E167" s="89" t="s">
        <v>2782</v>
      </c>
      <c r="G167" s="103">
        <f>ROUND((32768/BASE_TORQ) * MTPVTorque_53,0)</f>
        <v>3629</v>
      </c>
      <c r="H167" s="94" t="str">
        <f>IF(G167&lt;&gt;"",IF(C167="float32",FLOAT2HEX(G167),DEC2HEX(G167,8)),"")</f>
        <v>00000E2D</v>
      </c>
      <c r="I167" s="94">
        <f t="shared" si="5"/>
        <v>3629</v>
      </c>
    </row>
    <row r="168" spans="1:9">
      <c r="A168" s="96">
        <f>IF(I168&lt;&gt;"",MAX(A$1:A167)+1,"")</f>
        <v>161</v>
      </c>
      <c r="B168" s="97" t="s">
        <v>2300</v>
      </c>
      <c r="C168" s="103" t="s">
        <v>57</v>
      </c>
      <c r="D168" s="103">
        <f t="shared" si="4"/>
        <v>4</v>
      </c>
      <c r="E168" s="89" t="s">
        <v>2783</v>
      </c>
      <c r="G168" s="103">
        <f>ROUND((32768/BASE_ANGLE) * MTPVAngle_53,0)</f>
        <v>25186</v>
      </c>
      <c r="H168" s="94" t="str">
        <f>IF(G168&lt;&gt;"",IF(C168="float32",FLOAT2HEX(G168),DEC2HEX(G168,8)),"")</f>
        <v>00006262</v>
      </c>
      <c r="I168" s="94">
        <f t="shared" si="5"/>
        <v>25186</v>
      </c>
    </row>
    <row r="169" spans="1:9">
      <c r="A169" s="96">
        <f>IF(I169&lt;&gt;"",MAX(A$1:A168)+1,"")</f>
        <v>162</v>
      </c>
      <c r="B169" s="97" t="s">
        <v>2301</v>
      </c>
      <c r="C169" s="103" t="s">
        <v>57</v>
      </c>
      <c r="D169" s="103">
        <f t="shared" ref="D169:D232" si="6">IF(OR(C169="sint64",C169="uint64",C169="double64"), 8, IF(OR(C169="sint32",C169="uint32",C169="float32"),4,IF(OR(C169="sint16",C169="uint16"),2,  IF(OR(C169="sint8",C169="uint8"),1,""))))</f>
        <v>4</v>
      </c>
      <c r="E169" s="89" t="s">
        <v>2784</v>
      </c>
      <c r="G169" s="103">
        <f>ROUND((32768/BASE_FLUX) * MTPVFlux_54,0)</f>
        <v>9342</v>
      </c>
      <c r="H169" s="94" t="str">
        <f>IF(G169&lt;&gt;"",IF(C169="float32",FLOAT2HEX(G169),DEC2HEX(G169,8)),"")</f>
        <v>0000247E</v>
      </c>
      <c r="I169" s="94">
        <f t="shared" ref="I169:I232" si="7">IF(G169&lt;&gt;"",HEX2DEC(H169),"")</f>
        <v>9342</v>
      </c>
    </row>
    <row r="170" spans="1:9">
      <c r="A170" s="96">
        <f>IF(I170&lt;&gt;"",MAX(A$1:A169)+1,"")</f>
        <v>163</v>
      </c>
      <c r="B170" s="74" t="s">
        <v>2302</v>
      </c>
      <c r="C170" s="103" t="s">
        <v>57</v>
      </c>
      <c r="D170" s="103">
        <f t="shared" si="6"/>
        <v>4</v>
      </c>
      <c r="E170" s="89" t="s">
        <v>2785</v>
      </c>
      <c r="G170" s="103">
        <f>ROUND((32768/BASE_TORQ) * MTPVTorque_54,0)</f>
        <v>3670</v>
      </c>
      <c r="H170" s="94" t="str">
        <f>IF(G170&lt;&gt;"",IF(C170="float32",FLOAT2HEX(G170),DEC2HEX(G170,8)),"")</f>
        <v>00000E56</v>
      </c>
      <c r="I170" s="94">
        <f t="shared" si="7"/>
        <v>3670</v>
      </c>
    </row>
    <row r="171" spans="1:9">
      <c r="A171" s="96">
        <f>IF(I171&lt;&gt;"",MAX(A$1:A170)+1,"")</f>
        <v>164</v>
      </c>
      <c r="B171" s="97" t="s">
        <v>2303</v>
      </c>
      <c r="C171" s="103" t="s">
        <v>57</v>
      </c>
      <c r="D171" s="103">
        <f t="shared" si="6"/>
        <v>4</v>
      </c>
      <c r="E171" s="89" t="s">
        <v>2786</v>
      </c>
      <c r="G171" s="103">
        <f>ROUND((32768/BASE_ANGLE) * MTPVAngle_54,0)</f>
        <v>25394</v>
      </c>
      <c r="H171" s="94" t="str">
        <f>IF(G171&lt;&gt;"",IF(C171="float32",FLOAT2HEX(G171),DEC2HEX(G171,8)),"")</f>
        <v>00006332</v>
      </c>
      <c r="I171" s="94">
        <f t="shared" si="7"/>
        <v>25394</v>
      </c>
    </row>
    <row r="172" spans="1:9">
      <c r="A172" s="96">
        <f>IF(I172&lt;&gt;"",MAX(A$1:A171)+1,"")</f>
        <v>165</v>
      </c>
      <c r="B172" s="97" t="s">
        <v>2304</v>
      </c>
      <c r="C172" s="103" t="s">
        <v>57</v>
      </c>
      <c r="D172" s="103">
        <f t="shared" si="6"/>
        <v>4</v>
      </c>
      <c r="E172" s="89" t="s">
        <v>2787</v>
      </c>
      <c r="G172" s="103">
        <f>ROUND((32768/BASE_FLUX) * MTPVFlux_55,0)</f>
        <v>9499</v>
      </c>
      <c r="H172" s="94" t="str">
        <f>IF(G172&lt;&gt;"",IF(C172="float32",FLOAT2HEX(G172),DEC2HEX(G172,8)),"")</f>
        <v>0000251B</v>
      </c>
      <c r="I172" s="94">
        <f t="shared" si="7"/>
        <v>9499</v>
      </c>
    </row>
    <row r="173" spans="1:9">
      <c r="A173" s="96">
        <f>IF(I173&lt;&gt;"",MAX(A$1:A172)+1,"")</f>
        <v>166</v>
      </c>
      <c r="B173" s="74" t="s">
        <v>2305</v>
      </c>
      <c r="C173" s="103" t="s">
        <v>57</v>
      </c>
      <c r="D173" s="103">
        <f t="shared" si="6"/>
        <v>4</v>
      </c>
      <c r="E173" s="89" t="s">
        <v>2788</v>
      </c>
      <c r="G173" s="103">
        <f>ROUND((32768/BASE_TORQ) * MTPVTorque_55,0)</f>
        <v>3709</v>
      </c>
      <c r="H173" s="94" t="str">
        <f>IF(G173&lt;&gt;"",IF(C173="float32",FLOAT2HEX(G173),DEC2HEX(G173,8)),"")</f>
        <v>00000E7D</v>
      </c>
      <c r="I173" s="94">
        <f t="shared" si="7"/>
        <v>3709</v>
      </c>
    </row>
    <row r="174" spans="1:9">
      <c r="A174" s="96">
        <f>IF(I174&lt;&gt;"",MAX(A$1:A173)+1,"")</f>
        <v>167</v>
      </c>
      <c r="B174" s="97" t="s">
        <v>2306</v>
      </c>
      <c r="C174" s="103" t="s">
        <v>57</v>
      </c>
      <c r="D174" s="103">
        <f t="shared" si="6"/>
        <v>4</v>
      </c>
      <c r="E174" s="89" t="s">
        <v>2789</v>
      </c>
      <c r="G174" s="103">
        <f>ROUND((32768/BASE_ANGLE) * MTPVAngle_55,0)</f>
        <v>25589</v>
      </c>
      <c r="H174" s="94" t="str">
        <f>IF(G174&lt;&gt;"",IF(C174="float32",FLOAT2HEX(G174),DEC2HEX(G174,8)),"")</f>
        <v>000063F5</v>
      </c>
      <c r="I174" s="94">
        <f t="shared" si="7"/>
        <v>25589</v>
      </c>
    </row>
    <row r="175" spans="1:9">
      <c r="A175" s="96">
        <f>IF(I175&lt;&gt;"",MAX(A$1:A174)+1,"")</f>
        <v>168</v>
      </c>
      <c r="B175" s="97" t="s">
        <v>2307</v>
      </c>
      <c r="C175" s="103" t="s">
        <v>57</v>
      </c>
      <c r="D175" s="103">
        <f t="shared" si="6"/>
        <v>4</v>
      </c>
      <c r="E175" s="89" t="s">
        <v>2790</v>
      </c>
      <c r="G175" s="103">
        <f>ROUND((32768/BASE_FLUX) * MTPVFlux_56,0)</f>
        <v>9644</v>
      </c>
      <c r="H175" s="94" t="str">
        <f>IF(G175&lt;&gt;"",IF(C175="float32",FLOAT2HEX(G175),DEC2HEX(G175,8)),"")</f>
        <v>000025AC</v>
      </c>
      <c r="I175" s="94">
        <f t="shared" si="7"/>
        <v>9644</v>
      </c>
    </row>
    <row r="176" spans="1:9">
      <c r="A176" s="96">
        <f>IF(I176&lt;&gt;"",MAX(A$1:A175)+1,"")</f>
        <v>169</v>
      </c>
      <c r="B176" s="74" t="s">
        <v>2308</v>
      </c>
      <c r="C176" s="103" t="s">
        <v>57</v>
      </c>
      <c r="D176" s="103">
        <f t="shared" si="6"/>
        <v>4</v>
      </c>
      <c r="E176" s="89" t="s">
        <v>2791</v>
      </c>
      <c r="G176" s="103">
        <f>ROUND((32768/BASE_TORQ) * MTPVTorque_56,0)</f>
        <v>3748</v>
      </c>
      <c r="H176" s="94" t="str">
        <f>IF(G176&lt;&gt;"",IF(C176="float32",FLOAT2HEX(G176),DEC2HEX(G176,8)),"")</f>
        <v>00000EA4</v>
      </c>
      <c r="I176" s="94">
        <f t="shared" si="7"/>
        <v>3748</v>
      </c>
    </row>
    <row r="177" spans="1:9">
      <c r="A177" s="96">
        <f>IF(I177&lt;&gt;"",MAX(A$1:A176)+1,"")</f>
        <v>170</v>
      </c>
      <c r="B177" s="97" t="s">
        <v>2309</v>
      </c>
      <c r="C177" s="103" t="s">
        <v>57</v>
      </c>
      <c r="D177" s="103">
        <f t="shared" si="6"/>
        <v>4</v>
      </c>
      <c r="E177" s="89" t="s">
        <v>2792</v>
      </c>
      <c r="G177" s="103">
        <f>ROUND((32768/BASE_ANGLE) * MTPVAngle_56,0)</f>
        <v>25772</v>
      </c>
      <c r="H177" s="94" t="str">
        <f>IF(G177&lt;&gt;"",IF(C177="float32",FLOAT2HEX(G177),DEC2HEX(G177,8)),"")</f>
        <v>000064AC</v>
      </c>
      <c r="I177" s="94">
        <f t="shared" si="7"/>
        <v>25772</v>
      </c>
    </row>
    <row r="178" spans="1:9">
      <c r="A178" s="96">
        <f>IF(I178&lt;&gt;"",MAX(A$1:A177)+1,"")</f>
        <v>171</v>
      </c>
      <c r="B178" s="97" t="s">
        <v>2310</v>
      </c>
      <c r="C178" s="103" t="s">
        <v>57</v>
      </c>
      <c r="D178" s="103">
        <f t="shared" si="6"/>
        <v>4</v>
      </c>
      <c r="E178" s="89" t="s">
        <v>2793</v>
      </c>
      <c r="G178" s="103">
        <f>ROUND((32768/BASE_FLUX) * MTPVFlux_57,0)</f>
        <v>9801</v>
      </c>
      <c r="H178" s="94" t="str">
        <f>IF(G178&lt;&gt;"",IF(C178="float32",FLOAT2HEX(G178),DEC2HEX(G178,8)),"")</f>
        <v>00002649</v>
      </c>
      <c r="I178" s="94">
        <f t="shared" si="7"/>
        <v>9801</v>
      </c>
    </row>
    <row r="179" spans="1:9">
      <c r="A179" s="96">
        <f>IF(I179&lt;&gt;"",MAX(A$1:A178)+1,"")</f>
        <v>172</v>
      </c>
      <c r="B179" s="74" t="s">
        <v>2311</v>
      </c>
      <c r="C179" s="103" t="s">
        <v>57</v>
      </c>
      <c r="D179" s="103">
        <f t="shared" si="6"/>
        <v>4</v>
      </c>
      <c r="E179" s="89" t="s">
        <v>2794</v>
      </c>
      <c r="G179" s="103">
        <f>ROUND((32768/BASE_TORQ) * MTPVTorque_57,0)</f>
        <v>3794</v>
      </c>
      <c r="H179" s="94" t="str">
        <f>IF(G179&lt;&gt;"",IF(C179="float32",FLOAT2HEX(G179),DEC2HEX(G179,8)),"")</f>
        <v>00000ED2</v>
      </c>
      <c r="I179" s="94">
        <f t="shared" si="7"/>
        <v>3794</v>
      </c>
    </row>
    <row r="180" spans="1:9">
      <c r="A180" s="96">
        <f>IF(I180&lt;&gt;"",MAX(A$1:A179)+1,"")</f>
        <v>173</v>
      </c>
      <c r="B180" s="97" t="s">
        <v>2312</v>
      </c>
      <c r="C180" s="103" t="s">
        <v>57</v>
      </c>
      <c r="D180" s="103">
        <f t="shared" si="6"/>
        <v>4</v>
      </c>
      <c r="E180" s="89" t="s">
        <v>2795</v>
      </c>
      <c r="G180" s="103">
        <f>ROUND((32768/BASE_ANGLE) * MTPVAngle_57,0)</f>
        <v>25945</v>
      </c>
      <c r="H180" s="94" t="str">
        <f>IF(G180&lt;&gt;"",IF(C180="float32",FLOAT2HEX(G180),DEC2HEX(G180,8)),"")</f>
        <v>00006559</v>
      </c>
      <c r="I180" s="94">
        <f t="shared" si="7"/>
        <v>25945</v>
      </c>
    </row>
    <row r="181" spans="1:9">
      <c r="A181" s="96">
        <f>IF(I181&lt;&gt;"",MAX(A$1:A180)+1,"")</f>
        <v>174</v>
      </c>
      <c r="B181" s="97" t="s">
        <v>2313</v>
      </c>
      <c r="C181" s="103" t="s">
        <v>57</v>
      </c>
      <c r="D181" s="103">
        <f t="shared" si="6"/>
        <v>4</v>
      </c>
      <c r="E181" s="89" t="s">
        <v>2796</v>
      </c>
      <c r="G181" s="103">
        <f>ROUND((32768/BASE_FLUX) * MTPVFlux_58,0)</f>
        <v>9947</v>
      </c>
      <c r="H181" s="94" t="str">
        <f>IF(G181&lt;&gt;"",IF(C181="float32",FLOAT2HEX(G181),DEC2HEX(G181,8)),"")</f>
        <v>000026DB</v>
      </c>
      <c r="I181" s="94">
        <f t="shared" si="7"/>
        <v>9947</v>
      </c>
    </row>
    <row r="182" spans="1:9">
      <c r="A182" s="96">
        <f>IF(I182&lt;&gt;"",MAX(A$1:A181)+1,"")</f>
        <v>175</v>
      </c>
      <c r="B182" s="74" t="s">
        <v>2314</v>
      </c>
      <c r="C182" s="103" t="s">
        <v>57</v>
      </c>
      <c r="D182" s="103">
        <f t="shared" si="6"/>
        <v>4</v>
      </c>
      <c r="E182" s="89" t="s">
        <v>2797</v>
      </c>
      <c r="G182" s="103">
        <f>ROUND((32768/BASE_TORQ) * MTPVTorque_58,0)</f>
        <v>3903</v>
      </c>
      <c r="H182" s="94" t="str">
        <f>IF(G182&lt;&gt;"",IF(C182="float32",FLOAT2HEX(G182),DEC2HEX(G182,8)),"")</f>
        <v>00000F3F</v>
      </c>
      <c r="I182" s="94">
        <f t="shared" si="7"/>
        <v>3903</v>
      </c>
    </row>
    <row r="183" spans="1:9">
      <c r="A183" s="96">
        <f>IF(I183&lt;&gt;"",MAX(A$1:A182)+1,"")</f>
        <v>176</v>
      </c>
      <c r="B183" s="97" t="s">
        <v>2315</v>
      </c>
      <c r="C183" s="103" t="s">
        <v>57</v>
      </c>
      <c r="D183" s="103">
        <f t="shared" si="6"/>
        <v>4</v>
      </c>
      <c r="E183" s="89" t="s">
        <v>2798</v>
      </c>
      <c r="G183" s="103">
        <f>ROUND((32768/BASE_ANGLE) * MTPVAngle_58,0)</f>
        <v>26108</v>
      </c>
      <c r="H183" s="94" t="str">
        <f>IF(G183&lt;&gt;"",IF(C183="float32",FLOAT2HEX(G183),DEC2HEX(G183,8)),"")</f>
        <v>000065FC</v>
      </c>
      <c r="I183" s="94">
        <f t="shared" si="7"/>
        <v>26108</v>
      </c>
    </row>
    <row r="184" spans="1:9">
      <c r="A184" s="96">
        <f>IF(I184&lt;&gt;"",MAX(A$1:A183)+1,"")</f>
        <v>177</v>
      </c>
      <c r="B184" s="97" t="s">
        <v>2316</v>
      </c>
      <c r="C184" s="103" t="s">
        <v>57</v>
      </c>
      <c r="D184" s="103">
        <f t="shared" si="6"/>
        <v>4</v>
      </c>
      <c r="E184" s="89" t="s">
        <v>2799</v>
      </c>
      <c r="G184" s="103">
        <f>ROUND((32768/BASE_FLUX) * MTPVFlux_59,0)</f>
        <v>10104</v>
      </c>
      <c r="H184" s="94" t="str">
        <f>IF(G184&lt;&gt;"",IF(C184="float32",FLOAT2HEX(G184),DEC2HEX(G184,8)),"")</f>
        <v>00002778</v>
      </c>
      <c r="I184" s="94">
        <f t="shared" si="7"/>
        <v>10104</v>
      </c>
    </row>
    <row r="185" spans="1:9">
      <c r="A185" s="96">
        <f>IF(I185&lt;&gt;"",MAX(A$1:A184)+1,"")</f>
        <v>178</v>
      </c>
      <c r="B185" s="74" t="s">
        <v>2317</v>
      </c>
      <c r="C185" s="103" t="s">
        <v>57</v>
      </c>
      <c r="D185" s="103">
        <f t="shared" si="6"/>
        <v>4</v>
      </c>
      <c r="E185" s="89" t="s">
        <v>2800</v>
      </c>
      <c r="G185" s="103">
        <f>ROUND((32768/BASE_TORQ) * MTPVTorque_59,0)</f>
        <v>4009</v>
      </c>
      <c r="H185" s="94" t="str">
        <f>IF(G185&lt;&gt;"",IF(C185="float32",FLOAT2HEX(G185),DEC2HEX(G185,8)),"")</f>
        <v>00000FA9</v>
      </c>
      <c r="I185" s="94">
        <f t="shared" si="7"/>
        <v>4009</v>
      </c>
    </row>
    <row r="186" spans="1:9">
      <c r="A186" s="96">
        <f>IF(I186&lt;&gt;"",MAX(A$1:A185)+1,"")</f>
        <v>179</v>
      </c>
      <c r="B186" s="97" t="s">
        <v>2318</v>
      </c>
      <c r="C186" s="103" t="s">
        <v>57</v>
      </c>
      <c r="D186" s="103">
        <f t="shared" si="6"/>
        <v>4</v>
      </c>
      <c r="E186" s="89" t="s">
        <v>2801</v>
      </c>
      <c r="G186" s="103">
        <f>ROUND((32768/BASE_ANGLE) * MTPVAngle_59,0)</f>
        <v>26261</v>
      </c>
      <c r="H186" s="94" t="str">
        <f>IF(G186&lt;&gt;"",IF(C186="float32",FLOAT2HEX(G186),DEC2HEX(G186,8)),"")</f>
        <v>00006695</v>
      </c>
      <c r="I186" s="94">
        <f t="shared" si="7"/>
        <v>26261</v>
      </c>
    </row>
    <row r="187" spans="1:9">
      <c r="A187" s="96">
        <f>IF(I187&lt;&gt;"",MAX(A$1:A186)+1,"")</f>
        <v>180</v>
      </c>
      <c r="B187" s="97" t="s">
        <v>2319</v>
      </c>
      <c r="C187" s="103" t="s">
        <v>57</v>
      </c>
      <c r="D187" s="103">
        <f t="shared" si="6"/>
        <v>4</v>
      </c>
      <c r="E187" s="89" t="s">
        <v>2802</v>
      </c>
      <c r="G187" s="103">
        <f>ROUND((32768/BASE_FLUX) * MTPVFlux_60,0)</f>
        <v>10249</v>
      </c>
      <c r="H187" s="94" t="str">
        <f>IF(G187&lt;&gt;"",IF(C187="float32",FLOAT2HEX(G187),DEC2HEX(G187,8)),"")</f>
        <v>00002809</v>
      </c>
      <c r="I187" s="94">
        <f t="shared" si="7"/>
        <v>10249</v>
      </c>
    </row>
    <row r="188" spans="1:9">
      <c r="A188" s="96">
        <f>IF(I188&lt;&gt;"",MAX(A$1:A187)+1,"")</f>
        <v>181</v>
      </c>
      <c r="B188" s="74" t="s">
        <v>2320</v>
      </c>
      <c r="C188" s="103" t="s">
        <v>57</v>
      </c>
      <c r="D188" s="103">
        <f t="shared" si="6"/>
        <v>4</v>
      </c>
      <c r="E188" s="89" t="s">
        <v>2803</v>
      </c>
      <c r="G188" s="103">
        <f>ROUND((32768/BASE_TORQ) * MTPVTorque_60,0)</f>
        <v>4112</v>
      </c>
      <c r="H188" s="94" t="str">
        <f>IF(G188&lt;&gt;"",IF(C188="float32",FLOAT2HEX(G188),DEC2HEX(G188,8)),"")</f>
        <v>00001010</v>
      </c>
      <c r="I188" s="94">
        <f t="shared" si="7"/>
        <v>4112</v>
      </c>
    </row>
    <row r="189" spans="1:9">
      <c r="A189" s="96">
        <f>IF(I189&lt;&gt;"",MAX(A$1:A188)+1,"")</f>
        <v>182</v>
      </c>
      <c r="B189" s="97" t="s">
        <v>2321</v>
      </c>
      <c r="C189" s="103" t="s">
        <v>57</v>
      </c>
      <c r="D189" s="103">
        <f t="shared" si="6"/>
        <v>4</v>
      </c>
      <c r="E189" s="89" t="s">
        <v>2804</v>
      </c>
      <c r="G189" s="103">
        <f>ROUND((32768/BASE_ANGLE) * MTPVAngle_60,0)</f>
        <v>26406</v>
      </c>
      <c r="H189" s="94" t="str">
        <f>IF(G189&lt;&gt;"",IF(C189="float32",FLOAT2HEX(G189),DEC2HEX(G189,8)),"")</f>
        <v>00006726</v>
      </c>
      <c r="I189" s="94">
        <f t="shared" si="7"/>
        <v>26406</v>
      </c>
    </row>
    <row r="190" spans="1:9">
      <c r="A190" s="96">
        <f>IF(I190&lt;&gt;"",MAX(A$1:A189)+1,"")</f>
        <v>183</v>
      </c>
      <c r="B190" s="97" t="s">
        <v>2322</v>
      </c>
      <c r="C190" s="103" t="s">
        <v>57</v>
      </c>
      <c r="D190" s="103">
        <f t="shared" si="6"/>
        <v>4</v>
      </c>
      <c r="E190" s="89" t="s">
        <v>2805</v>
      </c>
      <c r="G190" s="103">
        <f>ROUND((32768/BASE_FLUX) * MTPVFlux_61,0)</f>
        <v>10394</v>
      </c>
      <c r="H190" s="94" t="str">
        <f>IF(G190&lt;&gt;"",IF(C190="float32",FLOAT2HEX(G190),DEC2HEX(G190,8)),"")</f>
        <v>0000289A</v>
      </c>
      <c r="I190" s="94">
        <f t="shared" si="7"/>
        <v>10394</v>
      </c>
    </row>
    <row r="191" spans="1:9">
      <c r="A191" s="96">
        <f>IF(I191&lt;&gt;"",MAX(A$1:A190)+1,"")</f>
        <v>184</v>
      </c>
      <c r="B191" s="74" t="s">
        <v>2323</v>
      </c>
      <c r="C191" s="103" t="s">
        <v>57</v>
      </c>
      <c r="D191" s="103">
        <f t="shared" si="6"/>
        <v>4</v>
      </c>
      <c r="E191" s="89" t="s">
        <v>2806</v>
      </c>
      <c r="G191" s="103">
        <f>ROUND((32768/BASE_TORQ) * MTPVTorque_61,0)</f>
        <v>4213</v>
      </c>
      <c r="H191" s="94" t="str">
        <f>IF(G191&lt;&gt;"",IF(C191="float32",FLOAT2HEX(G191),DEC2HEX(G191,8)),"")</f>
        <v>00001075</v>
      </c>
      <c r="I191" s="94">
        <f t="shared" si="7"/>
        <v>4213</v>
      </c>
    </row>
    <row r="192" spans="1:9">
      <c r="A192" s="96">
        <f>IF(I192&lt;&gt;"",MAX(A$1:A191)+1,"")</f>
        <v>185</v>
      </c>
      <c r="B192" s="97" t="s">
        <v>2324</v>
      </c>
      <c r="C192" s="103" t="s">
        <v>57</v>
      </c>
      <c r="D192" s="103">
        <f t="shared" si="6"/>
        <v>4</v>
      </c>
      <c r="E192" s="89" t="s">
        <v>2807</v>
      </c>
      <c r="G192" s="103">
        <f>ROUND((32768/BASE_ANGLE) * MTPVAngle_61,0)</f>
        <v>26542</v>
      </c>
      <c r="H192" s="94" t="str">
        <f>IF(G192&lt;&gt;"",IF(C192="float32",FLOAT2HEX(G192),DEC2HEX(G192,8)),"")</f>
        <v>000067AE</v>
      </c>
      <c r="I192" s="94">
        <f t="shared" si="7"/>
        <v>26542</v>
      </c>
    </row>
    <row r="193" spans="1:9">
      <c r="A193" s="96">
        <f>IF(I193&lt;&gt;"",MAX(A$1:A192)+1,"")</f>
        <v>186</v>
      </c>
      <c r="B193" s="97" t="s">
        <v>2325</v>
      </c>
      <c r="C193" s="103" t="s">
        <v>57</v>
      </c>
      <c r="D193" s="103">
        <f t="shared" si="6"/>
        <v>4</v>
      </c>
      <c r="E193" s="89" t="s">
        <v>2808</v>
      </c>
      <c r="G193" s="103">
        <f>ROUND((32768/BASE_FLUX) * MTPVFlux_62,0)</f>
        <v>10552</v>
      </c>
      <c r="H193" s="94" t="str">
        <f>IF(G193&lt;&gt;"",IF(C193="float32",FLOAT2HEX(G193),DEC2HEX(G193,8)),"")</f>
        <v>00002938</v>
      </c>
      <c r="I193" s="94">
        <f t="shared" si="7"/>
        <v>10552</v>
      </c>
    </row>
    <row r="194" spans="1:9">
      <c r="A194" s="96">
        <f>IF(I194&lt;&gt;"",MAX(A$1:A193)+1,"")</f>
        <v>187</v>
      </c>
      <c r="B194" s="74" t="s">
        <v>2326</v>
      </c>
      <c r="C194" s="103" t="s">
        <v>57</v>
      </c>
      <c r="D194" s="103">
        <f t="shared" si="6"/>
        <v>4</v>
      </c>
      <c r="E194" s="89" t="s">
        <v>2809</v>
      </c>
      <c r="G194" s="103">
        <f>ROUND((32768/BASE_TORQ) * MTPVTorque_62,0)</f>
        <v>4312</v>
      </c>
      <c r="H194" s="94" t="str">
        <f>IF(G194&lt;&gt;"",IF(C194="float32",FLOAT2HEX(G194),DEC2HEX(G194,8)),"")</f>
        <v>000010D8</v>
      </c>
      <c r="I194" s="94">
        <f t="shared" si="7"/>
        <v>4312</v>
      </c>
    </row>
    <row r="195" spans="1:9">
      <c r="A195" s="96">
        <f>IF(I195&lt;&gt;"",MAX(A$1:A194)+1,"")</f>
        <v>188</v>
      </c>
      <c r="B195" s="97" t="s">
        <v>2327</v>
      </c>
      <c r="C195" s="103" t="s">
        <v>57</v>
      </c>
      <c r="D195" s="103">
        <f t="shared" si="6"/>
        <v>4</v>
      </c>
      <c r="E195" s="89" t="s">
        <v>2810</v>
      </c>
      <c r="G195" s="103">
        <f>ROUND((32768/BASE_ANGLE) * MTPVAngle_62,0)</f>
        <v>26669</v>
      </c>
      <c r="H195" s="94" t="str">
        <f>IF(G195&lt;&gt;"",IF(C195="float32",FLOAT2HEX(G195),DEC2HEX(G195,8)),"")</f>
        <v>0000682D</v>
      </c>
      <c r="I195" s="94">
        <f t="shared" si="7"/>
        <v>26669</v>
      </c>
    </row>
    <row r="196" spans="1:9">
      <c r="A196" s="96">
        <f>IF(I196&lt;&gt;"",MAX(A$1:A195)+1,"")</f>
        <v>189</v>
      </c>
      <c r="B196" s="97" t="s">
        <v>2328</v>
      </c>
      <c r="C196" s="103" t="s">
        <v>57</v>
      </c>
      <c r="D196" s="103">
        <f t="shared" si="6"/>
        <v>4</v>
      </c>
      <c r="E196" s="89" t="s">
        <v>2811</v>
      </c>
      <c r="G196" s="103">
        <f>ROUND((32768/BASE_FLUX) * MTPVFlux_63,0)</f>
        <v>10697</v>
      </c>
      <c r="H196" s="94" t="str">
        <f>IF(G196&lt;&gt;"",IF(C196="float32",FLOAT2HEX(G196),DEC2HEX(G196,8)),"")</f>
        <v>000029C9</v>
      </c>
      <c r="I196" s="94">
        <f t="shared" si="7"/>
        <v>10697</v>
      </c>
    </row>
    <row r="197" spans="1:9">
      <c r="A197" s="96">
        <f>IF(I197&lt;&gt;"",MAX(A$1:A196)+1,"")</f>
        <v>190</v>
      </c>
      <c r="B197" s="74" t="s">
        <v>2329</v>
      </c>
      <c r="C197" s="103" t="s">
        <v>57</v>
      </c>
      <c r="D197" s="103">
        <f t="shared" si="6"/>
        <v>4</v>
      </c>
      <c r="E197" s="89" t="s">
        <v>2812</v>
      </c>
      <c r="G197" s="103">
        <f>ROUND((32768/BASE_TORQ) * MTPVTorque_63,0)</f>
        <v>4408</v>
      </c>
      <c r="H197" s="94" t="str">
        <f>IF(G197&lt;&gt;"",IF(C197="float32",FLOAT2HEX(G197),DEC2HEX(G197,8)),"")</f>
        <v>00001138</v>
      </c>
      <c r="I197" s="94">
        <f t="shared" si="7"/>
        <v>4408</v>
      </c>
    </row>
    <row r="198" spans="1:9">
      <c r="A198" s="96">
        <f>IF(I198&lt;&gt;"",MAX(A$1:A197)+1,"")</f>
        <v>191</v>
      </c>
      <c r="B198" s="97" t="s">
        <v>2330</v>
      </c>
      <c r="C198" s="103" t="s">
        <v>57</v>
      </c>
      <c r="D198" s="103">
        <f t="shared" si="6"/>
        <v>4</v>
      </c>
      <c r="E198" s="89" t="s">
        <v>2813</v>
      </c>
      <c r="G198" s="103">
        <f>ROUND((32768/BASE_ANGLE) * MTPVAngle_63,0)</f>
        <v>26789</v>
      </c>
      <c r="H198" s="94" t="str">
        <f>IF(G198&lt;&gt;"",IF(C198="float32",FLOAT2HEX(G198),DEC2HEX(G198,8)),"")</f>
        <v>000068A5</v>
      </c>
      <c r="I198" s="94">
        <f t="shared" si="7"/>
        <v>26789</v>
      </c>
    </row>
    <row r="199" spans="1:9">
      <c r="A199" s="96">
        <f>IF(I199&lt;&gt;"",MAX(A$1:A198)+1,"")</f>
        <v>192</v>
      </c>
      <c r="B199" s="97" t="s">
        <v>2331</v>
      </c>
      <c r="C199" s="103" t="s">
        <v>57</v>
      </c>
      <c r="D199" s="103">
        <f t="shared" si="6"/>
        <v>4</v>
      </c>
      <c r="E199" s="89" t="s">
        <v>2814</v>
      </c>
      <c r="G199" s="103">
        <f>ROUND((32768/BASE_FLUX) * MTPVFlux_64,0)</f>
        <v>10854</v>
      </c>
      <c r="H199" s="94" t="str">
        <f>IF(G199&lt;&gt;"",IF(C199="float32",FLOAT2HEX(G199),DEC2HEX(G199,8)),"")</f>
        <v>00002A66</v>
      </c>
      <c r="I199" s="94">
        <f t="shared" si="7"/>
        <v>10854</v>
      </c>
    </row>
    <row r="200" spans="1:9">
      <c r="A200" s="96">
        <f>IF(I200&lt;&gt;"",MAX(A$1:A199)+1,"")</f>
        <v>193</v>
      </c>
      <c r="B200" s="74" t="s">
        <v>2332</v>
      </c>
      <c r="C200" s="103" t="s">
        <v>57</v>
      </c>
      <c r="D200" s="103">
        <f t="shared" si="6"/>
        <v>4</v>
      </c>
      <c r="E200" s="89" t="s">
        <v>2815</v>
      </c>
      <c r="G200" s="103">
        <f>ROUND((32768/BASE_TORQ) * MTPVTorque_64,0)</f>
        <v>4503</v>
      </c>
      <c r="H200" s="94" t="str">
        <f>IF(G200&lt;&gt;"",IF(C200="float32",FLOAT2HEX(G200),DEC2HEX(G200,8)),"")</f>
        <v>00001197</v>
      </c>
      <c r="I200" s="94">
        <f t="shared" si="7"/>
        <v>4503</v>
      </c>
    </row>
    <row r="201" spans="1:9">
      <c r="A201" s="96">
        <f>IF(I201&lt;&gt;"",MAX(A$1:A200)+1,"")</f>
        <v>194</v>
      </c>
      <c r="B201" s="97" t="s">
        <v>2333</v>
      </c>
      <c r="C201" s="103" t="s">
        <v>57</v>
      </c>
      <c r="D201" s="103">
        <f t="shared" si="6"/>
        <v>4</v>
      </c>
      <c r="E201" s="89" t="s">
        <v>2816</v>
      </c>
      <c r="G201" s="103">
        <f>ROUND((32768/BASE_ANGLE) * MTPVAngle_64,0)</f>
        <v>26902</v>
      </c>
      <c r="H201" s="94" t="str">
        <f>IF(G201&lt;&gt;"",IF(C201="float32",FLOAT2HEX(G201),DEC2HEX(G201,8)),"")</f>
        <v>00006916</v>
      </c>
      <c r="I201" s="94">
        <f t="shared" si="7"/>
        <v>26902</v>
      </c>
    </row>
    <row r="202" spans="1:9">
      <c r="A202" s="96">
        <f>IF(I202&lt;&gt;"",MAX(A$1:A201)+1,"")</f>
        <v>195</v>
      </c>
      <c r="B202" s="97" t="s">
        <v>2334</v>
      </c>
      <c r="C202" s="103" t="s">
        <v>57</v>
      </c>
      <c r="D202" s="103">
        <f t="shared" si="6"/>
        <v>4</v>
      </c>
      <c r="E202" s="89" t="s">
        <v>2817</v>
      </c>
      <c r="G202" s="103">
        <f>ROUND((32768/BASE_FLUX) * MTPVFlux_65,0)</f>
        <v>10999</v>
      </c>
      <c r="H202" s="94" t="str">
        <f>IF(G202&lt;&gt;"",IF(C202="float32",FLOAT2HEX(G202),DEC2HEX(G202,8)),"")</f>
        <v>00002AF7</v>
      </c>
      <c r="I202" s="94">
        <f t="shared" si="7"/>
        <v>10999</v>
      </c>
    </row>
    <row r="203" spans="1:9">
      <c r="A203" s="96">
        <f>IF(I203&lt;&gt;"",MAX(A$1:A202)+1,"")</f>
        <v>196</v>
      </c>
      <c r="B203" s="74" t="s">
        <v>2335</v>
      </c>
      <c r="C203" s="103" t="s">
        <v>57</v>
      </c>
      <c r="D203" s="103">
        <f t="shared" si="6"/>
        <v>4</v>
      </c>
      <c r="E203" s="89" t="s">
        <v>2818</v>
      </c>
      <c r="G203" s="103">
        <f>ROUND((32768/BASE_TORQ) * MTPVTorque_65,0)</f>
        <v>4595</v>
      </c>
      <c r="H203" s="94" t="str">
        <f>IF(G203&lt;&gt;"",IF(C203="float32",FLOAT2HEX(G203),DEC2HEX(G203,8)),"")</f>
        <v>000011F3</v>
      </c>
      <c r="I203" s="94">
        <f t="shared" si="7"/>
        <v>4595</v>
      </c>
    </row>
    <row r="204" spans="1:9">
      <c r="A204" s="96">
        <f>IF(I204&lt;&gt;"",MAX(A$1:A203)+1,"")</f>
        <v>197</v>
      </c>
      <c r="B204" s="97" t="s">
        <v>2336</v>
      </c>
      <c r="C204" s="103" t="s">
        <v>57</v>
      </c>
      <c r="D204" s="103">
        <f t="shared" si="6"/>
        <v>4</v>
      </c>
      <c r="E204" s="89" t="s">
        <v>2819</v>
      </c>
      <c r="G204" s="103">
        <f>ROUND((32768/BASE_ANGLE) * MTPVAngle_65,0)</f>
        <v>27007</v>
      </c>
      <c r="H204" s="94" t="str">
        <f>IF(G204&lt;&gt;"",IF(C204="float32",FLOAT2HEX(G204),DEC2HEX(G204,8)),"")</f>
        <v>0000697F</v>
      </c>
      <c r="I204" s="94">
        <f t="shared" si="7"/>
        <v>27007</v>
      </c>
    </row>
    <row r="205" spans="1:9">
      <c r="A205" s="96">
        <f>IF(I205&lt;&gt;"",MAX(A$1:A204)+1,"")</f>
        <v>198</v>
      </c>
      <c r="B205" s="97" t="s">
        <v>2337</v>
      </c>
      <c r="C205" s="103" t="s">
        <v>57</v>
      </c>
      <c r="D205" s="103">
        <f t="shared" si="6"/>
        <v>4</v>
      </c>
      <c r="E205" s="89" t="s">
        <v>2820</v>
      </c>
      <c r="G205" s="103">
        <f>ROUND((32768/BASE_FLUX) * MTPVFlux_66,0)</f>
        <v>11157</v>
      </c>
      <c r="H205" s="94" t="str">
        <f>IF(G205&lt;&gt;"",IF(C205="float32",FLOAT2HEX(G205),DEC2HEX(G205,8)),"")</f>
        <v>00002B95</v>
      </c>
      <c r="I205" s="94">
        <f t="shared" si="7"/>
        <v>11157</v>
      </c>
    </row>
    <row r="206" spans="1:9">
      <c r="A206" s="96">
        <f>IF(I206&lt;&gt;"",MAX(A$1:A205)+1,"")</f>
        <v>199</v>
      </c>
      <c r="B206" s="74" t="s">
        <v>2338</v>
      </c>
      <c r="C206" s="103" t="s">
        <v>57</v>
      </c>
      <c r="D206" s="103">
        <f t="shared" si="6"/>
        <v>4</v>
      </c>
      <c r="E206" s="89" t="s">
        <v>2821</v>
      </c>
      <c r="G206" s="103">
        <f>ROUND((32768/BASE_TORQ) * MTPVTorque_66,0)</f>
        <v>4685</v>
      </c>
      <c r="H206" s="94" t="str">
        <f>IF(G206&lt;&gt;"",IF(C206="float32",FLOAT2HEX(G206),DEC2HEX(G206,8)),"")</f>
        <v>0000124D</v>
      </c>
      <c r="I206" s="94">
        <f t="shared" si="7"/>
        <v>4685</v>
      </c>
    </row>
    <row r="207" spans="1:9">
      <c r="A207" s="96">
        <f>IF(I207&lt;&gt;"",MAX(A$1:A206)+1,"")</f>
        <v>200</v>
      </c>
      <c r="B207" s="97" t="s">
        <v>2339</v>
      </c>
      <c r="C207" s="103" t="s">
        <v>57</v>
      </c>
      <c r="D207" s="103">
        <f t="shared" si="6"/>
        <v>4</v>
      </c>
      <c r="E207" s="89" t="s">
        <v>2822</v>
      </c>
      <c r="G207" s="103">
        <f>ROUND((32768/BASE_ANGLE) * MTPVAngle_66,0)</f>
        <v>27105</v>
      </c>
      <c r="H207" s="94" t="str">
        <f>IF(G207&lt;&gt;"",IF(C207="float32",FLOAT2HEX(G207),DEC2HEX(G207,8)),"")</f>
        <v>000069E1</v>
      </c>
      <c r="I207" s="94">
        <f t="shared" si="7"/>
        <v>27105</v>
      </c>
    </row>
    <row r="208" spans="1:9">
      <c r="A208" s="96">
        <f>IF(I208&lt;&gt;"",MAX(A$1:A207)+1,"")</f>
        <v>201</v>
      </c>
      <c r="B208" s="97" t="s">
        <v>2340</v>
      </c>
      <c r="C208" s="103" t="s">
        <v>57</v>
      </c>
      <c r="D208" s="103">
        <f t="shared" si="6"/>
        <v>4</v>
      </c>
      <c r="E208" s="89" t="s">
        <v>2823</v>
      </c>
      <c r="G208" s="103">
        <f>ROUND((32768/BASE_FLUX) * MTPVFlux_67,0)</f>
        <v>11302</v>
      </c>
      <c r="H208" s="94" t="str">
        <f>IF(G208&lt;&gt;"",IF(C208="float32",FLOAT2HEX(G208),DEC2HEX(G208,8)),"")</f>
        <v>00002C26</v>
      </c>
      <c r="I208" s="94">
        <f t="shared" si="7"/>
        <v>11302</v>
      </c>
    </row>
    <row r="209" spans="1:9">
      <c r="A209" s="96">
        <f>IF(I209&lt;&gt;"",MAX(A$1:A208)+1,"")</f>
        <v>202</v>
      </c>
      <c r="B209" s="74" t="s">
        <v>2341</v>
      </c>
      <c r="C209" s="103" t="s">
        <v>57</v>
      </c>
      <c r="D209" s="103">
        <f t="shared" si="6"/>
        <v>4</v>
      </c>
      <c r="E209" s="89" t="s">
        <v>2824</v>
      </c>
      <c r="G209" s="103">
        <f>ROUND((32768/BASE_TORQ) * MTPVTorque_67,0)</f>
        <v>4774</v>
      </c>
      <c r="H209" s="94" t="str">
        <f>IF(G209&lt;&gt;"",IF(C209="float32",FLOAT2HEX(G209),DEC2HEX(G209,8)),"")</f>
        <v>000012A6</v>
      </c>
      <c r="I209" s="94">
        <f t="shared" si="7"/>
        <v>4774</v>
      </c>
    </row>
    <row r="210" spans="1:9">
      <c r="A210" s="96">
        <f>IF(I210&lt;&gt;"",MAX(A$1:A209)+1,"")</f>
        <v>203</v>
      </c>
      <c r="B210" s="97" t="s">
        <v>2342</v>
      </c>
      <c r="C210" s="103" t="s">
        <v>57</v>
      </c>
      <c r="D210" s="103">
        <f t="shared" si="6"/>
        <v>4</v>
      </c>
      <c r="E210" s="89" t="s">
        <v>2825</v>
      </c>
      <c r="G210" s="103">
        <f>ROUND((32768/BASE_ANGLE) * MTPVAngle_67,0)</f>
        <v>27197</v>
      </c>
      <c r="H210" s="94" t="str">
        <f>IF(G210&lt;&gt;"",IF(C210="float32",FLOAT2HEX(G210),DEC2HEX(G210,8)),"")</f>
        <v>00006A3D</v>
      </c>
      <c r="I210" s="94">
        <f t="shared" si="7"/>
        <v>27197</v>
      </c>
    </row>
    <row r="211" spans="1:9">
      <c r="A211" s="96">
        <f>IF(I211&lt;&gt;"",MAX(A$1:A210)+1,"")</f>
        <v>204</v>
      </c>
      <c r="B211" s="97" t="s">
        <v>2343</v>
      </c>
      <c r="C211" s="103" t="s">
        <v>57</v>
      </c>
      <c r="D211" s="103">
        <f t="shared" si="6"/>
        <v>4</v>
      </c>
      <c r="E211" s="89" t="s">
        <v>2826</v>
      </c>
      <c r="G211" s="103">
        <f>ROUND((32768/BASE_FLUX) * MTPVFlux_68,0)</f>
        <v>11459</v>
      </c>
      <c r="H211" s="94" t="str">
        <f>IF(G211&lt;&gt;"",IF(C211="float32",FLOAT2HEX(G211),DEC2HEX(G211,8)),"")</f>
        <v>00002CC3</v>
      </c>
      <c r="I211" s="94">
        <f t="shared" si="7"/>
        <v>11459</v>
      </c>
    </row>
    <row r="212" spans="1:9">
      <c r="A212" s="96">
        <f>IF(I212&lt;&gt;"",MAX(A$1:A211)+1,"")</f>
        <v>205</v>
      </c>
      <c r="B212" s="74" t="s">
        <v>2344</v>
      </c>
      <c r="C212" s="103" t="s">
        <v>57</v>
      </c>
      <c r="D212" s="103">
        <f t="shared" si="6"/>
        <v>4</v>
      </c>
      <c r="E212" s="89" t="s">
        <v>2827</v>
      </c>
      <c r="G212" s="103">
        <f>ROUND((32768/BASE_TORQ) * MTPVTorque_68,0)</f>
        <v>4860</v>
      </c>
      <c r="H212" s="94" t="str">
        <f>IF(G212&lt;&gt;"",IF(C212="float32",FLOAT2HEX(G212),DEC2HEX(G212,8)),"")</f>
        <v>000012FC</v>
      </c>
      <c r="I212" s="94">
        <f t="shared" si="7"/>
        <v>4860</v>
      </c>
    </row>
    <row r="213" spans="1:9">
      <c r="A213" s="96">
        <f>IF(I213&lt;&gt;"",MAX(A$1:A212)+1,"")</f>
        <v>206</v>
      </c>
      <c r="B213" s="97" t="s">
        <v>2345</v>
      </c>
      <c r="C213" s="103" t="s">
        <v>57</v>
      </c>
      <c r="D213" s="103">
        <f t="shared" si="6"/>
        <v>4</v>
      </c>
      <c r="E213" s="89" t="s">
        <v>2828</v>
      </c>
      <c r="G213" s="103">
        <f>ROUND((32768/BASE_ANGLE) * MTPVAngle_68,0)</f>
        <v>27281</v>
      </c>
      <c r="H213" s="94" t="str">
        <f>IF(G213&lt;&gt;"",IF(C213="float32",FLOAT2HEX(G213),DEC2HEX(G213,8)),"")</f>
        <v>00006A91</v>
      </c>
      <c r="I213" s="94">
        <f t="shared" si="7"/>
        <v>27281</v>
      </c>
    </row>
    <row r="214" spans="1:9">
      <c r="A214" s="96">
        <f>IF(I214&lt;&gt;"",MAX(A$1:A213)+1,"")</f>
        <v>207</v>
      </c>
      <c r="B214" s="97" t="s">
        <v>2346</v>
      </c>
      <c r="C214" s="103" t="s">
        <v>57</v>
      </c>
      <c r="D214" s="103">
        <f t="shared" si="6"/>
        <v>4</v>
      </c>
      <c r="E214" s="89" t="s">
        <v>2829</v>
      </c>
      <c r="G214" s="103">
        <f>ROUND((32768/BASE_FLUX) * MTPVFlux_69,0)</f>
        <v>11604</v>
      </c>
      <c r="H214" s="94" t="str">
        <f>IF(G214&lt;&gt;"",IF(C214="float32",FLOAT2HEX(G214),DEC2HEX(G214,8)),"")</f>
        <v>00002D54</v>
      </c>
      <c r="I214" s="94">
        <f t="shared" si="7"/>
        <v>11604</v>
      </c>
    </row>
    <row r="215" spans="1:9">
      <c r="A215" s="96">
        <f>IF(I215&lt;&gt;"",MAX(A$1:A214)+1,"")</f>
        <v>208</v>
      </c>
      <c r="B215" s="74" t="s">
        <v>2347</v>
      </c>
      <c r="C215" s="103" t="s">
        <v>57</v>
      </c>
      <c r="D215" s="103">
        <f t="shared" si="6"/>
        <v>4</v>
      </c>
      <c r="E215" s="89" t="s">
        <v>2830</v>
      </c>
      <c r="G215" s="103">
        <f>ROUND((32768/BASE_TORQ) * MTPVTorque_69,0)</f>
        <v>4945</v>
      </c>
      <c r="H215" s="94" t="str">
        <f>IF(G215&lt;&gt;"",IF(C215="float32",FLOAT2HEX(G215),DEC2HEX(G215,8)),"")</f>
        <v>00001351</v>
      </c>
      <c r="I215" s="94">
        <f t="shared" si="7"/>
        <v>4945</v>
      </c>
    </row>
    <row r="216" spans="1:9">
      <c r="A216" s="96">
        <f>IF(I216&lt;&gt;"",MAX(A$1:A215)+1,"")</f>
        <v>209</v>
      </c>
      <c r="B216" s="97" t="s">
        <v>2348</v>
      </c>
      <c r="C216" s="103" t="s">
        <v>57</v>
      </c>
      <c r="D216" s="103">
        <f t="shared" si="6"/>
        <v>4</v>
      </c>
      <c r="E216" s="89" t="s">
        <v>2831</v>
      </c>
      <c r="G216" s="103">
        <f>ROUND((32768/BASE_ANGLE) * MTPVAngle_69,0)</f>
        <v>27360</v>
      </c>
      <c r="H216" s="94" t="str">
        <f>IF(G216&lt;&gt;"",IF(C216="float32",FLOAT2HEX(G216),DEC2HEX(G216,8)),"")</f>
        <v>00006AE0</v>
      </c>
      <c r="I216" s="94">
        <f t="shared" si="7"/>
        <v>27360</v>
      </c>
    </row>
    <row r="217" spans="1:9">
      <c r="A217" s="96">
        <f>IF(I217&lt;&gt;"",MAX(A$1:A216)+1,"")</f>
        <v>210</v>
      </c>
      <c r="B217" s="97" t="s">
        <v>2349</v>
      </c>
      <c r="C217" s="103" t="s">
        <v>57</v>
      </c>
      <c r="D217" s="103">
        <f t="shared" si="6"/>
        <v>4</v>
      </c>
      <c r="E217" s="89" t="s">
        <v>2832</v>
      </c>
      <c r="G217" s="103">
        <f>ROUND((32768/BASE_FLUX) * MTPVFlux_70,0)</f>
        <v>11762</v>
      </c>
      <c r="H217" s="94" t="str">
        <f>IF(G217&lt;&gt;"",IF(C217="float32",FLOAT2HEX(G217),DEC2HEX(G217,8)),"")</f>
        <v>00002DF2</v>
      </c>
      <c r="I217" s="94">
        <f t="shared" si="7"/>
        <v>11762</v>
      </c>
    </row>
    <row r="218" spans="1:9">
      <c r="A218" s="96">
        <f>IF(I218&lt;&gt;"",MAX(A$1:A217)+1,"")</f>
        <v>211</v>
      </c>
      <c r="B218" s="74" t="s">
        <v>2350</v>
      </c>
      <c r="C218" s="103" t="s">
        <v>57</v>
      </c>
      <c r="D218" s="103">
        <f t="shared" si="6"/>
        <v>4</v>
      </c>
      <c r="E218" s="89" t="s">
        <v>2833</v>
      </c>
      <c r="G218" s="103">
        <f>ROUND((32768/BASE_TORQ) * MTPVTorque_70,0)</f>
        <v>5028</v>
      </c>
      <c r="H218" s="94" t="str">
        <f>IF(G218&lt;&gt;"",IF(C218="float32",FLOAT2HEX(G218),DEC2HEX(G218,8)),"")</f>
        <v>000013A4</v>
      </c>
      <c r="I218" s="94">
        <f t="shared" si="7"/>
        <v>5028</v>
      </c>
    </row>
    <row r="219" spans="1:9">
      <c r="A219" s="96">
        <f>IF(I219&lt;&gt;"",MAX(A$1:A218)+1,"")</f>
        <v>212</v>
      </c>
      <c r="B219" s="97" t="s">
        <v>2351</v>
      </c>
      <c r="C219" s="103" t="s">
        <v>57</v>
      </c>
      <c r="D219" s="103">
        <f t="shared" si="6"/>
        <v>4</v>
      </c>
      <c r="E219" s="89" t="s">
        <v>2834</v>
      </c>
      <c r="G219" s="103">
        <f>ROUND((32768/BASE_ANGLE) * MTPVAngle_70,0)</f>
        <v>27432</v>
      </c>
      <c r="H219" s="94" t="str">
        <f>IF(G219&lt;&gt;"",IF(C219="float32",FLOAT2HEX(G219),DEC2HEX(G219,8)),"")</f>
        <v>00006B28</v>
      </c>
      <c r="I219" s="94">
        <f t="shared" si="7"/>
        <v>27432</v>
      </c>
    </row>
    <row r="220" spans="1:9">
      <c r="A220" s="96">
        <f>IF(I220&lt;&gt;"",MAX(A$1:A219)+1,"")</f>
        <v>213</v>
      </c>
      <c r="B220" s="97" t="s">
        <v>2352</v>
      </c>
      <c r="C220" s="103" t="s">
        <v>57</v>
      </c>
      <c r="D220" s="103">
        <f t="shared" si="6"/>
        <v>4</v>
      </c>
      <c r="E220" s="89" t="s">
        <v>2835</v>
      </c>
      <c r="G220" s="103">
        <f>ROUND((32768/BASE_FLUX) * MTPVFlux_71,0)</f>
        <v>11907</v>
      </c>
      <c r="H220" s="94" t="str">
        <f>IF(G220&lt;&gt;"",IF(C220="float32",FLOAT2HEX(G220),DEC2HEX(G220,8)),"")</f>
        <v>00002E83</v>
      </c>
      <c r="I220" s="94">
        <f t="shared" si="7"/>
        <v>11907</v>
      </c>
    </row>
    <row r="221" spans="1:9">
      <c r="A221" s="96">
        <f>IF(I221&lt;&gt;"",MAX(A$1:A220)+1,"")</f>
        <v>214</v>
      </c>
      <c r="B221" s="74" t="s">
        <v>2353</v>
      </c>
      <c r="C221" s="103" t="s">
        <v>57</v>
      </c>
      <c r="D221" s="103">
        <f t="shared" si="6"/>
        <v>4</v>
      </c>
      <c r="E221" s="89" t="s">
        <v>2836</v>
      </c>
      <c r="G221" s="103">
        <f>ROUND((32768/BASE_TORQ) * MTPVTorque_71,0)</f>
        <v>5109</v>
      </c>
      <c r="H221" s="94" t="str">
        <f>IF(G221&lt;&gt;"",IF(C221="float32",FLOAT2HEX(G221),DEC2HEX(G221,8)),"")</f>
        <v>000013F5</v>
      </c>
      <c r="I221" s="94">
        <f t="shared" si="7"/>
        <v>5109</v>
      </c>
    </row>
    <row r="222" spans="1:9">
      <c r="A222" s="96">
        <f>IF(I222&lt;&gt;"",MAX(A$1:A221)+1,"")</f>
        <v>215</v>
      </c>
      <c r="B222" s="97" t="s">
        <v>2354</v>
      </c>
      <c r="C222" s="103" t="s">
        <v>57</v>
      </c>
      <c r="D222" s="103">
        <f t="shared" si="6"/>
        <v>4</v>
      </c>
      <c r="E222" s="89" t="s">
        <v>2837</v>
      </c>
      <c r="G222" s="103">
        <f>ROUND((32768/BASE_ANGLE) * MTPVAngle_71,0)</f>
        <v>27497</v>
      </c>
      <c r="H222" s="94" t="str">
        <f>IF(G222&lt;&gt;"",IF(C222="float32",FLOAT2HEX(G222),DEC2HEX(G222,8)),"")</f>
        <v>00006B69</v>
      </c>
      <c r="I222" s="94">
        <f t="shared" si="7"/>
        <v>27497</v>
      </c>
    </row>
    <row r="223" spans="1:9">
      <c r="A223" s="96">
        <f>IF(I223&lt;&gt;"",MAX(A$1:A222)+1,"")</f>
        <v>216</v>
      </c>
      <c r="B223" s="97" t="s">
        <v>2355</v>
      </c>
      <c r="C223" s="103" t="s">
        <v>57</v>
      </c>
      <c r="D223" s="103">
        <f t="shared" si="6"/>
        <v>4</v>
      </c>
      <c r="E223" s="89" t="s">
        <v>2838</v>
      </c>
      <c r="G223" s="103">
        <f>ROUND((32768/BASE_FLUX) * MTPVFlux_72,0)</f>
        <v>12052</v>
      </c>
      <c r="H223" s="94" t="str">
        <f>IF(G223&lt;&gt;"",IF(C223="float32",FLOAT2HEX(G223),DEC2HEX(G223,8)),"")</f>
        <v>00002F14</v>
      </c>
      <c r="I223" s="94">
        <f t="shared" si="7"/>
        <v>12052</v>
      </c>
    </row>
    <row r="224" spans="1:9">
      <c r="A224" s="96">
        <f>IF(I224&lt;&gt;"",MAX(A$1:A223)+1,"")</f>
        <v>217</v>
      </c>
      <c r="B224" s="74" t="s">
        <v>2356</v>
      </c>
      <c r="C224" s="103" t="s">
        <v>57</v>
      </c>
      <c r="D224" s="103">
        <f t="shared" si="6"/>
        <v>4</v>
      </c>
      <c r="E224" s="89" t="s">
        <v>2839</v>
      </c>
      <c r="G224" s="103">
        <f>ROUND((32768/BASE_TORQ) * MTPVTorque_72,0)</f>
        <v>5189</v>
      </c>
      <c r="H224" s="94" t="str">
        <f>IF(G224&lt;&gt;"",IF(C224="float32",FLOAT2HEX(G224),DEC2HEX(G224,8)),"")</f>
        <v>00001445</v>
      </c>
      <c r="I224" s="94">
        <f t="shared" si="7"/>
        <v>5189</v>
      </c>
    </row>
    <row r="225" spans="1:9">
      <c r="A225" s="96">
        <f>IF(I225&lt;&gt;"",MAX(A$1:A224)+1,"")</f>
        <v>218</v>
      </c>
      <c r="B225" s="97" t="s">
        <v>2357</v>
      </c>
      <c r="C225" s="103" t="s">
        <v>57</v>
      </c>
      <c r="D225" s="103">
        <f t="shared" si="6"/>
        <v>4</v>
      </c>
      <c r="E225" s="89" t="s">
        <v>2840</v>
      </c>
      <c r="G225" s="103">
        <f>ROUND((32768/BASE_ANGLE) * MTPVAngle_72,0)</f>
        <v>27557</v>
      </c>
      <c r="H225" s="94" t="str">
        <f>IF(G225&lt;&gt;"",IF(C225="float32",FLOAT2HEX(G225),DEC2HEX(G225,8)),"")</f>
        <v>00006BA5</v>
      </c>
      <c r="I225" s="94">
        <f t="shared" si="7"/>
        <v>27557</v>
      </c>
    </row>
    <row r="226" spans="1:9">
      <c r="A226" s="96">
        <f>IF(I226&lt;&gt;"",MAX(A$1:A225)+1,"")</f>
        <v>219</v>
      </c>
      <c r="B226" s="97" t="s">
        <v>2358</v>
      </c>
      <c r="C226" s="103" t="s">
        <v>57</v>
      </c>
      <c r="D226" s="103">
        <f t="shared" si="6"/>
        <v>4</v>
      </c>
      <c r="E226" s="89" t="s">
        <v>2841</v>
      </c>
      <c r="G226" s="103">
        <f>ROUND((32768/BASE_FLUX) * MTPVFlux_73,0)</f>
        <v>12209</v>
      </c>
      <c r="H226" s="94" t="str">
        <f>IF(G226&lt;&gt;"",IF(C226="float32",FLOAT2HEX(G226),DEC2HEX(G226,8)),"")</f>
        <v>00002FB1</v>
      </c>
      <c r="I226" s="94">
        <f t="shared" si="7"/>
        <v>12209</v>
      </c>
    </row>
    <row r="227" spans="1:9">
      <c r="A227" s="96">
        <f>IF(I227&lt;&gt;"",MAX(A$1:A226)+1,"")</f>
        <v>220</v>
      </c>
      <c r="B227" s="74" t="s">
        <v>2359</v>
      </c>
      <c r="C227" s="103" t="s">
        <v>57</v>
      </c>
      <c r="D227" s="103">
        <f t="shared" si="6"/>
        <v>4</v>
      </c>
      <c r="E227" s="89" t="s">
        <v>2842</v>
      </c>
      <c r="G227" s="103">
        <f>ROUND((32768/BASE_TORQ) * MTPVTorque_73,0)</f>
        <v>5267</v>
      </c>
      <c r="H227" s="94" t="str">
        <f>IF(G227&lt;&gt;"",IF(C227="float32",FLOAT2HEX(G227),DEC2HEX(G227,8)),"")</f>
        <v>00001493</v>
      </c>
      <c r="I227" s="94">
        <f t="shared" si="7"/>
        <v>5267</v>
      </c>
    </row>
    <row r="228" spans="1:9">
      <c r="A228" s="96">
        <f>IF(I228&lt;&gt;"",MAX(A$1:A227)+1,"")</f>
        <v>221</v>
      </c>
      <c r="B228" s="97" t="s">
        <v>2360</v>
      </c>
      <c r="C228" s="103" t="s">
        <v>57</v>
      </c>
      <c r="D228" s="103">
        <f t="shared" si="6"/>
        <v>4</v>
      </c>
      <c r="E228" s="89" t="s">
        <v>2843</v>
      </c>
      <c r="G228" s="103">
        <f>ROUND((32768/BASE_ANGLE) * MTPVAngle_73,0)</f>
        <v>27611</v>
      </c>
      <c r="H228" s="94" t="str">
        <f>IF(G228&lt;&gt;"",IF(C228="float32",FLOAT2HEX(G228),DEC2HEX(G228,8)),"")</f>
        <v>00006BDB</v>
      </c>
      <c r="I228" s="94">
        <f t="shared" si="7"/>
        <v>27611</v>
      </c>
    </row>
    <row r="229" spans="1:9">
      <c r="A229" s="96">
        <f>IF(I229&lt;&gt;"",MAX(A$1:A228)+1,"")</f>
        <v>222</v>
      </c>
      <c r="B229" s="97" t="s">
        <v>2361</v>
      </c>
      <c r="C229" s="103" t="s">
        <v>57</v>
      </c>
      <c r="D229" s="103">
        <f t="shared" si="6"/>
        <v>4</v>
      </c>
      <c r="E229" s="89" t="s">
        <v>2844</v>
      </c>
      <c r="G229" s="103">
        <f>ROUND((32768/BASE_FLUX) * MTPVFlux_74,0)</f>
        <v>12355</v>
      </c>
      <c r="H229" s="94" t="str">
        <f>IF(G229&lt;&gt;"",IF(C229="float32",FLOAT2HEX(G229),DEC2HEX(G229,8)),"")</f>
        <v>00003043</v>
      </c>
      <c r="I229" s="94">
        <f t="shared" si="7"/>
        <v>12355</v>
      </c>
    </row>
    <row r="230" spans="1:9">
      <c r="A230" s="96">
        <f>IF(I230&lt;&gt;"",MAX(A$1:A229)+1,"")</f>
        <v>223</v>
      </c>
      <c r="B230" s="74" t="s">
        <v>2362</v>
      </c>
      <c r="C230" s="103" t="s">
        <v>57</v>
      </c>
      <c r="D230" s="103">
        <f t="shared" si="6"/>
        <v>4</v>
      </c>
      <c r="E230" s="89" t="s">
        <v>2845</v>
      </c>
      <c r="G230" s="103">
        <f>ROUND((32768/BASE_TORQ) * MTPVTorque_74,0)</f>
        <v>5343</v>
      </c>
      <c r="H230" s="94" t="str">
        <f>IF(G230&lt;&gt;"",IF(C230="float32",FLOAT2HEX(G230),DEC2HEX(G230,8)),"")</f>
        <v>000014DF</v>
      </c>
      <c r="I230" s="94">
        <f t="shared" si="7"/>
        <v>5343</v>
      </c>
    </row>
    <row r="231" spans="1:9">
      <c r="A231" s="96">
        <f>IF(I231&lt;&gt;"",MAX(A$1:A230)+1,"")</f>
        <v>224</v>
      </c>
      <c r="B231" s="97" t="s">
        <v>2363</v>
      </c>
      <c r="C231" s="103" t="s">
        <v>57</v>
      </c>
      <c r="D231" s="103">
        <f t="shared" si="6"/>
        <v>4</v>
      </c>
      <c r="E231" s="89" t="s">
        <v>2846</v>
      </c>
      <c r="G231" s="103">
        <f>ROUND((32768/BASE_ANGLE) * MTPVAngle_74,0)</f>
        <v>27659</v>
      </c>
      <c r="H231" s="94" t="str">
        <f>IF(G231&lt;&gt;"",IF(C231="float32",FLOAT2HEX(G231),DEC2HEX(G231,8)),"")</f>
        <v>00006C0B</v>
      </c>
      <c r="I231" s="94">
        <f t="shared" si="7"/>
        <v>27659</v>
      </c>
    </row>
    <row r="232" spans="1:9">
      <c r="A232" s="96">
        <f>IF(I232&lt;&gt;"",MAX(A$1:A231)+1,"")</f>
        <v>225</v>
      </c>
      <c r="B232" s="97" t="s">
        <v>2364</v>
      </c>
      <c r="C232" s="103" t="s">
        <v>57</v>
      </c>
      <c r="D232" s="103">
        <f t="shared" si="6"/>
        <v>4</v>
      </c>
      <c r="E232" s="89" t="s">
        <v>2847</v>
      </c>
      <c r="G232" s="103">
        <f>ROUND((32768/BASE_FLUX) * MTPVFlux_75,0)</f>
        <v>12512</v>
      </c>
      <c r="H232" s="94" t="str">
        <f>IF(G232&lt;&gt;"",IF(C232="float32",FLOAT2HEX(G232),DEC2HEX(G232,8)),"")</f>
        <v>000030E0</v>
      </c>
      <c r="I232" s="94">
        <f t="shared" si="7"/>
        <v>12512</v>
      </c>
    </row>
    <row r="233" spans="1:9">
      <c r="A233" s="96">
        <f>IF(I233&lt;&gt;"",MAX(A$1:A232)+1,"")</f>
        <v>226</v>
      </c>
      <c r="B233" s="74" t="s">
        <v>2365</v>
      </c>
      <c r="C233" s="103" t="s">
        <v>57</v>
      </c>
      <c r="D233" s="103">
        <f t="shared" ref="D233:D296" si="8">IF(OR(C233="sint64",C233="uint64",C233="double64"), 8, IF(OR(C233="sint32",C233="uint32",C233="float32"),4,IF(OR(C233="sint16",C233="uint16"),2,  IF(OR(C233="sint8",C233="uint8"),1,""))))</f>
        <v>4</v>
      </c>
      <c r="E233" s="89" t="s">
        <v>2848</v>
      </c>
      <c r="G233" s="103">
        <f>ROUND((32768/BASE_TORQ) * MTPVTorque_75,0)</f>
        <v>5417</v>
      </c>
      <c r="H233" s="94" t="str">
        <f>IF(G233&lt;&gt;"",IF(C233="float32",FLOAT2HEX(G233),DEC2HEX(G233,8)),"")</f>
        <v>00001529</v>
      </c>
      <c r="I233" s="94">
        <f t="shared" ref="I233:I296" si="9">IF(G233&lt;&gt;"",HEX2DEC(H233),"")</f>
        <v>5417</v>
      </c>
    </row>
    <row r="234" spans="1:9">
      <c r="A234" s="96">
        <f>IF(I234&lt;&gt;"",MAX(A$1:A233)+1,"")</f>
        <v>227</v>
      </c>
      <c r="B234" s="97" t="s">
        <v>2366</v>
      </c>
      <c r="C234" s="103" t="s">
        <v>57</v>
      </c>
      <c r="D234" s="103">
        <f t="shared" si="8"/>
        <v>4</v>
      </c>
      <c r="E234" s="89" t="s">
        <v>2849</v>
      </c>
      <c r="G234" s="103">
        <f>ROUND((32768/BASE_ANGLE) * MTPVAngle_75,0)</f>
        <v>27702</v>
      </c>
      <c r="H234" s="94" t="str">
        <f>IF(G234&lt;&gt;"",IF(C234="float32",FLOAT2HEX(G234),DEC2HEX(G234,8)),"")</f>
        <v>00006C36</v>
      </c>
      <c r="I234" s="94">
        <f t="shared" si="9"/>
        <v>27702</v>
      </c>
    </row>
    <row r="235" spans="1:9">
      <c r="A235" s="96">
        <f>IF(I235&lt;&gt;"",MAX(A$1:A234)+1,"")</f>
        <v>228</v>
      </c>
      <c r="B235" s="97" t="s">
        <v>2367</v>
      </c>
      <c r="C235" s="103" t="s">
        <v>57</v>
      </c>
      <c r="D235" s="103">
        <f t="shared" si="8"/>
        <v>4</v>
      </c>
      <c r="E235" s="89" t="s">
        <v>2850</v>
      </c>
      <c r="G235" s="103">
        <f>ROUND((32768/BASE_FLUX) * MTPVFlux_76,0)</f>
        <v>12657</v>
      </c>
      <c r="H235" s="94" t="str">
        <f>IF(G235&lt;&gt;"",IF(C235="float32",FLOAT2HEX(G235),DEC2HEX(G235,8)),"")</f>
        <v>00003171</v>
      </c>
      <c r="I235" s="94">
        <f t="shared" si="9"/>
        <v>12657</v>
      </c>
    </row>
    <row r="236" spans="1:9">
      <c r="A236" s="96">
        <f>IF(I236&lt;&gt;"",MAX(A$1:A235)+1,"")</f>
        <v>229</v>
      </c>
      <c r="B236" s="74" t="s">
        <v>2368</v>
      </c>
      <c r="C236" s="103" t="s">
        <v>57</v>
      </c>
      <c r="D236" s="103">
        <f t="shared" si="8"/>
        <v>4</v>
      </c>
      <c r="E236" s="89" t="s">
        <v>2851</v>
      </c>
      <c r="G236" s="103">
        <f>ROUND((32768/BASE_TORQ) * MTPVTorque_76,0)</f>
        <v>5490</v>
      </c>
      <c r="H236" s="94" t="str">
        <f>IF(G236&lt;&gt;"",IF(C236="float32",FLOAT2HEX(G236),DEC2HEX(G236,8)),"")</f>
        <v>00001572</v>
      </c>
      <c r="I236" s="94">
        <f t="shared" si="9"/>
        <v>5490</v>
      </c>
    </row>
    <row r="237" spans="1:9">
      <c r="A237" s="96">
        <f>IF(I237&lt;&gt;"",MAX(A$1:A236)+1,"")</f>
        <v>230</v>
      </c>
      <c r="B237" s="97" t="s">
        <v>2369</v>
      </c>
      <c r="C237" s="103" t="s">
        <v>57</v>
      </c>
      <c r="D237" s="103">
        <f t="shared" si="8"/>
        <v>4</v>
      </c>
      <c r="E237" s="89" t="s">
        <v>2852</v>
      </c>
      <c r="G237" s="103">
        <f>ROUND((32768/BASE_ANGLE) * MTPVAngle_76,0)</f>
        <v>27738</v>
      </c>
      <c r="H237" s="94" t="str">
        <f>IF(G237&lt;&gt;"",IF(C237="float32",FLOAT2HEX(G237),DEC2HEX(G237,8)),"")</f>
        <v>00006C5A</v>
      </c>
      <c r="I237" s="94">
        <f t="shared" si="9"/>
        <v>27738</v>
      </c>
    </row>
    <row r="238" spans="1:9">
      <c r="A238" s="96">
        <f>IF(I238&lt;&gt;"",MAX(A$1:A237)+1,"")</f>
        <v>231</v>
      </c>
      <c r="B238" s="97" t="s">
        <v>2370</v>
      </c>
      <c r="C238" s="103" t="s">
        <v>57</v>
      </c>
      <c r="D238" s="103">
        <f t="shared" si="8"/>
        <v>4</v>
      </c>
      <c r="E238" s="89" t="s">
        <v>2853</v>
      </c>
      <c r="G238" s="103">
        <f>ROUND((32768/BASE_FLUX) * MTPVFlux_77,0)</f>
        <v>12814</v>
      </c>
      <c r="H238" s="94" t="str">
        <f>IF(G238&lt;&gt;"",IF(C238="float32",FLOAT2HEX(G238),DEC2HEX(G238,8)),"")</f>
        <v>0000320E</v>
      </c>
      <c r="I238" s="94">
        <f t="shared" si="9"/>
        <v>12814</v>
      </c>
    </row>
    <row r="239" spans="1:9">
      <c r="A239" s="96">
        <f>IF(I239&lt;&gt;"",MAX(A$1:A238)+1,"")</f>
        <v>232</v>
      </c>
      <c r="B239" s="74" t="s">
        <v>2371</v>
      </c>
      <c r="C239" s="103" t="s">
        <v>57</v>
      </c>
      <c r="D239" s="103">
        <f t="shared" si="8"/>
        <v>4</v>
      </c>
      <c r="E239" s="89" t="s">
        <v>2854</v>
      </c>
      <c r="G239" s="103">
        <f>ROUND((32768/BASE_TORQ) * MTPVTorque_77,0)</f>
        <v>5561</v>
      </c>
      <c r="H239" s="94" t="str">
        <f>IF(G239&lt;&gt;"",IF(C239="float32",FLOAT2HEX(G239),DEC2HEX(G239,8)),"")</f>
        <v>000015B9</v>
      </c>
      <c r="I239" s="94">
        <f t="shared" si="9"/>
        <v>5561</v>
      </c>
    </row>
    <row r="240" spans="1:9">
      <c r="A240" s="96">
        <f>IF(I240&lt;&gt;"",MAX(A$1:A239)+1,"")</f>
        <v>233</v>
      </c>
      <c r="B240" s="97" t="s">
        <v>2372</v>
      </c>
      <c r="C240" s="103" t="s">
        <v>57</v>
      </c>
      <c r="D240" s="103">
        <f t="shared" si="8"/>
        <v>4</v>
      </c>
      <c r="E240" s="89" t="s">
        <v>2855</v>
      </c>
      <c r="G240" s="103">
        <f>ROUND((32768/BASE_ANGLE) * MTPVAngle_77,0)</f>
        <v>27770</v>
      </c>
      <c r="H240" s="94" t="str">
        <f>IF(G240&lt;&gt;"",IF(C240="float32",FLOAT2HEX(G240),DEC2HEX(G240,8)),"")</f>
        <v>00006C7A</v>
      </c>
      <c r="I240" s="94">
        <f t="shared" si="9"/>
        <v>27770</v>
      </c>
    </row>
    <row r="241" spans="1:9">
      <c r="A241" s="96">
        <f>IF(I241&lt;&gt;"",MAX(A$1:A240)+1,"")</f>
        <v>234</v>
      </c>
      <c r="B241" s="97" t="s">
        <v>2373</v>
      </c>
      <c r="C241" s="103" t="s">
        <v>57</v>
      </c>
      <c r="D241" s="103">
        <f t="shared" si="8"/>
        <v>4</v>
      </c>
      <c r="E241" s="89" t="s">
        <v>2856</v>
      </c>
      <c r="G241" s="103">
        <f>ROUND((32768/BASE_FLUX) * MTPVFlux_78,0)</f>
        <v>12960</v>
      </c>
      <c r="H241" s="94" t="str">
        <f>IF(G241&lt;&gt;"",IF(C241="float32",FLOAT2HEX(G241),DEC2HEX(G241,8)),"")</f>
        <v>000032A0</v>
      </c>
      <c r="I241" s="94">
        <f t="shared" si="9"/>
        <v>12960</v>
      </c>
    </row>
    <row r="242" spans="1:9">
      <c r="A242" s="96">
        <f>IF(I242&lt;&gt;"",MAX(A$1:A241)+1,"")</f>
        <v>235</v>
      </c>
      <c r="B242" s="74" t="s">
        <v>2374</v>
      </c>
      <c r="C242" s="103" t="s">
        <v>57</v>
      </c>
      <c r="D242" s="103">
        <f t="shared" si="8"/>
        <v>4</v>
      </c>
      <c r="E242" s="89" t="s">
        <v>2857</v>
      </c>
      <c r="G242" s="103">
        <f>ROUND((32768/BASE_TORQ) * MTPVTorque_78,0)</f>
        <v>5630</v>
      </c>
      <c r="H242" s="94" t="str">
        <f>IF(G242&lt;&gt;"",IF(C242="float32",FLOAT2HEX(G242),DEC2HEX(G242,8)),"")</f>
        <v>000015FE</v>
      </c>
      <c r="I242" s="94">
        <f t="shared" si="9"/>
        <v>5630</v>
      </c>
    </row>
    <row r="243" spans="1:9">
      <c r="A243" s="96">
        <f>IF(I243&lt;&gt;"",MAX(A$1:A242)+1,"")</f>
        <v>236</v>
      </c>
      <c r="B243" s="97" t="s">
        <v>2375</v>
      </c>
      <c r="C243" s="103" t="s">
        <v>57</v>
      </c>
      <c r="D243" s="103">
        <f t="shared" si="8"/>
        <v>4</v>
      </c>
      <c r="E243" s="89" t="s">
        <v>2858</v>
      </c>
      <c r="G243" s="103">
        <f>ROUND((32768/BASE_ANGLE) * MTPVAngle_78,0)</f>
        <v>27796</v>
      </c>
      <c r="H243" s="94" t="str">
        <f>IF(G243&lt;&gt;"",IF(C243="float32",FLOAT2HEX(G243),DEC2HEX(G243,8)),"")</f>
        <v>00006C94</v>
      </c>
      <c r="I243" s="94">
        <f t="shared" si="9"/>
        <v>27796</v>
      </c>
    </row>
    <row r="244" spans="1:9">
      <c r="A244" s="96">
        <f>IF(I244&lt;&gt;"",MAX(A$1:A243)+1,"")</f>
        <v>237</v>
      </c>
      <c r="B244" s="97" t="s">
        <v>2376</v>
      </c>
      <c r="C244" s="103" t="s">
        <v>57</v>
      </c>
      <c r="D244" s="103">
        <f t="shared" si="8"/>
        <v>4</v>
      </c>
      <c r="E244" s="89" t="s">
        <v>2859</v>
      </c>
      <c r="G244" s="103">
        <f>ROUND((32768/BASE_FLUX) * MTPVFlux_79,0)</f>
        <v>13117</v>
      </c>
      <c r="H244" s="94" t="str">
        <f>IF(G244&lt;&gt;"",IF(C244="float32",FLOAT2HEX(G244),DEC2HEX(G244,8)),"")</f>
        <v>0000333D</v>
      </c>
      <c r="I244" s="94">
        <f t="shared" si="9"/>
        <v>13117</v>
      </c>
    </row>
    <row r="245" spans="1:9">
      <c r="A245" s="96">
        <f>IF(I245&lt;&gt;"",MAX(A$1:A244)+1,"")</f>
        <v>238</v>
      </c>
      <c r="B245" s="74" t="s">
        <v>2377</v>
      </c>
      <c r="C245" s="103" t="s">
        <v>57</v>
      </c>
      <c r="D245" s="103">
        <f t="shared" si="8"/>
        <v>4</v>
      </c>
      <c r="E245" s="89" t="s">
        <v>2860</v>
      </c>
      <c r="G245" s="103">
        <f>ROUND((32768/BASE_TORQ) * MTPVTorque_79,0)</f>
        <v>5698</v>
      </c>
      <c r="H245" s="94" t="str">
        <f>IF(G245&lt;&gt;"",IF(C245="float32",FLOAT2HEX(G245),DEC2HEX(G245,8)),"")</f>
        <v>00001642</v>
      </c>
      <c r="I245" s="94">
        <f t="shared" si="9"/>
        <v>5698</v>
      </c>
    </row>
    <row r="246" spans="1:9">
      <c r="A246" s="96">
        <f>IF(I246&lt;&gt;"",MAX(A$1:A245)+1,"")</f>
        <v>239</v>
      </c>
      <c r="B246" s="97" t="s">
        <v>2378</v>
      </c>
      <c r="C246" s="103" t="s">
        <v>57</v>
      </c>
      <c r="D246" s="103">
        <f t="shared" si="8"/>
        <v>4</v>
      </c>
      <c r="E246" s="89" t="s">
        <v>2861</v>
      </c>
      <c r="G246" s="103">
        <f>ROUND((32768/BASE_ANGLE) * MTPVAngle_79,0)</f>
        <v>27817</v>
      </c>
      <c r="H246" s="94" t="str">
        <f>IF(G246&lt;&gt;"",IF(C246="float32",FLOAT2HEX(G246),DEC2HEX(G246,8)),"")</f>
        <v>00006CA9</v>
      </c>
      <c r="I246" s="94">
        <f t="shared" si="9"/>
        <v>27817</v>
      </c>
    </row>
    <row r="247" spans="1:9">
      <c r="A247" s="96">
        <f>IF(I247&lt;&gt;"",MAX(A$1:A246)+1,"")</f>
        <v>240</v>
      </c>
      <c r="B247" s="97" t="s">
        <v>2379</v>
      </c>
      <c r="C247" s="103" t="s">
        <v>57</v>
      </c>
      <c r="D247" s="103">
        <f t="shared" si="8"/>
        <v>4</v>
      </c>
      <c r="E247" s="89" t="s">
        <v>2862</v>
      </c>
      <c r="G247" s="103">
        <f>ROUND((32768/BASE_FLUX) * MTPVFlux_80,0)</f>
        <v>13262</v>
      </c>
      <c r="H247" s="94" t="str">
        <f>IF(G247&lt;&gt;"",IF(C247="float32",FLOAT2HEX(G247),DEC2HEX(G247,8)),"")</f>
        <v>000033CE</v>
      </c>
      <c r="I247" s="94">
        <f t="shared" si="9"/>
        <v>13262</v>
      </c>
    </row>
    <row r="248" spans="1:9">
      <c r="A248" s="96">
        <f>IF(I248&lt;&gt;"",MAX(A$1:A247)+1,"")</f>
        <v>241</v>
      </c>
      <c r="B248" s="74" t="s">
        <v>2380</v>
      </c>
      <c r="C248" s="103" t="s">
        <v>57</v>
      </c>
      <c r="D248" s="103">
        <f t="shared" si="8"/>
        <v>4</v>
      </c>
      <c r="E248" s="89" t="s">
        <v>2863</v>
      </c>
      <c r="G248" s="103">
        <f>ROUND((32768/BASE_TORQ) * MTPVTorque_80,0)</f>
        <v>5764</v>
      </c>
      <c r="H248" s="94" t="str">
        <f>IF(G248&lt;&gt;"",IF(C248="float32",FLOAT2HEX(G248),DEC2HEX(G248,8)),"")</f>
        <v>00001684</v>
      </c>
      <c r="I248" s="94">
        <f t="shared" si="9"/>
        <v>5764</v>
      </c>
    </row>
    <row r="249" spans="1:9">
      <c r="A249" s="96">
        <f>IF(I249&lt;&gt;"",MAX(A$1:A248)+1,"")</f>
        <v>242</v>
      </c>
      <c r="B249" s="97" t="s">
        <v>2381</v>
      </c>
      <c r="C249" s="103" t="s">
        <v>57</v>
      </c>
      <c r="D249" s="103">
        <f t="shared" si="8"/>
        <v>4</v>
      </c>
      <c r="E249" s="89" t="s">
        <v>2864</v>
      </c>
      <c r="G249" s="103">
        <f>ROUND((32768/BASE_ANGLE) * MTPVAngle_80,0)</f>
        <v>27833</v>
      </c>
      <c r="H249" s="94" t="str">
        <f>IF(G249&lt;&gt;"",IF(C249="float32",FLOAT2HEX(G249),DEC2HEX(G249,8)),"")</f>
        <v>00006CB9</v>
      </c>
      <c r="I249" s="94">
        <f t="shared" si="9"/>
        <v>27833</v>
      </c>
    </row>
    <row r="250" spans="1:9">
      <c r="A250" s="96">
        <f>IF(I250&lt;&gt;"",MAX(A$1:A249)+1,"")</f>
        <v>243</v>
      </c>
      <c r="B250" s="97" t="s">
        <v>2382</v>
      </c>
      <c r="C250" s="103" t="s">
        <v>57</v>
      </c>
      <c r="D250" s="103">
        <f t="shared" si="8"/>
        <v>4</v>
      </c>
      <c r="E250" s="89" t="s">
        <v>2865</v>
      </c>
      <c r="G250" s="103">
        <f>ROUND((32768/BASE_FLUX) * MTPVFlux_81,0)</f>
        <v>13407</v>
      </c>
      <c r="H250" s="94" t="str">
        <f>IF(G250&lt;&gt;"",IF(C250="float32",FLOAT2HEX(G250),DEC2HEX(G250,8)),"")</f>
        <v>0000345F</v>
      </c>
      <c r="I250" s="94">
        <f t="shared" si="9"/>
        <v>13407</v>
      </c>
    </row>
    <row r="251" spans="1:9">
      <c r="A251" s="96">
        <f>IF(I251&lt;&gt;"",MAX(A$1:A250)+1,"")</f>
        <v>244</v>
      </c>
      <c r="B251" s="74" t="s">
        <v>2383</v>
      </c>
      <c r="C251" s="103" t="s">
        <v>57</v>
      </c>
      <c r="D251" s="103">
        <f t="shared" si="8"/>
        <v>4</v>
      </c>
      <c r="E251" s="89" t="s">
        <v>2866</v>
      </c>
      <c r="G251" s="103">
        <f>ROUND((32768/BASE_TORQ) * MTPVTorque_81,0)</f>
        <v>5828</v>
      </c>
      <c r="H251" s="94" t="str">
        <f>IF(G251&lt;&gt;"",IF(C251="float32",FLOAT2HEX(G251),DEC2HEX(G251,8)),"")</f>
        <v>000016C4</v>
      </c>
      <c r="I251" s="94">
        <f t="shared" si="9"/>
        <v>5828</v>
      </c>
    </row>
    <row r="252" spans="1:9">
      <c r="A252" s="96">
        <f>IF(I252&lt;&gt;"",MAX(A$1:A251)+1,"")</f>
        <v>245</v>
      </c>
      <c r="B252" s="97" t="s">
        <v>2384</v>
      </c>
      <c r="C252" s="103" t="s">
        <v>57</v>
      </c>
      <c r="D252" s="103">
        <f t="shared" si="8"/>
        <v>4</v>
      </c>
      <c r="E252" s="89" t="s">
        <v>2867</v>
      </c>
      <c r="G252" s="103">
        <f>ROUND((32768/BASE_ANGLE) * MTPVAngle_81,0)</f>
        <v>27844</v>
      </c>
      <c r="H252" s="94" t="str">
        <f>IF(G252&lt;&gt;"",IF(C252="float32",FLOAT2HEX(G252),DEC2HEX(G252,8)),"")</f>
        <v>00006CC4</v>
      </c>
      <c r="I252" s="94">
        <f t="shared" si="9"/>
        <v>27844</v>
      </c>
    </row>
    <row r="253" spans="1:9">
      <c r="A253" s="96">
        <f>IF(I253&lt;&gt;"",MAX(A$1:A252)+1,"")</f>
        <v>246</v>
      </c>
      <c r="B253" s="97" t="s">
        <v>2385</v>
      </c>
      <c r="C253" s="103" t="s">
        <v>57</v>
      </c>
      <c r="D253" s="103">
        <f t="shared" si="8"/>
        <v>4</v>
      </c>
      <c r="E253" s="89" t="s">
        <v>2868</v>
      </c>
      <c r="G253" s="103">
        <f>ROUND((32768/BASE_FLUX) * MTPVFlux_82,0)</f>
        <v>13565</v>
      </c>
      <c r="H253" s="94" t="str">
        <f>IF(G253&lt;&gt;"",IF(C253="float32",FLOAT2HEX(G253),DEC2HEX(G253,8)),"")</f>
        <v>000034FD</v>
      </c>
      <c r="I253" s="94">
        <f t="shared" si="9"/>
        <v>13565</v>
      </c>
    </row>
    <row r="254" spans="1:9">
      <c r="A254" s="96">
        <f>IF(I254&lt;&gt;"",MAX(A$1:A253)+1,"")</f>
        <v>247</v>
      </c>
      <c r="B254" s="74" t="s">
        <v>2386</v>
      </c>
      <c r="C254" s="103" t="s">
        <v>57</v>
      </c>
      <c r="D254" s="103">
        <f t="shared" si="8"/>
        <v>4</v>
      </c>
      <c r="E254" s="89" t="s">
        <v>2869</v>
      </c>
      <c r="G254" s="103">
        <f>ROUND((32768/BASE_TORQ) * MTPVTorque_82,0)</f>
        <v>5891</v>
      </c>
      <c r="H254" s="94" t="str">
        <f>IF(G254&lt;&gt;"",IF(C254="float32",FLOAT2HEX(G254),DEC2HEX(G254,8)),"")</f>
        <v>00001703</v>
      </c>
      <c r="I254" s="94">
        <f t="shared" si="9"/>
        <v>5891</v>
      </c>
    </row>
    <row r="255" spans="1:9">
      <c r="A255" s="96">
        <f>IF(I255&lt;&gt;"",MAX(A$1:A254)+1,"")</f>
        <v>248</v>
      </c>
      <c r="B255" s="97" t="s">
        <v>2387</v>
      </c>
      <c r="C255" s="103" t="s">
        <v>57</v>
      </c>
      <c r="D255" s="103">
        <f t="shared" si="8"/>
        <v>4</v>
      </c>
      <c r="E255" s="89" t="s">
        <v>2870</v>
      </c>
      <c r="G255" s="103">
        <f>ROUND((32768/BASE_ANGLE) * MTPVAngle_82,0)</f>
        <v>27851</v>
      </c>
      <c r="H255" s="94" t="str">
        <f>IF(G255&lt;&gt;"",IF(C255="float32",FLOAT2HEX(G255),DEC2HEX(G255,8)),"")</f>
        <v>00006CCB</v>
      </c>
      <c r="I255" s="94">
        <f t="shared" si="9"/>
        <v>27851</v>
      </c>
    </row>
    <row r="256" spans="1:9">
      <c r="A256" s="96">
        <f>IF(I256&lt;&gt;"",MAX(A$1:A255)+1,"")</f>
        <v>249</v>
      </c>
      <c r="B256" s="97" t="s">
        <v>2388</v>
      </c>
      <c r="C256" s="103" t="s">
        <v>57</v>
      </c>
      <c r="D256" s="103">
        <f t="shared" si="8"/>
        <v>4</v>
      </c>
      <c r="E256" s="89" t="s">
        <v>2871</v>
      </c>
      <c r="G256" s="103">
        <f>ROUND((32768/BASE_FLUX) * MTPVFlux_83,0)</f>
        <v>13710</v>
      </c>
      <c r="H256" s="94" t="str">
        <f>IF(G256&lt;&gt;"",IF(C256="float32",FLOAT2HEX(G256),DEC2HEX(G256,8)),"")</f>
        <v>0000358E</v>
      </c>
      <c r="I256" s="94">
        <f t="shared" si="9"/>
        <v>13710</v>
      </c>
    </row>
    <row r="257" spans="1:9">
      <c r="A257" s="96">
        <f>IF(I257&lt;&gt;"",MAX(A$1:A256)+1,"")</f>
        <v>250</v>
      </c>
      <c r="B257" s="74" t="s">
        <v>2389</v>
      </c>
      <c r="C257" s="103" t="s">
        <v>57</v>
      </c>
      <c r="D257" s="103">
        <f t="shared" si="8"/>
        <v>4</v>
      </c>
      <c r="E257" s="89" t="s">
        <v>2872</v>
      </c>
      <c r="G257" s="103">
        <f>ROUND((32768/BASE_TORQ) * MTPVTorque_83,0)</f>
        <v>5953</v>
      </c>
      <c r="H257" s="94" t="str">
        <f>IF(G257&lt;&gt;"",IF(C257="float32",FLOAT2HEX(G257),DEC2HEX(G257,8)),"")</f>
        <v>00001741</v>
      </c>
      <c r="I257" s="94">
        <f t="shared" si="9"/>
        <v>5953</v>
      </c>
    </row>
    <row r="258" spans="1:9">
      <c r="A258" s="96">
        <f>IF(I258&lt;&gt;"",MAX(A$1:A257)+1,"")</f>
        <v>251</v>
      </c>
      <c r="B258" s="97" t="s">
        <v>2390</v>
      </c>
      <c r="C258" s="103" t="s">
        <v>57</v>
      </c>
      <c r="D258" s="103">
        <f t="shared" si="8"/>
        <v>4</v>
      </c>
      <c r="E258" s="89" t="s">
        <v>2873</v>
      </c>
      <c r="G258" s="103">
        <f>ROUND((32768/BASE_ANGLE) * MTPVAngle_83,0)</f>
        <v>27852</v>
      </c>
      <c r="H258" s="94" t="str">
        <f>IF(G258&lt;&gt;"",IF(C258="float32",FLOAT2HEX(G258),DEC2HEX(G258,8)),"")</f>
        <v>00006CCC</v>
      </c>
      <c r="I258" s="94">
        <f t="shared" si="9"/>
        <v>27852</v>
      </c>
    </row>
    <row r="259" spans="1:9">
      <c r="A259" s="96">
        <f>IF(I259&lt;&gt;"",MAX(A$1:A258)+1,"")</f>
        <v>252</v>
      </c>
      <c r="B259" s="97" t="s">
        <v>2391</v>
      </c>
      <c r="C259" s="103" t="s">
        <v>57</v>
      </c>
      <c r="D259" s="103">
        <f t="shared" si="8"/>
        <v>4</v>
      </c>
      <c r="E259" s="89" t="s">
        <v>2874</v>
      </c>
      <c r="G259" s="103">
        <f>ROUND((32768/BASE_FLUX) * MTPVFlux_84,0)</f>
        <v>13867</v>
      </c>
      <c r="H259" s="94" t="str">
        <f>IF(G259&lt;&gt;"",IF(C259="float32",FLOAT2HEX(G259),DEC2HEX(G259,8)),"")</f>
        <v>0000362B</v>
      </c>
      <c r="I259" s="94">
        <f t="shared" si="9"/>
        <v>13867</v>
      </c>
    </row>
    <row r="260" spans="1:9">
      <c r="A260" s="96">
        <f>IF(I260&lt;&gt;"",MAX(A$1:A259)+1,"")</f>
        <v>253</v>
      </c>
      <c r="B260" s="74" t="s">
        <v>2392</v>
      </c>
      <c r="C260" s="103" t="s">
        <v>57</v>
      </c>
      <c r="D260" s="103">
        <f t="shared" si="8"/>
        <v>4</v>
      </c>
      <c r="E260" s="89" t="s">
        <v>2875</v>
      </c>
      <c r="G260" s="103">
        <f>ROUND((32768/BASE_TORQ) * MTPVTorque_84,0)</f>
        <v>6012</v>
      </c>
      <c r="H260" s="94" t="str">
        <f>IF(G260&lt;&gt;"",IF(C260="float32",FLOAT2HEX(G260),DEC2HEX(G260,8)),"")</f>
        <v>0000177C</v>
      </c>
      <c r="I260" s="94">
        <f t="shared" si="9"/>
        <v>6012</v>
      </c>
    </row>
    <row r="261" spans="1:9">
      <c r="A261" s="96">
        <f>IF(I261&lt;&gt;"",MAX(A$1:A260)+1,"")</f>
        <v>254</v>
      </c>
      <c r="B261" s="97" t="s">
        <v>2393</v>
      </c>
      <c r="C261" s="103" t="s">
        <v>57</v>
      </c>
      <c r="D261" s="103">
        <f t="shared" si="8"/>
        <v>4</v>
      </c>
      <c r="E261" s="89" t="s">
        <v>2876</v>
      </c>
      <c r="G261" s="103">
        <f>ROUND((32768/BASE_ANGLE) * MTPVAngle_84,0)</f>
        <v>27849</v>
      </c>
      <c r="H261" s="94" t="str">
        <f>IF(G261&lt;&gt;"",IF(C261="float32",FLOAT2HEX(G261),DEC2HEX(G261,8)),"")</f>
        <v>00006CC9</v>
      </c>
      <c r="I261" s="94">
        <f t="shared" si="9"/>
        <v>27849</v>
      </c>
    </row>
    <row r="262" spans="1:9">
      <c r="A262" s="96">
        <f>IF(I262&lt;&gt;"",MAX(A$1:A261)+1,"")</f>
        <v>255</v>
      </c>
      <c r="B262" s="97" t="s">
        <v>2394</v>
      </c>
      <c r="C262" s="103" t="s">
        <v>57</v>
      </c>
      <c r="D262" s="103">
        <f t="shared" si="8"/>
        <v>4</v>
      </c>
      <c r="E262" s="89" t="s">
        <v>2877</v>
      </c>
      <c r="G262" s="103">
        <f>ROUND((32768/BASE_FLUX) * MTPVFlux_85,0)</f>
        <v>14012</v>
      </c>
      <c r="H262" s="94" t="str">
        <f>IF(G262&lt;&gt;"",IF(C262="float32",FLOAT2HEX(G262),DEC2HEX(G262,8)),"")</f>
        <v>000036BC</v>
      </c>
      <c r="I262" s="94">
        <f t="shared" si="9"/>
        <v>14012</v>
      </c>
    </row>
    <row r="263" spans="1:9">
      <c r="A263" s="96">
        <f>IF(I263&lt;&gt;"",MAX(A$1:A262)+1,"")</f>
        <v>256</v>
      </c>
      <c r="B263" s="74" t="s">
        <v>2395</v>
      </c>
      <c r="C263" s="103" t="s">
        <v>57</v>
      </c>
      <c r="D263" s="103">
        <f t="shared" si="8"/>
        <v>4</v>
      </c>
      <c r="E263" s="89" t="s">
        <v>2878</v>
      </c>
      <c r="G263" s="103">
        <f>ROUND((32768/BASE_TORQ) * MTPVTorque_85,0)</f>
        <v>6070</v>
      </c>
      <c r="H263" s="94" t="str">
        <f>IF(G263&lt;&gt;"",IF(C263="float32",FLOAT2HEX(G263),DEC2HEX(G263,8)),"")</f>
        <v>000017B6</v>
      </c>
      <c r="I263" s="94">
        <f t="shared" si="9"/>
        <v>6070</v>
      </c>
    </row>
    <row r="264" spans="1:9">
      <c r="A264" s="96">
        <f>IF(I264&lt;&gt;"",MAX(A$1:A263)+1,"")</f>
        <v>257</v>
      </c>
      <c r="B264" s="97" t="s">
        <v>2396</v>
      </c>
      <c r="C264" s="103" t="s">
        <v>57</v>
      </c>
      <c r="D264" s="103">
        <f t="shared" si="8"/>
        <v>4</v>
      </c>
      <c r="E264" s="89" t="s">
        <v>2879</v>
      </c>
      <c r="G264" s="103">
        <f>ROUND((32768/BASE_ANGLE) * MTPVAngle_85,0)</f>
        <v>27842</v>
      </c>
      <c r="H264" s="94" t="str">
        <f>IF(G264&lt;&gt;"",IF(C264="float32",FLOAT2HEX(G264),DEC2HEX(G264,8)),"")</f>
        <v>00006CC2</v>
      </c>
      <c r="I264" s="94">
        <f t="shared" si="9"/>
        <v>27842</v>
      </c>
    </row>
    <row r="265" spans="1:9">
      <c r="A265" s="96">
        <f>IF(I265&lt;&gt;"",MAX(A$1:A264)+1,"")</f>
        <v>258</v>
      </c>
      <c r="B265" s="97" t="s">
        <v>2397</v>
      </c>
      <c r="C265" s="103" t="s">
        <v>57</v>
      </c>
      <c r="D265" s="103">
        <f t="shared" si="8"/>
        <v>4</v>
      </c>
      <c r="E265" s="89" t="s">
        <v>2880</v>
      </c>
      <c r="G265" s="103">
        <f>ROUND((32768/BASE_FLUX) * MTPVFlux_86,0)</f>
        <v>14170</v>
      </c>
      <c r="H265" s="94" t="str">
        <f>IF(G265&lt;&gt;"",IF(C265="float32",FLOAT2HEX(G265),DEC2HEX(G265,8)),"")</f>
        <v>0000375A</v>
      </c>
      <c r="I265" s="94">
        <f t="shared" si="9"/>
        <v>14170</v>
      </c>
    </row>
    <row r="266" spans="1:9">
      <c r="A266" s="96">
        <f>IF(I266&lt;&gt;"",MAX(A$1:A265)+1,"")</f>
        <v>259</v>
      </c>
      <c r="B266" s="74" t="s">
        <v>2398</v>
      </c>
      <c r="C266" s="103" t="s">
        <v>57</v>
      </c>
      <c r="D266" s="103">
        <f t="shared" si="8"/>
        <v>4</v>
      </c>
      <c r="E266" s="89" t="s">
        <v>2881</v>
      </c>
      <c r="G266" s="103">
        <f>ROUND((32768/BASE_TORQ) * MTPVTorque_86,0)</f>
        <v>6126</v>
      </c>
      <c r="H266" s="94" t="str">
        <f>IF(G266&lt;&gt;"",IF(C266="float32",FLOAT2HEX(G266),DEC2HEX(G266,8)),"")</f>
        <v>000017EE</v>
      </c>
      <c r="I266" s="94">
        <f t="shared" si="9"/>
        <v>6126</v>
      </c>
    </row>
    <row r="267" spans="1:9">
      <c r="A267" s="96">
        <f>IF(I267&lt;&gt;"",MAX(A$1:A266)+1,"")</f>
        <v>260</v>
      </c>
      <c r="B267" s="97" t="s">
        <v>2399</v>
      </c>
      <c r="C267" s="103" t="s">
        <v>57</v>
      </c>
      <c r="D267" s="103">
        <f t="shared" si="8"/>
        <v>4</v>
      </c>
      <c r="E267" s="89" t="s">
        <v>2882</v>
      </c>
      <c r="G267" s="103">
        <f>ROUND((32768/BASE_ANGLE) * MTPVAngle_86,0)</f>
        <v>27830</v>
      </c>
      <c r="H267" s="94" t="str">
        <f>IF(G267&lt;&gt;"",IF(C267="float32",FLOAT2HEX(G267),DEC2HEX(G267,8)),"")</f>
        <v>00006CB6</v>
      </c>
      <c r="I267" s="94">
        <f t="shared" si="9"/>
        <v>27830</v>
      </c>
    </row>
    <row r="268" spans="1:9">
      <c r="A268" s="96">
        <f>IF(I268&lt;&gt;"",MAX(A$1:A267)+1,"")</f>
        <v>261</v>
      </c>
      <c r="B268" s="97" t="s">
        <v>2400</v>
      </c>
      <c r="C268" s="103" t="s">
        <v>57</v>
      </c>
      <c r="D268" s="103">
        <f t="shared" si="8"/>
        <v>4</v>
      </c>
      <c r="E268" s="89" t="s">
        <v>2883</v>
      </c>
      <c r="G268" s="103">
        <f>ROUND((32768/BASE_FLUX) * MTPVFlux_87,0)</f>
        <v>14315</v>
      </c>
      <c r="H268" s="94" t="str">
        <f>IF(G268&lt;&gt;"",IF(C268="float32",FLOAT2HEX(G268),DEC2HEX(G268,8)),"")</f>
        <v>000037EB</v>
      </c>
      <c r="I268" s="94">
        <f t="shared" si="9"/>
        <v>14315</v>
      </c>
    </row>
    <row r="269" spans="1:9">
      <c r="A269" s="96">
        <f>IF(I269&lt;&gt;"",MAX(A$1:A268)+1,"")</f>
        <v>262</v>
      </c>
      <c r="B269" s="74" t="s">
        <v>2401</v>
      </c>
      <c r="C269" s="103" t="s">
        <v>57</v>
      </c>
      <c r="D269" s="103">
        <f t="shared" si="8"/>
        <v>4</v>
      </c>
      <c r="E269" s="89" t="s">
        <v>2884</v>
      </c>
      <c r="G269" s="103">
        <f>ROUND((32768/BASE_TORQ) * MTPVTorque_87,0)</f>
        <v>6181</v>
      </c>
      <c r="H269" s="94" t="str">
        <f>IF(G269&lt;&gt;"",IF(C269="float32",FLOAT2HEX(G269),DEC2HEX(G269,8)),"")</f>
        <v>00001825</v>
      </c>
      <c r="I269" s="94">
        <f t="shared" si="9"/>
        <v>6181</v>
      </c>
    </row>
    <row r="270" spans="1:9">
      <c r="A270" s="96">
        <f>IF(I270&lt;&gt;"",MAX(A$1:A269)+1,"")</f>
        <v>263</v>
      </c>
      <c r="B270" s="97" t="s">
        <v>2402</v>
      </c>
      <c r="C270" s="103" t="s">
        <v>57</v>
      </c>
      <c r="D270" s="103">
        <f t="shared" si="8"/>
        <v>4</v>
      </c>
      <c r="E270" s="89" t="s">
        <v>2885</v>
      </c>
      <c r="G270" s="103">
        <f>ROUND((32768/BASE_ANGLE) * MTPVAngle_87,0)</f>
        <v>27814</v>
      </c>
      <c r="H270" s="94" t="str">
        <f>IF(G270&lt;&gt;"",IF(C270="float32",FLOAT2HEX(G270),DEC2HEX(G270,8)),"")</f>
        <v>00006CA6</v>
      </c>
      <c r="I270" s="94">
        <f t="shared" si="9"/>
        <v>27814</v>
      </c>
    </row>
    <row r="271" spans="1:9">
      <c r="A271" s="96">
        <f>IF(I271&lt;&gt;"",MAX(A$1:A270)+1,"")</f>
        <v>264</v>
      </c>
      <c r="B271" s="97" t="s">
        <v>2403</v>
      </c>
      <c r="C271" s="103" t="s">
        <v>57</v>
      </c>
      <c r="D271" s="103">
        <f t="shared" si="8"/>
        <v>4</v>
      </c>
      <c r="E271" s="89" t="s">
        <v>2886</v>
      </c>
      <c r="G271" s="103">
        <f>ROUND((32768/BASE_FLUX) * MTPVFlux_88,0)</f>
        <v>14472</v>
      </c>
      <c r="H271" s="94" t="str">
        <f>IF(G271&lt;&gt;"",IF(C271="float32",FLOAT2HEX(G271),DEC2HEX(G271,8)),"")</f>
        <v>00003888</v>
      </c>
      <c r="I271" s="94">
        <f t="shared" si="9"/>
        <v>14472</v>
      </c>
    </row>
    <row r="272" spans="1:9">
      <c r="A272" s="96">
        <f>IF(I272&lt;&gt;"",MAX(A$1:A271)+1,"")</f>
        <v>265</v>
      </c>
      <c r="B272" s="74" t="s">
        <v>2404</v>
      </c>
      <c r="C272" s="103" t="s">
        <v>57</v>
      </c>
      <c r="D272" s="103">
        <f t="shared" si="8"/>
        <v>4</v>
      </c>
      <c r="E272" s="89" t="s">
        <v>2887</v>
      </c>
      <c r="G272" s="103">
        <f>ROUND((32768/BASE_TORQ) * MTPVTorque_88,0)</f>
        <v>6233</v>
      </c>
      <c r="H272" s="94" t="str">
        <f>IF(G272&lt;&gt;"",IF(C272="float32",FLOAT2HEX(G272),DEC2HEX(G272,8)),"")</f>
        <v>00001859</v>
      </c>
      <c r="I272" s="94">
        <f t="shared" si="9"/>
        <v>6233</v>
      </c>
    </row>
    <row r="273" spans="1:9">
      <c r="A273" s="96">
        <f>IF(I273&lt;&gt;"",MAX(A$1:A272)+1,"")</f>
        <v>266</v>
      </c>
      <c r="B273" s="97" t="s">
        <v>2405</v>
      </c>
      <c r="C273" s="103" t="s">
        <v>57</v>
      </c>
      <c r="D273" s="103">
        <f t="shared" si="8"/>
        <v>4</v>
      </c>
      <c r="E273" s="89" t="s">
        <v>2888</v>
      </c>
      <c r="G273" s="103">
        <f>ROUND((32768/BASE_ANGLE) * MTPVAngle_88,0)</f>
        <v>27794</v>
      </c>
      <c r="H273" s="94" t="str">
        <f>IF(G273&lt;&gt;"",IF(C273="float32",FLOAT2HEX(G273),DEC2HEX(G273,8)),"")</f>
        <v>00006C92</v>
      </c>
      <c r="I273" s="94">
        <f t="shared" si="9"/>
        <v>27794</v>
      </c>
    </row>
    <row r="274" spans="1:9">
      <c r="A274" s="96">
        <f>IF(I274&lt;&gt;"",MAX(A$1:A273)+1,"")</f>
        <v>267</v>
      </c>
      <c r="B274" s="97" t="s">
        <v>2406</v>
      </c>
      <c r="C274" s="103" t="s">
        <v>57</v>
      </c>
      <c r="D274" s="103">
        <f t="shared" si="8"/>
        <v>4</v>
      </c>
      <c r="E274" s="89" t="s">
        <v>2889</v>
      </c>
      <c r="G274" s="103">
        <f>ROUND((32768/BASE_FLUX) * MTPVFlux_89,0)</f>
        <v>14617</v>
      </c>
      <c r="H274" s="94" t="str">
        <f>IF(G274&lt;&gt;"",IF(C274="float32",FLOAT2HEX(G274),DEC2HEX(G274,8)),"")</f>
        <v>00003919</v>
      </c>
      <c r="I274" s="94">
        <f t="shared" si="9"/>
        <v>14617</v>
      </c>
    </row>
    <row r="275" spans="1:9">
      <c r="A275" s="96">
        <f>IF(I275&lt;&gt;"",MAX(A$1:A274)+1,"")</f>
        <v>268</v>
      </c>
      <c r="B275" s="74" t="s">
        <v>2407</v>
      </c>
      <c r="C275" s="103" t="s">
        <v>57</v>
      </c>
      <c r="D275" s="103">
        <f t="shared" si="8"/>
        <v>4</v>
      </c>
      <c r="E275" s="89" t="s">
        <v>2890</v>
      </c>
      <c r="G275" s="103">
        <f>ROUND((32768/BASE_TORQ) * MTPVTorque_89,0)</f>
        <v>6285</v>
      </c>
      <c r="H275" s="94" t="str">
        <f>IF(G275&lt;&gt;"",IF(C275="float32",FLOAT2HEX(G275),DEC2HEX(G275,8)),"")</f>
        <v>0000188D</v>
      </c>
      <c r="I275" s="94">
        <f t="shared" si="9"/>
        <v>6285</v>
      </c>
    </row>
    <row r="276" spans="1:9">
      <c r="A276" s="96">
        <f>IF(I276&lt;&gt;"",MAX(A$1:A275)+1,"")</f>
        <v>269</v>
      </c>
      <c r="B276" s="97" t="s">
        <v>2408</v>
      </c>
      <c r="C276" s="103" t="s">
        <v>57</v>
      </c>
      <c r="D276" s="103">
        <f t="shared" si="8"/>
        <v>4</v>
      </c>
      <c r="E276" s="89" t="s">
        <v>2891</v>
      </c>
      <c r="G276" s="103">
        <f>ROUND((32768/BASE_ANGLE) * MTPVAngle_89,0)</f>
        <v>27770</v>
      </c>
      <c r="H276" s="94" t="str">
        <f>IF(G276&lt;&gt;"",IF(C276="float32",FLOAT2HEX(G276),DEC2HEX(G276,8)),"")</f>
        <v>00006C7A</v>
      </c>
      <c r="I276" s="94">
        <f t="shared" si="9"/>
        <v>27770</v>
      </c>
    </row>
    <row r="277" spans="1:9">
      <c r="A277" s="96">
        <f>IF(I277&lt;&gt;"",MAX(A$1:A276)+1,"")</f>
        <v>270</v>
      </c>
      <c r="B277" s="97" t="s">
        <v>2409</v>
      </c>
      <c r="C277" s="103" t="s">
        <v>57</v>
      </c>
      <c r="D277" s="103">
        <f t="shared" si="8"/>
        <v>4</v>
      </c>
      <c r="E277" s="89" t="s">
        <v>2892</v>
      </c>
      <c r="G277" s="103">
        <f>ROUND((32768/BASE_FLUX) * MTPVFlux_90,0)</f>
        <v>14763</v>
      </c>
      <c r="H277" s="94" t="str">
        <f>IF(G277&lt;&gt;"",IF(C277="float32",FLOAT2HEX(G277),DEC2HEX(G277,8)),"")</f>
        <v>000039AB</v>
      </c>
      <c r="I277" s="94">
        <f t="shared" si="9"/>
        <v>14763</v>
      </c>
    </row>
    <row r="278" spans="1:9">
      <c r="A278" s="96">
        <f>IF(I278&lt;&gt;"",MAX(A$1:A277)+1,"")</f>
        <v>271</v>
      </c>
      <c r="B278" s="74" t="s">
        <v>2410</v>
      </c>
      <c r="C278" s="103" t="s">
        <v>57</v>
      </c>
      <c r="D278" s="103">
        <f t="shared" si="8"/>
        <v>4</v>
      </c>
      <c r="E278" s="89" t="s">
        <v>2893</v>
      </c>
      <c r="G278" s="103">
        <f>ROUND((32768/BASE_TORQ) * MTPVTorque_90,0)</f>
        <v>6334</v>
      </c>
      <c r="H278" s="94" t="str">
        <f>IF(G278&lt;&gt;"",IF(C278="float32",FLOAT2HEX(G278),DEC2HEX(G278,8)),"")</f>
        <v>000018BE</v>
      </c>
      <c r="I278" s="94">
        <f t="shared" si="9"/>
        <v>6334</v>
      </c>
    </row>
    <row r="279" spans="1:9">
      <c r="A279" s="96">
        <f>IF(I279&lt;&gt;"",MAX(A$1:A278)+1,"")</f>
        <v>272</v>
      </c>
      <c r="B279" s="97" t="s">
        <v>2411</v>
      </c>
      <c r="C279" s="103" t="s">
        <v>57</v>
      </c>
      <c r="D279" s="103">
        <f t="shared" si="8"/>
        <v>4</v>
      </c>
      <c r="E279" s="89" t="s">
        <v>2894</v>
      </c>
      <c r="G279" s="103">
        <f>ROUND((32768/BASE_ANGLE) * MTPVAngle_90,0)</f>
        <v>27742</v>
      </c>
      <c r="H279" s="94" t="str">
        <f>IF(G279&lt;&gt;"",IF(C279="float32",FLOAT2HEX(G279),DEC2HEX(G279,8)),"")</f>
        <v>00006C5E</v>
      </c>
      <c r="I279" s="94">
        <f t="shared" si="9"/>
        <v>27742</v>
      </c>
    </row>
    <row r="280" spans="1:9">
      <c r="A280" s="96">
        <f>IF(I280&lt;&gt;"",MAX(A$1:A279)+1,"")</f>
        <v>273</v>
      </c>
      <c r="B280" s="97" t="s">
        <v>2412</v>
      </c>
      <c r="C280" s="103" t="s">
        <v>57</v>
      </c>
      <c r="D280" s="103">
        <f t="shared" si="8"/>
        <v>4</v>
      </c>
      <c r="E280" s="89" t="s">
        <v>2895</v>
      </c>
      <c r="G280" s="103">
        <f>ROUND((32768/BASE_FLUX) * MTPVFlux_91,0)</f>
        <v>14920</v>
      </c>
      <c r="H280" s="94" t="str">
        <f>IF(G280&lt;&gt;"",IF(C280="float32",FLOAT2HEX(G280),DEC2HEX(G280,8)),"")</f>
        <v>00003A48</v>
      </c>
      <c r="I280" s="94">
        <f t="shared" si="9"/>
        <v>14920</v>
      </c>
    </row>
    <row r="281" spans="1:9">
      <c r="A281" s="96">
        <f>IF(I281&lt;&gt;"",MAX(A$1:A280)+1,"")</f>
        <v>274</v>
      </c>
      <c r="B281" s="74" t="s">
        <v>2413</v>
      </c>
      <c r="C281" s="103" t="s">
        <v>57</v>
      </c>
      <c r="D281" s="103">
        <f t="shared" si="8"/>
        <v>4</v>
      </c>
      <c r="E281" s="89" t="s">
        <v>2896</v>
      </c>
      <c r="G281" s="103">
        <f>ROUND((32768/BASE_TORQ) * MTPVTorque_91,0)</f>
        <v>6381</v>
      </c>
      <c r="H281" s="94" t="str">
        <f>IF(G281&lt;&gt;"",IF(C281="float32",FLOAT2HEX(G281),DEC2HEX(G281,8)),"")</f>
        <v>000018ED</v>
      </c>
      <c r="I281" s="94">
        <f t="shared" si="9"/>
        <v>6381</v>
      </c>
    </row>
    <row r="282" spans="1:9">
      <c r="A282" s="96">
        <f>IF(I282&lt;&gt;"",MAX(A$1:A281)+1,"")</f>
        <v>275</v>
      </c>
      <c r="B282" s="97" t="s">
        <v>2414</v>
      </c>
      <c r="C282" s="103" t="s">
        <v>57</v>
      </c>
      <c r="D282" s="103">
        <f t="shared" si="8"/>
        <v>4</v>
      </c>
      <c r="E282" s="89" t="s">
        <v>2897</v>
      </c>
      <c r="G282" s="103">
        <f>ROUND((32768/BASE_ANGLE) * MTPVAngle_91,0)</f>
        <v>27710</v>
      </c>
      <c r="H282" s="94" t="str">
        <f>IF(G282&lt;&gt;"",IF(C282="float32",FLOAT2HEX(G282),DEC2HEX(G282,8)),"")</f>
        <v>00006C3E</v>
      </c>
      <c r="I282" s="94">
        <f t="shared" si="9"/>
        <v>27710</v>
      </c>
    </row>
    <row r="283" spans="1:9">
      <c r="A283" s="96">
        <f>IF(I283&lt;&gt;"",MAX(A$1:A282)+1,"")</f>
        <v>276</v>
      </c>
      <c r="B283" s="97" t="s">
        <v>2415</v>
      </c>
      <c r="C283" s="103" t="s">
        <v>57</v>
      </c>
      <c r="D283" s="103">
        <f t="shared" si="8"/>
        <v>4</v>
      </c>
      <c r="E283" s="89" t="s">
        <v>2898</v>
      </c>
      <c r="G283" s="103">
        <f>ROUND((32768/BASE_FLUX) * MTPVFlux_92,0)</f>
        <v>15065</v>
      </c>
      <c r="H283" s="94" t="str">
        <f>IF(G283&lt;&gt;"",IF(C283="float32",FLOAT2HEX(G283),DEC2HEX(G283,8)),"")</f>
        <v>00003AD9</v>
      </c>
      <c r="I283" s="94">
        <f t="shared" si="9"/>
        <v>15065</v>
      </c>
    </row>
    <row r="284" spans="1:9">
      <c r="A284" s="96">
        <f>IF(I284&lt;&gt;"",MAX(A$1:A283)+1,"")</f>
        <v>277</v>
      </c>
      <c r="B284" s="74" t="s">
        <v>2416</v>
      </c>
      <c r="C284" s="103" t="s">
        <v>57</v>
      </c>
      <c r="D284" s="103">
        <f t="shared" si="8"/>
        <v>4</v>
      </c>
      <c r="E284" s="89" t="s">
        <v>2899</v>
      </c>
      <c r="G284" s="103">
        <f>ROUND((32768/BASE_TORQ) * MTPVTorque_92,0)</f>
        <v>6427</v>
      </c>
      <c r="H284" s="94" t="str">
        <f>IF(G284&lt;&gt;"",IF(C284="float32",FLOAT2HEX(G284),DEC2HEX(G284,8)),"")</f>
        <v>0000191B</v>
      </c>
      <c r="I284" s="94">
        <f t="shared" si="9"/>
        <v>6427</v>
      </c>
    </row>
    <row r="285" spans="1:9">
      <c r="A285" s="96">
        <f>IF(I285&lt;&gt;"",MAX(A$1:A284)+1,"")</f>
        <v>278</v>
      </c>
      <c r="B285" s="97" t="s">
        <v>2417</v>
      </c>
      <c r="C285" s="103" t="s">
        <v>57</v>
      </c>
      <c r="D285" s="103">
        <f t="shared" si="8"/>
        <v>4</v>
      </c>
      <c r="E285" s="89" t="s">
        <v>2900</v>
      </c>
      <c r="G285" s="103">
        <f>ROUND((32768/BASE_ANGLE) * MTPVAngle_92,0)</f>
        <v>27674</v>
      </c>
      <c r="H285" s="94" t="str">
        <f>IF(G285&lt;&gt;"",IF(C285="float32",FLOAT2HEX(G285),DEC2HEX(G285,8)),"")</f>
        <v>00006C1A</v>
      </c>
      <c r="I285" s="94">
        <f t="shared" si="9"/>
        <v>27674</v>
      </c>
    </row>
    <row r="286" spans="1:9">
      <c r="A286" s="96">
        <f>IF(I286&lt;&gt;"",MAX(A$1:A285)+1,"")</f>
        <v>279</v>
      </c>
      <c r="B286" s="97" t="s">
        <v>2418</v>
      </c>
      <c r="C286" s="103" t="s">
        <v>57</v>
      </c>
      <c r="D286" s="103">
        <f t="shared" si="8"/>
        <v>4</v>
      </c>
      <c r="E286" s="89" t="s">
        <v>2901</v>
      </c>
      <c r="G286" s="103">
        <f>ROUND((32768/BASE_FLUX) * MTPVFlux_93,0)</f>
        <v>15222</v>
      </c>
      <c r="H286" s="94" t="str">
        <f>IF(G286&lt;&gt;"",IF(C286="float32",FLOAT2HEX(G286),DEC2HEX(G286,8)),"")</f>
        <v>00003B76</v>
      </c>
      <c r="I286" s="94">
        <f t="shared" si="9"/>
        <v>15222</v>
      </c>
    </row>
    <row r="287" spans="1:9">
      <c r="A287" s="96">
        <f>IF(I287&lt;&gt;"",MAX(A$1:A286)+1,"")</f>
        <v>280</v>
      </c>
      <c r="B287" s="74" t="s">
        <v>2419</v>
      </c>
      <c r="C287" s="103" t="s">
        <v>57</v>
      </c>
      <c r="D287" s="103">
        <f t="shared" si="8"/>
        <v>4</v>
      </c>
      <c r="E287" s="89" t="s">
        <v>2902</v>
      </c>
      <c r="G287" s="103">
        <f>ROUND((32768/BASE_TORQ) * MTPVTorque_93,0)</f>
        <v>6471</v>
      </c>
      <c r="H287" s="94" t="str">
        <f>IF(G287&lt;&gt;"",IF(C287="float32",FLOAT2HEX(G287),DEC2HEX(G287,8)),"")</f>
        <v>00001947</v>
      </c>
      <c r="I287" s="94">
        <f t="shared" si="9"/>
        <v>6471</v>
      </c>
    </row>
    <row r="288" spans="1:9">
      <c r="A288" s="96">
        <f>IF(I288&lt;&gt;"",MAX(A$1:A287)+1,"")</f>
        <v>281</v>
      </c>
      <c r="B288" s="97" t="s">
        <v>2420</v>
      </c>
      <c r="C288" s="103" t="s">
        <v>57</v>
      </c>
      <c r="D288" s="103">
        <f t="shared" si="8"/>
        <v>4</v>
      </c>
      <c r="E288" s="89" t="s">
        <v>2903</v>
      </c>
      <c r="G288" s="103">
        <f>ROUND((32768/BASE_ANGLE) * MTPVAngle_93,0)</f>
        <v>27636</v>
      </c>
      <c r="H288" s="94" t="str">
        <f>IF(G288&lt;&gt;"",IF(C288="float32",FLOAT2HEX(G288),DEC2HEX(G288,8)),"")</f>
        <v>00006BF4</v>
      </c>
      <c r="I288" s="94">
        <f t="shared" si="9"/>
        <v>27636</v>
      </c>
    </row>
    <row r="289" spans="1:9">
      <c r="A289" s="96">
        <f>IF(I289&lt;&gt;"",MAX(A$1:A288)+1,"")</f>
        <v>282</v>
      </c>
      <c r="B289" s="97" t="s">
        <v>2421</v>
      </c>
      <c r="C289" s="103" t="s">
        <v>57</v>
      </c>
      <c r="D289" s="103">
        <f t="shared" si="8"/>
        <v>4</v>
      </c>
      <c r="E289" s="89" t="s">
        <v>2904</v>
      </c>
      <c r="G289" s="103">
        <f>ROUND((32768/BASE_FLUX) * MTPVFlux_94,0)</f>
        <v>15368</v>
      </c>
      <c r="H289" s="94" t="str">
        <f>IF(G289&lt;&gt;"",IF(C289="float32",FLOAT2HEX(G289),DEC2HEX(G289,8)),"")</f>
        <v>00003C08</v>
      </c>
      <c r="I289" s="94">
        <f t="shared" si="9"/>
        <v>15368</v>
      </c>
    </row>
    <row r="290" spans="1:9">
      <c r="A290" s="96">
        <f>IF(I290&lt;&gt;"",MAX(A$1:A289)+1,"")</f>
        <v>283</v>
      </c>
      <c r="B290" s="74" t="s">
        <v>2422</v>
      </c>
      <c r="C290" s="103" t="s">
        <v>57</v>
      </c>
      <c r="D290" s="103">
        <f t="shared" si="8"/>
        <v>4</v>
      </c>
      <c r="E290" s="89" t="s">
        <v>2905</v>
      </c>
      <c r="G290" s="103">
        <f>ROUND((32768/BASE_TORQ) * MTPVTorque_94,0)</f>
        <v>6514</v>
      </c>
      <c r="H290" s="94" t="str">
        <f>IF(G290&lt;&gt;"",IF(C290="float32",FLOAT2HEX(G290),DEC2HEX(G290,8)),"")</f>
        <v>00001972</v>
      </c>
      <c r="I290" s="94">
        <f t="shared" si="9"/>
        <v>6514</v>
      </c>
    </row>
    <row r="291" spans="1:9">
      <c r="A291" s="96">
        <f>IF(I291&lt;&gt;"",MAX(A$1:A290)+1,"")</f>
        <v>284</v>
      </c>
      <c r="B291" s="97" t="s">
        <v>2423</v>
      </c>
      <c r="C291" s="103" t="s">
        <v>57</v>
      </c>
      <c r="D291" s="103">
        <f t="shared" si="8"/>
        <v>4</v>
      </c>
      <c r="E291" s="89" t="s">
        <v>2906</v>
      </c>
      <c r="G291" s="103">
        <f>ROUND((32768/BASE_ANGLE) * MTPVAngle_94,0)</f>
        <v>27593</v>
      </c>
      <c r="H291" s="94" t="str">
        <f>IF(G291&lt;&gt;"",IF(C291="float32",FLOAT2HEX(G291),DEC2HEX(G291,8)),"")</f>
        <v>00006BC9</v>
      </c>
      <c r="I291" s="94">
        <f t="shared" si="9"/>
        <v>27593</v>
      </c>
    </row>
    <row r="292" spans="1:9">
      <c r="A292" s="96">
        <f>IF(I292&lt;&gt;"",MAX(A$1:A291)+1,"")</f>
        <v>285</v>
      </c>
      <c r="B292" s="97" t="s">
        <v>2424</v>
      </c>
      <c r="C292" s="103" t="s">
        <v>57</v>
      </c>
      <c r="D292" s="103">
        <f t="shared" si="8"/>
        <v>4</v>
      </c>
      <c r="E292" s="89" t="s">
        <v>2907</v>
      </c>
      <c r="G292" s="103">
        <f>ROUND((32768/BASE_FLUX) * MTPVFlux_95,0)</f>
        <v>15525</v>
      </c>
      <c r="H292" s="94" t="str">
        <f>IF(G292&lt;&gt;"",IF(C292="float32",FLOAT2HEX(G292),DEC2HEX(G292,8)),"")</f>
        <v>00003CA5</v>
      </c>
      <c r="I292" s="94">
        <f t="shared" si="9"/>
        <v>15525</v>
      </c>
    </row>
    <row r="293" spans="1:9">
      <c r="A293" s="96">
        <f>IF(I293&lt;&gt;"",MAX(A$1:A292)+1,"")</f>
        <v>286</v>
      </c>
      <c r="B293" s="74" t="s">
        <v>2425</v>
      </c>
      <c r="C293" s="103" t="s">
        <v>57</v>
      </c>
      <c r="D293" s="103">
        <f t="shared" si="8"/>
        <v>4</v>
      </c>
      <c r="E293" s="89" t="s">
        <v>2908</v>
      </c>
      <c r="G293" s="103">
        <f>ROUND((32768/BASE_TORQ) * MTPVTorque_95,0)</f>
        <v>6554</v>
      </c>
      <c r="H293" s="94" t="str">
        <f>IF(G293&lt;&gt;"",IF(C293="float32",FLOAT2HEX(G293),DEC2HEX(G293,8)),"")</f>
        <v>0000199A</v>
      </c>
      <c r="I293" s="94">
        <f t="shared" si="9"/>
        <v>6554</v>
      </c>
    </row>
    <row r="294" spans="1:9">
      <c r="A294" s="96">
        <f>IF(I294&lt;&gt;"",MAX(A$1:A293)+1,"")</f>
        <v>287</v>
      </c>
      <c r="B294" s="97" t="s">
        <v>2426</v>
      </c>
      <c r="C294" s="103" t="s">
        <v>57</v>
      </c>
      <c r="D294" s="103">
        <f t="shared" si="8"/>
        <v>4</v>
      </c>
      <c r="E294" s="89" t="s">
        <v>2909</v>
      </c>
      <c r="G294" s="103">
        <f>ROUND((32768/BASE_ANGLE) * MTPVAngle_95,0)</f>
        <v>27547</v>
      </c>
      <c r="H294" s="94" t="str">
        <f>IF(G294&lt;&gt;"",IF(C294="float32",FLOAT2HEX(G294),DEC2HEX(G294,8)),"")</f>
        <v>00006B9B</v>
      </c>
      <c r="I294" s="94">
        <f t="shared" si="9"/>
        <v>27547</v>
      </c>
    </row>
    <row r="295" spans="1:9">
      <c r="A295" s="96">
        <f>IF(I295&lt;&gt;"",MAX(A$1:A294)+1,"")</f>
        <v>288</v>
      </c>
      <c r="B295" s="97" t="s">
        <v>2427</v>
      </c>
      <c r="C295" s="103" t="s">
        <v>57</v>
      </c>
      <c r="D295" s="103">
        <f t="shared" si="8"/>
        <v>4</v>
      </c>
      <c r="E295" s="89" t="s">
        <v>2910</v>
      </c>
      <c r="G295" s="103">
        <f>ROUND((32768/BASE_FLUX) * MTPVFlux_96,0)</f>
        <v>15670</v>
      </c>
      <c r="H295" s="94" t="str">
        <f>IF(G295&lt;&gt;"",IF(C295="float32",FLOAT2HEX(G295),DEC2HEX(G295,8)),"")</f>
        <v>00003D36</v>
      </c>
      <c r="I295" s="94">
        <f t="shared" si="9"/>
        <v>15670</v>
      </c>
    </row>
    <row r="296" spans="1:9">
      <c r="A296" s="96">
        <f>IF(I296&lt;&gt;"",MAX(A$1:A295)+1,"")</f>
        <v>289</v>
      </c>
      <c r="B296" s="74" t="s">
        <v>2428</v>
      </c>
      <c r="C296" s="103" t="s">
        <v>57</v>
      </c>
      <c r="D296" s="103">
        <f t="shared" si="8"/>
        <v>4</v>
      </c>
      <c r="E296" s="89" t="s">
        <v>2911</v>
      </c>
      <c r="G296" s="103">
        <f>ROUND((32768/BASE_TORQ) * MTPVTorque_96,0)</f>
        <v>6592</v>
      </c>
      <c r="H296" s="94" t="str">
        <f>IF(G296&lt;&gt;"",IF(C296="float32",FLOAT2HEX(G296),DEC2HEX(G296,8)),"")</f>
        <v>000019C0</v>
      </c>
      <c r="I296" s="94">
        <f t="shared" si="9"/>
        <v>6592</v>
      </c>
    </row>
    <row r="297" spans="1:9">
      <c r="A297" s="96">
        <f>IF(I297&lt;&gt;"",MAX(A$1:A296)+1,"")</f>
        <v>290</v>
      </c>
      <c r="B297" s="97" t="s">
        <v>2429</v>
      </c>
      <c r="C297" s="103" t="s">
        <v>57</v>
      </c>
      <c r="D297" s="103">
        <f t="shared" ref="D297:D360" si="10">IF(OR(C297="sint64",C297="uint64",C297="double64"), 8, IF(OR(C297="sint32",C297="uint32",C297="float32"),4,IF(OR(C297="sint16",C297="uint16"),2,  IF(OR(C297="sint8",C297="uint8"),1,""))))</f>
        <v>4</v>
      </c>
      <c r="E297" s="89" t="s">
        <v>2912</v>
      </c>
      <c r="G297" s="103">
        <f>ROUND((32768/BASE_ANGLE) * MTPVAngle_96,0)</f>
        <v>27498</v>
      </c>
      <c r="H297" s="94" t="str">
        <f>IF(G297&lt;&gt;"",IF(C297="float32",FLOAT2HEX(G297),DEC2HEX(G297,8)),"")</f>
        <v>00006B6A</v>
      </c>
      <c r="I297" s="94">
        <f t="shared" ref="I297:I360" si="11">IF(G297&lt;&gt;"",HEX2DEC(H297),"")</f>
        <v>27498</v>
      </c>
    </row>
    <row r="298" spans="1:9">
      <c r="A298" s="96">
        <f>IF(I298&lt;&gt;"",MAX(A$1:A297)+1,"")</f>
        <v>291</v>
      </c>
      <c r="B298" s="97" t="s">
        <v>2430</v>
      </c>
      <c r="C298" s="103" t="s">
        <v>57</v>
      </c>
      <c r="D298" s="103">
        <f t="shared" si="10"/>
        <v>4</v>
      </c>
      <c r="E298" s="89" t="s">
        <v>2913</v>
      </c>
      <c r="G298" s="103">
        <f>ROUND((32768/BASE_FLUX) * MTPVFlux_97,0)</f>
        <v>15827</v>
      </c>
      <c r="H298" s="94" t="str">
        <f>IF(G298&lt;&gt;"",IF(C298="float32",FLOAT2HEX(G298),DEC2HEX(G298,8)),"")</f>
        <v>00003DD3</v>
      </c>
      <c r="I298" s="94">
        <f t="shared" si="11"/>
        <v>15827</v>
      </c>
    </row>
    <row r="299" spans="1:9">
      <c r="A299" s="96">
        <f>IF(I299&lt;&gt;"",MAX(A$1:A298)+1,"")</f>
        <v>292</v>
      </c>
      <c r="B299" s="74" t="s">
        <v>2431</v>
      </c>
      <c r="C299" s="103" t="s">
        <v>57</v>
      </c>
      <c r="D299" s="103">
        <f t="shared" si="10"/>
        <v>4</v>
      </c>
      <c r="E299" s="89" t="s">
        <v>2914</v>
      </c>
      <c r="G299" s="103">
        <f>ROUND((32768/BASE_TORQ) * MTPVTorque_97,0)</f>
        <v>6655</v>
      </c>
      <c r="H299" s="94" t="str">
        <f>IF(G299&lt;&gt;"",IF(C299="float32",FLOAT2HEX(G299),DEC2HEX(G299,8)),"")</f>
        <v>000019FF</v>
      </c>
      <c r="I299" s="94">
        <f t="shared" si="11"/>
        <v>6655</v>
      </c>
    </row>
    <row r="300" spans="1:9">
      <c r="A300" s="96">
        <f>IF(I300&lt;&gt;"",MAX(A$1:A299)+1,"")</f>
        <v>293</v>
      </c>
      <c r="B300" s="97" t="s">
        <v>2432</v>
      </c>
      <c r="C300" s="103" t="s">
        <v>57</v>
      </c>
      <c r="D300" s="103">
        <f t="shared" si="10"/>
        <v>4</v>
      </c>
      <c r="E300" s="89" t="s">
        <v>2915</v>
      </c>
      <c r="G300" s="103">
        <f>ROUND((32768/BASE_ANGLE) * MTPVAngle_97,0)</f>
        <v>27446</v>
      </c>
      <c r="H300" s="94" t="str">
        <f>IF(G300&lt;&gt;"",IF(C300="float32",FLOAT2HEX(G300),DEC2HEX(G300,8)),"")</f>
        <v>00006B36</v>
      </c>
      <c r="I300" s="94">
        <f t="shared" si="11"/>
        <v>27446</v>
      </c>
    </row>
    <row r="301" spans="1:9">
      <c r="A301" s="96">
        <f>IF(I301&lt;&gt;"",MAX(A$1:A300)+1,"")</f>
        <v>294</v>
      </c>
      <c r="B301" s="97" t="s">
        <v>2433</v>
      </c>
      <c r="C301" s="103" t="s">
        <v>57</v>
      </c>
      <c r="D301" s="103">
        <f t="shared" si="10"/>
        <v>4</v>
      </c>
      <c r="E301" s="89" t="s">
        <v>2916</v>
      </c>
      <c r="G301" s="103">
        <f>ROUND((32768/BASE_FLUX) * MTPVFlux_98,0)</f>
        <v>15973</v>
      </c>
      <c r="H301" s="94" t="str">
        <f>IF(G301&lt;&gt;"",IF(C301="float32",FLOAT2HEX(G301),DEC2HEX(G301,8)),"")</f>
        <v>00003E65</v>
      </c>
      <c r="I301" s="94">
        <f t="shared" si="11"/>
        <v>15973</v>
      </c>
    </row>
    <row r="302" spans="1:9">
      <c r="A302" s="96">
        <f>IF(I302&lt;&gt;"",MAX(A$1:A301)+1,"")</f>
        <v>295</v>
      </c>
      <c r="B302" s="74" t="s">
        <v>2434</v>
      </c>
      <c r="C302" s="103" t="s">
        <v>57</v>
      </c>
      <c r="D302" s="103">
        <f t="shared" si="10"/>
        <v>4</v>
      </c>
      <c r="E302" s="89" t="s">
        <v>2917</v>
      </c>
      <c r="G302" s="103">
        <f>ROUND((32768/BASE_TORQ) * MTPVTorque_98,0)</f>
        <v>6758</v>
      </c>
      <c r="H302" s="94" t="str">
        <f>IF(G302&lt;&gt;"",IF(C302="float32",FLOAT2HEX(G302),DEC2HEX(G302,8)),"")</f>
        <v>00001A66</v>
      </c>
      <c r="I302" s="94">
        <f t="shared" si="11"/>
        <v>6758</v>
      </c>
    </row>
    <row r="303" spans="1:9">
      <c r="A303" s="96">
        <f>IF(I303&lt;&gt;"",MAX(A$1:A302)+1,"")</f>
        <v>296</v>
      </c>
      <c r="B303" s="97" t="s">
        <v>2435</v>
      </c>
      <c r="C303" s="103" t="s">
        <v>57</v>
      </c>
      <c r="D303" s="103">
        <f t="shared" si="10"/>
        <v>4</v>
      </c>
      <c r="E303" s="89" t="s">
        <v>2918</v>
      </c>
      <c r="G303" s="103">
        <f>ROUND((32768/BASE_ANGLE) * MTPVAngle_98,0)</f>
        <v>27391</v>
      </c>
      <c r="H303" s="94" t="str">
        <f>IF(G303&lt;&gt;"",IF(C303="float32",FLOAT2HEX(G303),DEC2HEX(G303,8)),"")</f>
        <v>00006AFF</v>
      </c>
      <c r="I303" s="94">
        <f t="shared" si="11"/>
        <v>27391</v>
      </c>
    </row>
    <row r="304" spans="1:9">
      <c r="A304" s="96">
        <f>IF(I304&lt;&gt;"",MAX(A$1:A303)+1,"")</f>
        <v>297</v>
      </c>
      <c r="B304" s="97" t="s">
        <v>2436</v>
      </c>
      <c r="C304" s="103" t="s">
        <v>57</v>
      </c>
      <c r="D304" s="103">
        <f t="shared" si="10"/>
        <v>4</v>
      </c>
      <c r="E304" s="89" t="s">
        <v>2919</v>
      </c>
      <c r="G304" s="103">
        <f>ROUND((32768/BASE_FLUX) * MTPVFlux_99,0)</f>
        <v>16130</v>
      </c>
      <c r="H304" s="94" t="str">
        <f>IF(G304&lt;&gt;"",IF(C304="float32",FLOAT2HEX(G304),DEC2HEX(G304,8)),"")</f>
        <v>00003F02</v>
      </c>
      <c r="I304" s="94">
        <f t="shared" si="11"/>
        <v>16130</v>
      </c>
    </row>
    <row r="305" spans="1:9">
      <c r="A305" s="96">
        <f>IF(I305&lt;&gt;"",MAX(A$1:A304)+1,"")</f>
        <v>298</v>
      </c>
      <c r="B305" s="74" t="s">
        <v>2437</v>
      </c>
      <c r="C305" s="103" t="s">
        <v>57</v>
      </c>
      <c r="D305" s="103">
        <f t="shared" si="10"/>
        <v>4</v>
      </c>
      <c r="E305" s="89" t="s">
        <v>2920</v>
      </c>
      <c r="G305" s="103">
        <f>ROUND((32768/BASE_TORQ) * MTPVTorque_99,0)</f>
        <v>6858</v>
      </c>
      <c r="H305" s="94" t="str">
        <f>IF(G305&lt;&gt;"",IF(C305="float32",FLOAT2HEX(G305),DEC2HEX(G305,8)),"")</f>
        <v>00001ACA</v>
      </c>
      <c r="I305" s="94">
        <f t="shared" si="11"/>
        <v>6858</v>
      </c>
    </row>
    <row r="306" spans="1:9">
      <c r="A306" s="96">
        <f>IF(I306&lt;&gt;"",MAX(A$1:A305)+1,"")</f>
        <v>299</v>
      </c>
      <c r="B306" s="97" t="s">
        <v>2438</v>
      </c>
      <c r="C306" s="103" t="s">
        <v>57</v>
      </c>
      <c r="D306" s="103">
        <f t="shared" si="10"/>
        <v>4</v>
      </c>
      <c r="E306" s="89" t="s">
        <v>2921</v>
      </c>
      <c r="G306" s="103">
        <f>ROUND((32768/BASE_ANGLE) * MTPVAngle_99,0)</f>
        <v>27333</v>
      </c>
      <c r="H306" s="94" t="str">
        <f>IF(G306&lt;&gt;"",IF(C306="float32",FLOAT2HEX(G306),DEC2HEX(G306,8)),"")</f>
        <v>00006AC5</v>
      </c>
      <c r="I306" s="94">
        <f t="shared" si="11"/>
        <v>27333</v>
      </c>
    </row>
    <row r="307" spans="1:9">
      <c r="A307" s="96">
        <f>IF(I307&lt;&gt;"",MAX(A$1:A306)+1,"")</f>
        <v>300</v>
      </c>
      <c r="B307" s="97" t="s">
        <v>2439</v>
      </c>
      <c r="C307" s="103" t="s">
        <v>57</v>
      </c>
      <c r="D307" s="103">
        <f t="shared" si="10"/>
        <v>4</v>
      </c>
      <c r="E307" s="89" t="s">
        <v>2922</v>
      </c>
      <c r="G307" s="103">
        <f>ROUND((32768/BASE_FLUX) * MTPVFlux_100,0)</f>
        <v>16275</v>
      </c>
      <c r="H307" s="94" t="str">
        <f>IF(G307&lt;&gt;"",IF(C307="float32",FLOAT2HEX(G307),DEC2HEX(G307,8)),"")</f>
        <v>00003F93</v>
      </c>
      <c r="I307" s="94">
        <f t="shared" si="11"/>
        <v>16275</v>
      </c>
    </row>
    <row r="308" spans="1:9">
      <c r="A308" s="96">
        <f>IF(I308&lt;&gt;"",MAX(A$1:A307)+1,"")</f>
        <v>301</v>
      </c>
      <c r="B308" s="74" t="s">
        <v>2440</v>
      </c>
      <c r="C308" s="103" t="s">
        <v>57</v>
      </c>
      <c r="D308" s="103">
        <f t="shared" si="10"/>
        <v>4</v>
      </c>
      <c r="E308" s="89" t="s">
        <v>2923</v>
      </c>
      <c r="G308" s="103">
        <f>ROUND((32768/BASE_TORQ) * MTPVTorque_100,0)</f>
        <v>6956</v>
      </c>
      <c r="H308" s="94" t="str">
        <f>IF(G308&lt;&gt;"",IF(C308="float32",FLOAT2HEX(G308),DEC2HEX(G308,8)),"")</f>
        <v>00001B2C</v>
      </c>
      <c r="I308" s="94">
        <f t="shared" si="11"/>
        <v>6956</v>
      </c>
    </row>
    <row r="309" spans="1:9">
      <c r="A309" s="96">
        <f>IF(I309&lt;&gt;"",MAX(A$1:A308)+1,"")</f>
        <v>302</v>
      </c>
      <c r="B309" s="97" t="s">
        <v>2441</v>
      </c>
      <c r="C309" s="103" t="s">
        <v>57</v>
      </c>
      <c r="D309" s="103">
        <f t="shared" si="10"/>
        <v>4</v>
      </c>
      <c r="E309" s="89" t="s">
        <v>2924</v>
      </c>
      <c r="G309" s="103">
        <f>ROUND((32768/BASE_ANGLE) * MTPVAngle_100,0)</f>
        <v>27272</v>
      </c>
      <c r="H309" s="94" t="str">
        <f>IF(G309&lt;&gt;"",IF(C309="float32",FLOAT2HEX(G309),DEC2HEX(G309,8)),"")</f>
        <v>00006A88</v>
      </c>
      <c r="I309" s="94">
        <f t="shared" si="11"/>
        <v>27272</v>
      </c>
    </row>
    <row r="310" spans="1:9">
      <c r="A310" s="96">
        <f>IF(I310&lt;&gt;"",MAX(A$1:A309)+1,"")</f>
        <v>303</v>
      </c>
      <c r="B310" s="97" t="s">
        <v>2442</v>
      </c>
      <c r="C310" s="103" t="s">
        <v>57</v>
      </c>
      <c r="D310" s="103">
        <f t="shared" si="10"/>
        <v>4</v>
      </c>
      <c r="E310" s="89" t="s">
        <v>2925</v>
      </c>
      <c r="G310" s="103">
        <f>ROUND((32768/BASE_FLUX) * MTPVFlux_101,0)</f>
        <v>16420</v>
      </c>
      <c r="H310" s="94" t="str">
        <f>IF(G310&lt;&gt;"",IF(C310="float32",FLOAT2HEX(G310),DEC2HEX(G310,8)),"")</f>
        <v>00004024</v>
      </c>
      <c r="I310" s="94">
        <f t="shared" si="11"/>
        <v>16420</v>
      </c>
    </row>
    <row r="311" spans="1:9">
      <c r="A311" s="96">
        <f>IF(I311&lt;&gt;"",MAX(A$1:A310)+1,"")</f>
        <v>304</v>
      </c>
      <c r="B311" s="74" t="s">
        <v>2443</v>
      </c>
      <c r="C311" s="103" t="s">
        <v>57</v>
      </c>
      <c r="D311" s="103">
        <f t="shared" si="10"/>
        <v>4</v>
      </c>
      <c r="E311" s="89" t="s">
        <v>2926</v>
      </c>
      <c r="G311" s="103">
        <f>ROUND((32768/BASE_TORQ) * MTPVTorque_101,0)</f>
        <v>7051</v>
      </c>
      <c r="H311" s="94" t="str">
        <f>IF(G311&lt;&gt;"",IF(C311="float32",FLOAT2HEX(G311),DEC2HEX(G311,8)),"")</f>
        <v>00001B8B</v>
      </c>
      <c r="I311" s="94">
        <f t="shared" si="11"/>
        <v>7051</v>
      </c>
    </row>
    <row r="312" spans="1:9">
      <c r="A312" s="96">
        <f>IF(I312&lt;&gt;"",MAX(A$1:A311)+1,"")</f>
        <v>305</v>
      </c>
      <c r="B312" s="97" t="s">
        <v>2444</v>
      </c>
      <c r="C312" s="103" t="s">
        <v>57</v>
      </c>
      <c r="D312" s="103">
        <f t="shared" si="10"/>
        <v>4</v>
      </c>
      <c r="E312" s="89" t="s">
        <v>2927</v>
      </c>
      <c r="G312" s="103">
        <f>ROUND((32768/BASE_ANGLE) * MTPVAngle_101,0)</f>
        <v>27208</v>
      </c>
      <c r="H312" s="94" t="str">
        <f>IF(G312&lt;&gt;"",IF(C312="float32",FLOAT2HEX(G312),DEC2HEX(G312,8)),"")</f>
        <v>00006A48</v>
      </c>
      <c r="I312" s="94">
        <f t="shared" si="11"/>
        <v>27208</v>
      </c>
    </row>
    <row r="313" spans="1:9">
      <c r="A313" s="96">
        <f>IF(I313&lt;&gt;"",MAX(A$1:A312)+1,"")</f>
        <v>306</v>
      </c>
      <c r="B313" s="97" t="s">
        <v>2445</v>
      </c>
      <c r="C313" s="103" t="s">
        <v>57</v>
      </c>
      <c r="D313" s="103">
        <f t="shared" si="10"/>
        <v>4</v>
      </c>
      <c r="E313" s="89" t="s">
        <v>2928</v>
      </c>
      <c r="G313" s="103">
        <f>ROUND((32768/BASE_FLUX) * MTPVFlux_102,0)</f>
        <v>16578</v>
      </c>
      <c r="H313" s="94" t="str">
        <f>IF(G313&lt;&gt;"",IF(C313="float32",FLOAT2HEX(G313),DEC2HEX(G313,8)),"")</f>
        <v>000040C2</v>
      </c>
      <c r="I313" s="94">
        <f t="shared" si="11"/>
        <v>16578</v>
      </c>
    </row>
    <row r="314" spans="1:9">
      <c r="A314" s="96">
        <f>IF(I314&lt;&gt;"",MAX(A$1:A313)+1,"")</f>
        <v>307</v>
      </c>
      <c r="B314" s="74" t="s">
        <v>2446</v>
      </c>
      <c r="C314" s="103" t="s">
        <v>57</v>
      </c>
      <c r="D314" s="103">
        <f t="shared" si="10"/>
        <v>4</v>
      </c>
      <c r="E314" s="89" t="s">
        <v>2929</v>
      </c>
      <c r="G314" s="103">
        <f>ROUND((32768/BASE_TORQ) * MTPVTorque_102,0)</f>
        <v>7144</v>
      </c>
      <c r="H314" s="94" t="str">
        <f>IF(G314&lt;&gt;"",IF(C314="float32",FLOAT2HEX(G314),DEC2HEX(G314,8)),"")</f>
        <v>00001BE8</v>
      </c>
      <c r="I314" s="94">
        <f t="shared" si="11"/>
        <v>7144</v>
      </c>
    </row>
    <row r="315" spans="1:9">
      <c r="A315" s="96">
        <f>IF(I315&lt;&gt;"",MAX(A$1:A314)+1,"")</f>
        <v>308</v>
      </c>
      <c r="B315" s="97" t="s">
        <v>2447</v>
      </c>
      <c r="C315" s="103" t="s">
        <v>57</v>
      </c>
      <c r="D315" s="103">
        <f t="shared" si="10"/>
        <v>4</v>
      </c>
      <c r="E315" s="89" t="s">
        <v>2930</v>
      </c>
      <c r="G315" s="103">
        <f>ROUND((32768/BASE_ANGLE) * MTPVAngle_102,0)</f>
        <v>27141</v>
      </c>
      <c r="H315" s="94" t="str">
        <f>IF(G315&lt;&gt;"",IF(C315="float32",FLOAT2HEX(G315),DEC2HEX(G315,8)),"")</f>
        <v>00006A05</v>
      </c>
      <c r="I315" s="94">
        <f t="shared" si="11"/>
        <v>27141</v>
      </c>
    </row>
    <row r="316" spans="1:9">
      <c r="A316" s="96">
        <f>IF(I316&lt;&gt;"",MAX(A$1:A315)+1,"")</f>
        <v>309</v>
      </c>
      <c r="B316" s="97" t="s">
        <v>2448</v>
      </c>
      <c r="C316" s="103" t="s">
        <v>57</v>
      </c>
      <c r="D316" s="103">
        <f t="shared" si="10"/>
        <v>4</v>
      </c>
      <c r="E316" s="89" t="s">
        <v>2931</v>
      </c>
      <c r="G316" s="103">
        <f>ROUND((32768/BASE_FLUX) * MTPVFlux_103,0)</f>
        <v>16723</v>
      </c>
      <c r="H316" s="94" t="str">
        <f>IF(G316&lt;&gt;"",IF(C316="float32",FLOAT2HEX(G316),DEC2HEX(G316,8)),"")</f>
        <v>00004153</v>
      </c>
      <c r="I316" s="94">
        <f t="shared" si="11"/>
        <v>16723</v>
      </c>
    </row>
    <row r="317" spans="1:9">
      <c r="A317" s="96">
        <f>IF(I317&lt;&gt;"",MAX(A$1:A316)+1,"")</f>
        <v>310</v>
      </c>
      <c r="B317" s="74" t="s">
        <v>2449</v>
      </c>
      <c r="C317" s="103" t="s">
        <v>57</v>
      </c>
      <c r="D317" s="103">
        <f t="shared" si="10"/>
        <v>4</v>
      </c>
      <c r="E317" s="89" t="s">
        <v>2932</v>
      </c>
      <c r="G317" s="103">
        <f>ROUND((32768/BASE_TORQ) * MTPVTorque_103,0)</f>
        <v>7235</v>
      </c>
      <c r="H317" s="94" t="str">
        <f>IF(G317&lt;&gt;"",IF(C317="float32",FLOAT2HEX(G317),DEC2HEX(G317,8)),"")</f>
        <v>00001C43</v>
      </c>
      <c r="I317" s="94">
        <f t="shared" si="11"/>
        <v>7235</v>
      </c>
    </row>
    <row r="318" spans="1:9">
      <c r="A318" s="96">
        <f>IF(I318&lt;&gt;"",MAX(A$1:A317)+1,"")</f>
        <v>311</v>
      </c>
      <c r="B318" s="97" t="s">
        <v>2450</v>
      </c>
      <c r="C318" s="103" t="s">
        <v>57</v>
      </c>
      <c r="D318" s="103">
        <f t="shared" si="10"/>
        <v>4</v>
      </c>
      <c r="E318" s="89" t="s">
        <v>2933</v>
      </c>
      <c r="G318" s="103">
        <f>ROUND((32768/BASE_ANGLE) * MTPVAngle_103,0)</f>
        <v>27072</v>
      </c>
      <c r="H318" s="94" t="str">
        <f>IF(G318&lt;&gt;"",IF(C318="float32",FLOAT2HEX(G318),DEC2HEX(G318,8)),"")</f>
        <v>000069C0</v>
      </c>
      <c r="I318" s="94">
        <f t="shared" si="11"/>
        <v>27072</v>
      </c>
    </row>
    <row r="319" spans="1:9">
      <c r="A319" s="96">
        <f>IF(I319&lt;&gt;"",MAX(A$1:A318)+1,"")</f>
        <v>312</v>
      </c>
      <c r="B319" s="97" t="s">
        <v>2451</v>
      </c>
      <c r="C319" s="103" t="s">
        <v>57</v>
      </c>
      <c r="D319" s="103">
        <f t="shared" si="10"/>
        <v>4</v>
      </c>
      <c r="E319" s="89" t="s">
        <v>2934</v>
      </c>
      <c r="G319" s="103">
        <f>ROUND((32768/BASE_FLUX) * MTPVFlux_104,0)</f>
        <v>16880</v>
      </c>
      <c r="H319" s="94" t="str">
        <f>IF(G319&lt;&gt;"",IF(C319="float32",FLOAT2HEX(G319),DEC2HEX(G319,8)),"")</f>
        <v>000041F0</v>
      </c>
      <c r="I319" s="94">
        <f t="shared" si="11"/>
        <v>16880</v>
      </c>
    </row>
    <row r="320" spans="1:9">
      <c r="A320" s="96">
        <f>IF(I320&lt;&gt;"",MAX(A$1:A319)+1,"")</f>
        <v>313</v>
      </c>
      <c r="B320" s="74" t="s">
        <v>2452</v>
      </c>
      <c r="C320" s="103" t="s">
        <v>57</v>
      </c>
      <c r="D320" s="103">
        <f t="shared" si="10"/>
        <v>4</v>
      </c>
      <c r="E320" s="89" t="s">
        <v>2935</v>
      </c>
      <c r="G320" s="103">
        <f>ROUND((32768/BASE_TORQ) * MTPVTorque_104,0)</f>
        <v>7322</v>
      </c>
      <c r="H320" s="94" t="str">
        <f>IF(G320&lt;&gt;"",IF(C320="float32",FLOAT2HEX(G320),DEC2HEX(G320,8)),"")</f>
        <v>00001C9A</v>
      </c>
      <c r="I320" s="94">
        <f t="shared" si="11"/>
        <v>7322</v>
      </c>
    </row>
    <row r="321" spans="1:9">
      <c r="A321" s="96">
        <f>IF(I321&lt;&gt;"",MAX(A$1:A320)+1,"")</f>
        <v>314</v>
      </c>
      <c r="B321" s="97" t="s">
        <v>2453</v>
      </c>
      <c r="C321" s="103" t="s">
        <v>57</v>
      </c>
      <c r="D321" s="103">
        <f t="shared" si="10"/>
        <v>4</v>
      </c>
      <c r="E321" s="89" t="s">
        <v>2936</v>
      </c>
      <c r="G321" s="103">
        <f>ROUND((32768/BASE_ANGLE) * MTPVAngle_104,0)</f>
        <v>27000</v>
      </c>
      <c r="H321" s="94" t="str">
        <f>IF(G321&lt;&gt;"",IF(C321="float32",FLOAT2HEX(G321),DEC2HEX(G321,8)),"")</f>
        <v>00006978</v>
      </c>
      <c r="I321" s="94">
        <f t="shared" si="11"/>
        <v>27000</v>
      </c>
    </row>
    <row r="322" spans="1:9">
      <c r="A322" s="96">
        <f>IF(I322&lt;&gt;"",MAX(A$1:A321)+1,"")</f>
        <v>315</v>
      </c>
      <c r="B322" s="97" t="s">
        <v>2454</v>
      </c>
      <c r="C322" s="103" t="s">
        <v>57</v>
      </c>
      <c r="D322" s="103">
        <f t="shared" si="10"/>
        <v>4</v>
      </c>
      <c r="E322" s="89" t="s">
        <v>2937</v>
      </c>
      <c r="G322" s="103">
        <f>ROUND((32768/BASE_FLUX) * MTPVFlux_105,0)</f>
        <v>17025</v>
      </c>
      <c r="H322" s="94" t="str">
        <f>IF(G322&lt;&gt;"",IF(C322="float32",FLOAT2HEX(G322),DEC2HEX(G322,8)),"")</f>
        <v>00004281</v>
      </c>
      <c r="I322" s="94">
        <f t="shared" si="11"/>
        <v>17025</v>
      </c>
    </row>
    <row r="323" spans="1:9">
      <c r="A323" s="96">
        <f>IF(I323&lt;&gt;"",MAX(A$1:A322)+1,"")</f>
        <v>316</v>
      </c>
      <c r="B323" s="74" t="s">
        <v>2455</v>
      </c>
      <c r="C323" s="103" t="s">
        <v>57</v>
      </c>
      <c r="D323" s="103">
        <f t="shared" si="10"/>
        <v>4</v>
      </c>
      <c r="E323" s="89" t="s">
        <v>2938</v>
      </c>
      <c r="G323" s="103">
        <f>ROUND((32768/BASE_TORQ) * MTPVTorque_105,0)</f>
        <v>7408</v>
      </c>
      <c r="H323" s="94" t="str">
        <f>IF(G323&lt;&gt;"",IF(C323="float32",FLOAT2HEX(G323),DEC2HEX(G323,8)),"")</f>
        <v>00001CF0</v>
      </c>
      <c r="I323" s="94">
        <f t="shared" si="11"/>
        <v>7408</v>
      </c>
    </row>
    <row r="324" spans="1:9">
      <c r="A324" s="96">
        <f>IF(I324&lt;&gt;"",MAX(A$1:A323)+1,"")</f>
        <v>317</v>
      </c>
      <c r="B324" s="97" t="s">
        <v>2456</v>
      </c>
      <c r="C324" s="103" t="s">
        <v>57</v>
      </c>
      <c r="D324" s="103">
        <f t="shared" si="10"/>
        <v>4</v>
      </c>
      <c r="E324" s="89" t="s">
        <v>2939</v>
      </c>
      <c r="G324" s="103">
        <f>ROUND((32768/BASE_ANGLE) * MTPVAngle_105,0)</f>
        <v>26925</v>
      </c>
      <c r="H324" s="94" t="str">
        <f>IF(G324&lt;&gt;"",IF(C324="float32",FLOAT2HEX(G324),DEC2HEX(G324,8)),"")</f>
        <v>0000692D</v>
      </c>
      <c r="I324" s="94">
        <f t="shared" si="11"/>
        <v>26925</v>
      </c>
    </row>
    <row r="325" spans="1:9">
      <c r="A325" s="96">
        <f>IF(I325&lt;&gt;"",MAX(A$1:A324)+1,"")</f>
        <v>318</v>
      </c>
      <c r="B325" s="97" t="s">
        <v>2457</v>
      </c>
      <c r="C325" s="103" t="s">
        <v>57</v>
      </c>
      <c r="D325" s="103">
        <f t="shared" si="10"/>
        <v>4</v>
      </c>
      <c r="E325" s="89" t="s">
        <v>2940</v>
      </c>
      <c r="G325" s="103">
        <f>ROUND((32768/BASE_FLUX) * MTPVFlux_106,0)</f>
        <v>17183</v>
      </c>
      <c r="H325" s="94" t="str">
        <f>IF(G325&lt;&gt;"",IF(C325="float32",FLOAT2HEX(G325),DEC2HEX(G325,8)),"")</f>
        <v>0000431F</v>
      </c>
      <c r="I325" s="94">
        <f t="shared" si="11"/>
        <v>17183</v>
      </c>
    </row>
    <row r="326" spans="1:9">
      <c r="A326" s="96">
        <f>IF(I326&lt;&gt;"",MAX(A$1:A325)+1,"")</f>
        <v>319</v>
      </c>
      <c r="B326" s="74" t="s">
        <v>2458</v>
      </c>
      <c r="C326" s="103" t="s">
        <v>57</v>
      </c>
      <c r="D326" s="103">
        <f t="shared" si="10"/>
        <v>4</v>
      </c>
      <c r="E326" s="89" t="s">
        <v>2941</v>
      </c>
      <c r="G326" s="103">
        <f>ROUND((32768/BASE_TORQ) * MTPVTorque_106,0)</f>
        <v>7491</v>
      </c>
      <c r="H326" s="94" t="str">
        <f>IF(G326&lt;&gt;"",IF(C326="float32",FLOAT2HEX(G326),DEC2HEX(G326,8)),"")</f>
        <v>00001D43</v>
      </c>
      <c r="I326" s="94">
        <f t="shared" si="11"/>
        <v>7491</v>
      </c>
    </row>
    <row r="327" spans="1:9">
      <c r="A327" s="96">
        <f>IF(I327&lt;&gt;"",MAX(A$1:A326)+1,"")</f>
        <v>320</v>
      </c>
      <c r="B327" s="97" t="s">
        <v>2459</v>
      </c>
      <c r="C327" s="103" t="s">
        <v>57</v>
      </c>
      <c r="D327" s="103">
        <f t="shared" si="10"/>
        <v>4</v>
      </c>
      <c r="E327" s="89" t="s">
        <v>2942</v>
      </c>
      <c r="G327" s="103">
        <f>ROUND((32768/BASE_ANGLE) * MTPVAngle_106,0)</f>
        <v>26848</v>
      </c>
      <c r="H327" s="94" t="str">
        <f>IF(G327&lt;&gt;"",IF(C327="float32",FLOAT2HEX(G327),DEC2HEX(G327,8)),"")</f>
        <v>000068E0</v>
      </c>
      <c r="I327" s="94">
        <f t="shared" si="11"/>
        <v>26848</v>
      </c>
    </row>
    <row r="328" spans="1:9">
      <c r="A328" s="96">
        <f>IF(I328&lt;&gt;"",MAX(A$1:A327)+1,"")</f>
        <v>321</v>
      </c>
      <c r="B328" s="97" t="s">
        <v>2460</v>
      </c>
      <c r="C328" s="103" t="s">
        <v>57</v>
      </c>
      <c r="D328" s="103">
        <f t="shared" si="10"/>
        <v>4</v>
      </c>
      <c r="E328" s="89" t="s">
        <v>2943</v>
      </c>
      <c r="G328" s="103">
        <f>ROUND((32768/BASE_FLUX) * MTPVFlux_107,0)</f>
        <v>17328</v>
      </c>
      <c r="H328" s="94" t="str">
        <f>IF(G328&lt;&gt;"",IF(C328="float32",FLOAT2HEX(G328),DEC2HEX(G328,8)),"")</f>
        <v>000043B0</v>
      </c>
      <c r="I328" s="94">
        <f t="shared" si="11"/>
        <v>17328</v>
      </c>
    </row>
    <row r="329" spans="1:9">
      <c r="A329" s="96">
        <f>IF(I329&lt;&gt;"",MAX(A$1:A328)+1,"")</f>
        <v>322</v>
      </c>
      <c r="B329" s="74" t="s">
        <v>2461</v>
      </c>
      <c r="C329" s="103" t="s">
        <v>57</v>
      </c>
      <c r="D329" s="103">
        <f t="shared" si="10"/>
        <v>4</v>
      </c>
      <c r="E329" s="89" t="s">
        <v>2944</v>
      </c>
      <c r="G329" s="103">
        <f>ROUND((32768/BASE_TORQ) * MTPVTorque_107,0)</f>
        <v>7572</v>
      </c>
      <c r="H329" s="94" t="str">
        <f>IF(G329&lt;&gt;"",IF(C329="float32",FLOAT2HEX(G329),DEC2HEX(G329,8)),"")</f>
        <v>00001D94</v>
      </c>
      <c r="I329" s="94">
        <f t="shared" si="11"/>
        <v>7572</v>
      </c>
    </row>
    <row r="330" spans="1:9">
      <c r="A330" s="96">
        <f>IF(I330&lt;&gt;"",MAX(A$1:A329)+1,"")</f>
        <v>323</v>
      </c>
      <c r="B330" s="97" t="s">
        <v>2462</v>
      </c>
      <c r="C330" s="103" t="s">
        <v>57</v>
      </c>
      <c r="D330" s="103">
        <f t="shared" si="10"/>
        <v>4</v>
      </c>
      <c r="E330" s="89" t="s">
        <v>2945</v>
      </c>
      <c r="G330" s="103">
        <f>ROUND((32768/BASE_ANGLE) * MTPVAngle_107,0)</f>
        <v>26768</v>
      </c>
      <c r="H330" s="94" t="str">
        <f>IF(G330&lt;&gt;"",IF(C330="float32",FLOAT2HEX(G330),DEC2HEX(G330,8)),"")</f>
        <v>00006890</v>
      </c>
      <c r="I330" s="94">
        <f t="shared" si="11"/>
        <v>26768</v>
      </c>
    </row>
    <row r="331" spans="1:9">
      <c r="A331" s="96">
        <f>IF(I331&lt;&gt;"",MAX(A$1:A330)+1,"")</f>
        <v>324</v>
      </c>
      <c r="B331" s="97" t="s">
        <v>2463</v>
      </c>
      <c r="C331" s="103" t="s">
        <v>57</v>
      </c>
      <c r="D331" s="103">
        <f t="shared" si="10"/>
        <v>4</v>
      </c>
      <c r="E331" s="89" t="s">
        <v>2946</v>
      </c>
      <c r="G331" s="103">
        <f>ROUND((32768/BASE_FLUX) * MTPVFlux_108,0)</f>
        <v>17485</v>
      </c>
      <c r="H331" s="94" t="str">
        <f>IF(G331&lt;&gt;"",IF(C331="float32",FLOAT2HEX(G331),DEC2HEX(G331,8)),"")</f>
        <v>0000444D</v>
      </c>
      <c r="I331" s="94">
        <f t="shared" si="11"/>
        <v>17485</v>
      </c>
    </row>
    <row r="332" spans="1:9">
      <c r="A332" s="96">
        <f>IF(I332&lt;&gt;"",MAX(A$1:A331)+1,"")</f>
        <v>325</v>
      </c>
      <c r="B332" s="74" t="s">
        <v>2464</v>
      </c>
      <c r="C332" s="103" t="s">
        <v>57</v>
      </c>
      <c r="D332" s="103">
        <f t="shared" si="10"/>
        <v>4</v>
      </c>
      <c r="E332" s="89" t="s">
        <v>2947</v>
      </c>
      <c r="G332" s="103">
        <f>ROUND((32768/BASE_TORQ) * MTPVTorque_108,0)</f>
        <v>7651</v>
      </c>
      <c r="H332" s="94" t="str">
        <f>IF(G332&lt;&gt;"",IF(C332="float32",FLOAT2HEX(G332),DEC2HEX(G332,8)),"")</f>
        <v>00001DE3</v>
      </c>
      <c r="I332" s="94">
        <f t="shared" si="11"/>
        <v>7651</v>
      </c>
    </row>
    <row r="333" spans="1:9">
      <c r="A333" s="96">
        <f>IF(I333&lt;&gt;"",MAX(A$1:A332)+1,"")</f>
        <v>326</v>
      </c>
      <c r="B333" s="97" t="s">
        <v>2465</v>
      </c>
      <c r="C333" s="103" t="s">
        <v>57</v>
      </c>
      <c r="D333" s="103">
        <f t="shared" si="10"/>
        <v>4</v>
      </c>
      <c r="E333" s="89" t="s">
        <v>2948</v>
      </c>
      <c r="G333" s="103">
        <f>ROUND((32768/BASE_ANGLE) * MTPVAngle_108,0)</f>
        <v>26686</v>
      </c>
      <c r="H333" s="94" t="str">
        <f>IF(G333&lt;&gt;"",IF(C333="float32",FLOAT2HEX(G333),DEC2HEX(G333,8)),"")</f>
        <v>0000683E</v>
      </c>
      <c r="I333" s="94">
        <f t="shared" si="11"/>
        <v>26686</v>
      </c>
    </row>
    <row r="334" spans="1:9">
      <c r="A334" s="96">
        <f>IF(I334&lt;&gt;"",MAX(A$1:A333)+1,"")</f>
        <v>327</v>
      </c>
      <c r="B334" s="97" t="s">
        <v>2466</v>
      </c>
      <c r="C334" s="103" t="s">
        <v>57</v>
      </c>
      <c r="D334" s="103">
        <f t="shared" si="10"/>
        <v>4</v>
      </c>
      <c r="E334" s="89" t="s">
        <v>2949</v>
      </c>
      <c r="G334" s="103">
        <f>ROUND((32768/BASE_FLUX) * MTPVFlux_109,0)</f>
        <v>17630</v>
      </c>
      <c r="H334" s="94" t="str">
        <f>IF(G334&lt;&gt;"",IF(C334="float32",FLOAT2HEX(G334),DEC2HEX(G334,8)),"")</f>
        <v>000044DE</v>
      </c>
      <c r="I334" s="94">
        <f t="shared" si="11"/>
        <v>17630</v>
      </c>
    </row>
    <row r="335" spans="1:9">
      <c r="A335" s="96">
        <f>IF(I335&lt;&gt;"",MAX(A$1:A334)+1,"")</f>
        <v>328</v>
      </c>
      <c r="B335" s="74" t="s">
        <v>2467</v>
      </c>
      <c r="C335" s="103" t="s">
        <v>57</v>
      </c>
      <c r="D335" s="103">
        <f t="shared" si="10"/>
        <v>4</v>
      </c>
      <c r="E335" s="89" t="s">
        <v>2950</v>
      </c>
      <c r="G335" s="103">
        <f>ROUND((32768/BASE_TORQ) * MTPVTorque_109,0)</f>
        <v>7728</v>
      </c>
      <c r="H335" s="94" t="str">
        <f>IF(G335&lt;&gt;"",IF(C335="float32",FLOAT2HEX(G335),DEC2HEX(G335,8)),"")</f>
        <v>00001E30</v>
      </c>
      <c r="I335" s="94">
        <f t="shared" si="11"/>
        <v>7728</v>
      </c>
    </row>
    <row r="336" spans="1:9">
      <c r="A336" s="96">
        <f>IF(I336&lt;&gt;"",MAX(A$1:A335)+1,"")</f>
        <v>329</v>
      </c>
      <c r="B336" s="97" t="s">
        <v>2468</v>
      </c>
      <c r="C336" s="103" t="s">
        <v>57</v>
      </c>
      <c r="D336" s="103">
        <f t="shared" si="10"/>
        <v>4</v>
      </c>
      <c r="E336" s="89" t="s">
        <v>2951</v>
      </c>
      <c r="G336" s="103">
        <f>ROUND((32768/BASE_ANGLE) * MTPVAngle_109,0)</f>
        <v>26601</v>
      </c>
      <c r="H336" s="94" t="str">
        <f>IF(G336&lt;&gt;"",IF(C336="float32",FLOAT2HEX(G336),DEC2HEX(G336,8)),"")</f>
        <v>000067E9</v>
      </c>
      <c r="I336" s="94">
        <f t="shared" si="11"/>
        <v>26601</v>
      </c>
    </row>
    <row r="337" spans="1:9">
      <c r="A337" s="96">
        <f>IF(I337&lt;&gt;"",MAX(A$1:A336)+1,"")</f>
        <v>330</v>
      </c>
      <c r="B337" s="97" t="s">
        <v>2469</v>
      </c>
      <c r="C337" s="103" t="s">
        <v>57</v>
      </c>
      <c r="D337" s="103">
        <f t="shared" si="10"/>
        <v>4</v>
      </c>
      <c r="E337" s="89" t="s">
        <v>2952</v>
      </c>
      <c r="G337" s="103">
        <f>ROUND((32768/BASE_FLUX) * MTPVFlux_110,0)</f>
        <v>17788</v>
      </c>
      <c r="H337" s="94" t="str">
        <f>IF(G337&lt;&gt;"",IF(C337="float32",FLOAT2HEX(G337),DEC2HEX(G337,8)),"")</f>
        <v>0000457C</v>
      </c>
      <c r="I337" s="94">
        <f t="shared" si="11"/>
        <v>17788</v>
      </c>
    </row>
    <row r="338" spans="1:9">
      <c r="A338" s="96">
        <f>IF(I338&lt;&gt;"",MAX(A$1:A337)+1,"")</f>
        <v>331</v>
      </c>
      <c r="B338" s="74" t="s">
        <v>2470</v>
      </c>
      <c r="C338" s="103" t="s">
        <v>57</v>
      </c>
      <c r="D338" s="103">
        <f t="shared" si="10"/>
        <v>4</v>
      </c>
      <c r="E338" s="89" t="s">
        <v>2953</v>
      </c>
      <c r="G338" s="103">
        <f>ROUND((32768/BASE_TORQ) * MTPVTorque_110,0)</f>
        <v>7802</v>
      </c>
      <c r="H338" s="94" t="str">
        <f>IF(G338&lt;&gt;"",IF(C338="float32",FLOAT2HEX(G338),DEC2HEX(G338,8)),"")</f>
        <v>00001E7A</v>
      </c>
      <c r="I338" s="94">
        <f t="shared" si="11"/>
        <v>7802</v>
      </c>
    </row>
    <row r="339" spans="1:9">
      <c r="A339" s="96">
        <f>IF(I339&lt;&gt;"",MAX(A$1:A338)+1,"")</f>
        <v>332</v>
      </c>
      <c r="B339" s="97" t="s">
        <v>2471</v>
      </c>
      <c r="C339" s="103" t="s">
        <v>57</v>
      </c>
      <c r="D339" s="103">
        <f t="shared" si="10"/>
        <v>4</v>
      </c>
      <c r="E339" s="89" t="s">
        <v>2954</v>
      </c>
      <c r="G339" s="103">
        <f>ROUND((32768/BASE_ANGLE) * MTPVAngle_110,0)</f>
        <v>26514</v>
      </c>
      <c r="H339" s="94" t="str">
        <f>IF(G339&lt;&gt;"",IF(C339="float32",FLOAT2HEX(G339),DEC2HEX(G339,8)),"")</f>
        <v>00006792</v>
      </c>
      <c r="I339" s="94">
        <f t="shared" si="11"/>
        <v>26514</v>
      </c>
    </row>
    <row r="340" spans="1:9">
      <c r="A340" s="96">
        <f>IF(I340&lt;&gt;"",MAX(A$1:A339)+1,"")</f>
        <v>333</v>
      </c>
      <c r="B340" s="97" t="s">
        <v>2472</v>
      </c>
      <c r="C340" s="103" t="s">
        <v>57</v>
      </c>
      <c r="D340" s="103">
        <f t="shared" si="10"/>
        <v>4</v>
      </c>
      <c r="E340" s="89" t="s">
        <v>2955</v>
      </c>
      <c r="G340" s="103">
        <f>ROUND((32768/BASE_FLUX) * MTPVFlux_111,0)</f>
        <v>17933</v>
      </c>
      <c r="H340" s="94" t="str">
        <f>IF(G340&lt;&gt;"",IF(C340="float32",FLOAT2HEX(G340),DEC2HEX(G340,8)),"")</f>
        <v>0000460D</v>
      </c>
      <c r="I340" s="94">
        <f t="shared" si="11"/>
        <v>17933</v>
      </c>
    </row>
    <row r="341" spans="1:9">
      <c r="A341" s="96">
        <f>IF(I341&lt;&gt;"",MAX(A$1:A340)+1,"")</f>
        <v>334</v>
      </c>
      <c r="B341" s="74" t="s">
        <v>2473</v>
      </c>
      <c r="C341" s="103" t="s">
        <v>57</v>
      </c>
      <c r="D341" s="103">
        <f t="shared" si="10"/>
        <v>4</v>
      </c>
      <c r="E341" s="89" t="s">
        <v>2956</v>
      </c>
      <c r="G341" s="103">
        <f>ROUND((32768/BASE_TORQ) * MTPVTorque_111,0)</f>
        <v>7874</v>
      </c>
      <c r="H341" s="94" t="str">
        <f>IF(G341&lt;&gt;"",IF(C341="float32",FLOAT2HEX(G341),DEC2HEX(G341,8)),"")</f>
        <v>00001EC2</v>
      </c>
      <c r="I341" s="94">
        <f t="shared" si="11"/>
        <v>7874</v>
      </c>
    </row>
    <row r="342" spans="1:9">
      <c r="A342" s="96">
        <f>IF(I342&lt;&gt;"",MAX(A$1:A341)+1,"")</f>
        <v>335</v>
      </c>
      <c r="B342" s="97" t="s">
        <v>2474</v>
      </c>
      <c r="C342" s="103" t="s">
        <v>57</v>
      </c>
      <c r="D342" s="103">
        <f t="shared" si="10"/>
        <v>4</v>
      </c>
      <c r="E342" s="89" t="s">
        <v>2957</v>
      </c>
      <c r="G342" s="103">
        <f>ROUND((32768/BASE_ANGLE) * MTPVAngle_111,0)</f>
        <v>26424</v>
      </c>
      <c r="H342" s="94" t="str">
        <f>IF(G342&lt;&gt;"",IF(C342="float32",FLOAT2HEX(G342),DEC2HEX(G342,8)),"")</f>
        <v>00006738</v>
      </c>
      <c r="I342" s="94">
        <f t="shared" si="11"/>
        <v>26424</v>
      </c>
    </row>
    <row r="343" spans="1:9">
      <c r="A343" s="96">
        <f>IF(I343&lt;&gt;"",MAX(A$1:A342)+1,"")</f>
        <v>336</v>
      </c>
      <c r="B343" s="97" t="s">
        <v>2475</v>
      </c>
      <c r="C343" s="103" t="s">
        <v>57</v>
      </c>
      <c r="D343" s="103">
        <f t="shared" si="10"/>
        <v>4</v>
      </c>
      <c r="E343" s="89" t="s">
        <v>2958</v>
      </c>
      <c r="G343" s="103">
        <f>ROUND((32768/BASE_FLUX) * MTPVFlux_112,0)</f>
        <v>18078</v>
      </c>
      <c r="H343" s="94" t="str">
        <f>IF(G343&lt;&gt;"",IF(C343="float32",FLOAT2HEX(G343),DEC2HEX(G343,8)),"")</f>
        <v>0000469E</v>
      </c>
      <c r="I343" s="94">
        <f t="shared" si="11"/>
        <v>18078</v>
      </c>
    </row>
    <row r="344" spans="1:9">
      <c r="A344" s="96">
        <f>IF(I344&lt;&gt;"",MAX(A$1:A343)+1,"")</f>
        <v>337</v>
      </c>
      <c r="B344" s="74" t="s">
        <v>2476</v>
      </c>
      <c r="C344" s="103" t="s">
        <v>57</v>
      </c>
      <c r="D344" s="103">
        <f t="shared" si="10"/>
        <v>4</v>
      </c>
      <c r="E344" s="89" t="s">
        <v>2959</v>
      </c>
      <c r="G344" s="103">
        <f>ROUND((32768/BASE_TORQ) * MTPVTorque_112,0)</f>
        <v>7944</v>
      </c>
      <c r="H344" s="94" t="str">
        <f>IF(G344&lt;&gt;"",IF(C344="float32",FLOAT2HEX(G344),DEC2HEX(G344,8)),"")</f>
        <v>00001F08</v>
      </c>
      <c r="I344" s="94">
        <f t="shared" si="11"/>
        <v>7944</v>
      </c>
    </row>
    <row r="345" spans="1:9">
      <c r="A345" s="96">
        <f>IF(I345&lt;&gt;"",MAX(A$1:A344)+1,"")</f>
        <v>338</v>
      </c>
      <c r="B345" s="97" t="s">
        <v>2477</v>
      </c>
      <c r="C345" s="103" t="s">
        <v>57</v>
      </c>
      <c r="D345" s="103">
        <f t="shared" si="10"/>
        <v>4</v>
      </c>
      <c r="E345" s="89" t="s">
        <v>2960</v>
      </c>
      <c r="G345" s="103">
        <f>ROUND((32768/BASE_ANGLE) * MTPVAngle_112,0)</f>
        <v>26332</v>
      </c>
      <c r="H345" s="94" t="str">
        <f>IF(G345&lt;&gt;"",IF(C345="float32",FLOAT2HEX(G345),DEC2HEX(G345,8)),"")</f>
        <v>000066DC</v>
      </c>
      <c r="I345" s="94">
        <f t="shared" si="11"/>
        <v>26332</v>
      </c>
    </row>
    <row r="346" spans="1:9">
      <c r="A346" s="96">
        <f>IF(I346&lt;&gt;"",MAX(A$1:A345)+1,"")</f>
        <v>339</v>
      </c>
      <c r="B346" s="97" t="s">
        <v>2478</v>
      </c>
      <c r="C346" s="103" t="s">
        <v>57</v>
      </c>
      <c r="D346" s="103">
        <f t="shared" si="10"/>
        <v>4</v>
      </c>
      <c r="E346" s="89" t="s">
        <v>2961</v>
      </c>
      <c r="G346" s="103">
        <f>ROUND((32768/BASE_FLUX) * MTPVFlux_113,0)</f>
        <v>18235</v>
      </c>
      <c r="H346" s="94" t="str">
        <f>IF(G346&lt;&gt;"",IF(C346="float32",FLOAT2HEX(G346),DEC2HEX(G346,8)),"")</f>
        <v>0000473B</v>
      </c>
      <c r="I346" s="94">
        <f t="shared" si="11"/>
        <v>18235</v>
      </c>
    </row>
    <row r="347" spans="1:9">
      <c r="A347" s="96">
        <f>IF(I347&lt;&gt;"",MAX(A$1:A346)+1,"")</f>
        <v>340</v>
      </c>
      <c r="B347" s="74" t="s">
        <v>2479</v>
      </c>
      <c r="C347" s="103" t="s">
        <v>57</v>
      </c>
      <c r="D347" s="103">
        <f t="shared" si="10"/>
        <v>4</v>
      </c>
      <c r="E347" s="89" t="s">
        <v>2962</v>
      </c>
      <c r="G347" s="103">
        <f>ROUND((32768/BASE_TORQ) * MTPVTorque_113,0)</f>
        <v>8011</v>
      </c>
      <c r="H347" s="94" t="str">
        <f>IF(G347&lt;&gt;"",IF(C347="float32",FLOAT2HEX(G347),DEC2HEX(G347,8)),"")</f>
        <v>00001F4B</v>
      </c>
      <c r="I347" s="94">
        <f t="shared" si="11"/>
        <v>8011</v>
      </c>
    </row>
    <row r="348" spans="1:9">
      <c r="A348" s="96">
        <f>IF(I348&lt;&gt;"",MAX(A$1:A347)+1,"")</f>
        <v>341</v>
      </c>
      <c r="B348" s="97" t="s">
        <v>2480</v>
      </c>
      <c r="C348" s="103" t="s">
        <v>57</v>
      </c>
      <c r="D348" s="103">
        <f t="shared" si="10"/>
        <v>4</v>
      </c>
      <c r="E348" s="89" t="s">
        <v>2963</v>
      </c>
      <c r="G348" s="103">
        <f>ROUND((32768/BASE_ANGLE) * MTPVAngle_113,0)</f>
        <v>26237</v>
      </c>
      <c r="H348" s="94" t="str">
        <f>IF(G348&lt;&gt;"",IF(C348="float32",FLOAT2HEX(G348),DEC2HEX(G348,8)),"")</f>
        <v>0000667D</v>
      </c>
      <c r="I348" s="94">
        <f t="shared" si="11"/>
        <v>26237</v>
      </c>
    </row>
    <row r="349" spans="1:9">
      <c r="A349" s="96">
        <f>IF(I349&lt;&gt;"",MAX(A$1:A348)+1,"")</f>
        <v>342</v>
      </c>
      <c r="B349" s="97" t="s">
        <v>2481</v>
      </c>
      <c r="C349" s="103" t="s">
        <v>57</v>
      </c>
      <c r="D349" s="103">
        <f t="shared" si="10"/>
        <v>4</v>
      </c>
      <c r="E349" s="89" t="s">
        <v>2964</v>
      </c>
      <c r="G349" s="103">
        <f>ROUND((32768/BASE_FLUX) * MTPVFlux_114,0)</f>
        <v>18381</v>
      </c>
      <c r="H349" s="94" t="str">
        <f>IF(G349&lt;&gt;"",IF(C349="float32",FLOAT2HEX(G349),DEC2HEX(G349,8)),"")</f>
        <v>000047CD</v>
      </c>
      <c r="I349" s="94">
        <f t="shared" si="11"/>
        <v>18381</v>
      </c>
    </row>
    <row r="350" spans="1:9">
      <c r="A350" s="96">
        <f>IF(I350&lt;&gt;"",MAX(A$1:A349)+1,"")</f>
        <v>343</v>
      </c>
      <c r="B350" s="74" t="s">
        <v>2482</v>
      </c>
      <c r="C350" s="103" t="s">
        <v>57</v>
      </c>
      <c r="D350" s="103">
        <f t="shared" si="10"/>
        <v>4</v>
      </c>
      <c r="E350" s="89" t="s">
        <v>2965</v>
      </c>
      <c r="G350" s="103">
        <f>ROUND((32768/BASE_TORQ) * MTPVTorque_114,0)</f>
        <v>8076</v>
      </c>
      <c r="H350" s="94" t="str">
        <f>IF(G350&lt;&gt;"",IF(C350="float32",FLOAT2HEX(G350),DEC2HEX(G350,8)),"")</f>
        <v>00001F8C</v>
      </c>
      <c r="I350" s="94">
        <f t="shared" si="11"/>
        <v>8076</v>
      </c>
    </row>
    <row r="351" spans="1:9">
      <c r="A351" s="96">
        <f>IF(I351&lt;&gt;"",MAX(A$1:A350)+1,"")</f>
        <v>344</v>
      </c>
      <c r="B351" s="97" t="s">
        <v>2483</v>
      </c>
      <c r="C351" s="103" t="s">
        <v>57</v>
      </c>
      <c r="D351" s="103">
        <f t="shared" si="10"/>
        <v>4</v>
      </c>
      <c r="E351" s="89" t="s">
        <v>2966</v>
      </c>
      <c r="G351" s="103">
        <f>ROUND((32768/BASE_ANGLE) * MTPVAngle_114,0)</f>
        <v>26140</v>
      </c>
      <c r="H351" s="94" t="str">
        <f>IF(G351&lt;&gt;"",IF(C351="float32",FLOAT2HEX(G351),DEC2HEX(G351,8)),"")</f>
        <v>0000661C</v>
      </c>
      <c r="I351" s="94">
        <f t="shared" si="11"/>
        <v>26140</v>
      </c>
    </row>
    <row r="352" spans="1:9">
      <c r="A352" s="96">
        <f>IF(I352&lt;&gt;"",MAX(A$1:A351)+1,"")</f>
        <v>345</v>
      </c>
      <c r="B352" s="97" t="s">
        <v>2484</v>
      </c>
      <c r="C352" s="103" t="s">
        <v>57</v>
      </c>
      <c r="D352" s="103">
        <f t="shared" si="10"/>
        <v>4</v>
      </c>
      <c r="E352" s="89" t="s">
        <v>2967</v>
      </c>
      <c r="G352" s="103">
        <f>ROUND((32768/BASE_FLUX) * MTPVFlux_115,0)</f>
        <v>18538</v>
      </c>
      <c r="H352" s="94" t="str">
        <f>IF(G352&lt;&gt;"",IF(C352="float32",FLOAT2HEX(G352),DEC2HEX(G352,8)),"")</f>
        <v>0000486A</v>
      </c>
      <c r="I352" s="94">
        <f t="shared" si="11"/>
        <v>18538</v>
      </c>
    </row>
    <row r="353" spans="1:9">
      <c r="A353" s="96">
        <f>IF(I353&lt;&gt;"",MAX(A$1:A352)+1,"")</f>
        <v>346</v>
      </c>
      <c r="B353" s="74" t="s">
        <v>2485</v>
      </c>
      <c r="C353" s="103" t="s">
        <v>57</v>
      </c>
      <c r="D353" s="103">
        <f t="shared" si="10"/>
        <v>4</v>
      </c>
      <c r="E353" s="89" t="s">
        <v>2968</v>
      </c>
      <c r="G353" s="103">
        <f>ROUND((32768/BASE_TORQ) * MTPVTorque_115,0)</f>
        <v>8139</v>
      </c>
      <c r="H353" s="94" t="str">
        <f>IF(G353&lt;&gt;"",IF(C353="float32",FLOAT2HEX(G353),DEC2HEX(G353,8)),"")</f>
        <v>00001FCB</v>
      </c>
      <c r="I353" s="94">
        <f t="shared" si="11"/>
        <v>8139</v>
      </c>
    </row>
    <row r="354" spans="1:9">
      <c r="A354" s="96">
        <f>IF(I354&lt;&gt;"",MAX(A$1:A353)+1,"")</f>
        <v>347</v>
      </c>
      <c r="B354" s="97" t="s">
        <v>2486</v>
      </c>
      <c r="C354" s="103" t="s">
        <v>57</v>
      </c>
      <c r="D354" s="103">
        <f t="shared" si="10"/>
        <v>4</v>
      </c>
      <c r="E354" s="89" t="s">
        <v>2969</v>
      </c>
      <c r="G354" s="103">
        <f>ROUND((32768/BASE_ANGLE) * MTPVAngle_115,0)</f>
        <v>26040</v>
      </c>
      <c r="H354" s="94" t="str">
        <f>IF(G354&lt;&gt;"",IF(C354="float32",FLOAT2HEX(G354),DEC2HEX(G354,8)),"")</f>
        <v>000065B8</v>
      </c>
      <c r="I354" s="94">
        <f t="shared" si="11"/>
        <v>26040</v>
      </c>
    </row>
    <row r="355" spans="1:9">
      <c r="A355" s="96">
        <f>IF(I355&lt;&gt;"",MAX(A$1:A354)+1,"")</f>
        <v>348</v>
      </c>
      <c r="B355" s="97" t="s">
        <v>2487</v>
      </c>
      <c r="C355" s="103" t="s">
        <v>57</v>
      </c>
      <c r="D355" s="103">
        <f t="shared" si="10"/>
        <v>4</v>
      </c>
      <c r="E355" s="89" t="s">
        <v>2970</v>
      </c>
      <c r="G355" s="103">
        <f>ROUND((32768/BASE_FLUX) * MTPVFlux_116,0)</f>
        <v>18683</v>
      </c>
      <c r="H355" s="94" t="str">
        <f>IF(G355&lt;&gt;"",IF(C355="float32",FLOAT2HEX(G355),DEC2HEX(G355,8)),"")</f>
        <v>000048FB</v>
      </c>
      <c r="I355" s="94">
        <f t="shared" si="11"/>
        <v>18683</v>
      </c>
    </row>
    <row r="356" spans="1:9">
      <c r="A356" s="96">
        <f>IF(I356&lt;&gt;"",MAX(A$1:A355)+1,"")</f>
        <v>349</v>
      </c>
      <c r="B356" s="74" t="s">
        <v>2488</v>
      </c>
      <c r="C356" s="103" t="s">
        <v>57</v>
      </c>
      <c r="D356" s="103">
        <f t="shared" si="10"/>
        <v>4</v>
      </c>
      <c r="E356" s="89" t="s">
        <v>2971</v>
      </c>
      <c r="G356" s="103">
        <f>ROUND((32768/BASE_TORQ) * MTPVTorque_116,0)</f>
        <v>8200</v>
      </c>
      <c r="H356" s="94" t="str">
        <f>IF(G356&lt;&gt;"",IF(C356="float32",FLOAT2HEX(G356),DEC2HEX(G356,8)),"")</f>
        <v>00002008</v>
      </c>
      <c r="I356" s="94">
        <f t="shared" si="11"/>
        <v>8200</v>
      </c>
    </row>
    <row r="357" spans="1:9">
      <c r="A357" s="96">
        <f>IF(I357&lt;&gt;"",MAX(A$1:A356)+1,"")</f>
        <v>350</v>
      </c>
      <c r="B357" s="97" t="s">
        <v>2489</v>
      </c>
      <c r="C357" s="103" t="s">
        <v>57</v>
      </c>
      <c r="D357" s="103">
        <f t="shared" si="10"/>
        <v>4</v>
      </c>
      <c r="E357" s="89" t="s">
        <v>2972</v>
      </c>
      <c r="G357" s="103">
        <f>ROUND((32768/BASE_ANGLE) * MTPVAngle_116,0)</f>
        <v>25938</v>
      </c>
      <c r="H357" s="94" t="str">
        <f>IF(G357&lt;&gt;"",IF(C357="float32",FLOAT2HEX(G357),DEC2HEX(G357,8)),"")</f>
        <v>00006552</v>
      </c>
      <c r="I357" s="94">
        <f t="shared" si="11"/>
        <v>25938</v>
      </c>
    </row>
    <row r="358" spans="1:9">
      <c r="A358" s="96">
        <f>IF(I358&lt;&gt;"",MAX(A$1:A357)+1,"")</f>
        <v>351</v>
      </c>
      <c r="B358" s="97" t="s">
        <v>2490</v>
      </c>
      <c r="C358" s="103" t="s">
        <v>57</v>
      </c>
      <c r="D358" s="103">
        <f t="shared" si="10"/>
        <v>4</v>
      </c>
      <c r="E358" s="89" t="s">
        <v>2973</v>
      </c>
      <c r="G358" s="103">
        <f>ROUND((32768/BASE_FLUX) * MTPVFlux_117,0)</f>
        <v>18840</v>
      </c>
      <c r="H358" s="94" t="str">
        <f>IF(G358&lt;&gt;"",IF(C358="float32",FLOAT2HEX(G358),DEC2HEX(G358,8)),"")</f>
        <v>00004998</v>
      </c>
      <c r="I358" s="94">
        <f t="shared" si="11"/>
        <v>18840</v>
      </c>
    </row>
    <row r="359" spans="1:9">
      <c r="A359" s="96">
        <f>IF(I359&lt;&gt;"",MAX(A$1:A358)+1,"")</f>
        <v>352</v>
      </c>
      <c r="B359" s="74" t="s">
        <v>2491</v>
      </c>
      <c r="C359" s="103" t="s">
        <v>57</v>
      </c>
      <c r="D359" s="103">
        <f t="shared" si="10"/>
        <v>4</v>
      </c>
      <c r="E359" s="89" t="s">
        <v>2974</v>
      </c>
      <c r="G359" s="103">
        <f>ROUND((32768/BASE_TORQ) * MTPVTorque_117,0)</f>
        <v>8258</v>
      </c>
      <c r="H359" s="94" t="str">
        <f>IF(G359&lt;&gt;"",IF(C359="float32",FLOAT2HEX(G359),DEC2HEX(G359,8)),"")</f>
        <v>00002042</v>
      </c>
      <c r="I359" s="94">
        <f t="shared" si="11"/>
        <v>8258</v>
      </c>
    </row>
    <row r="360" spans="1:9">
      <c r="A360" s="96">
        <f>IF(I360&lt;&gt;"",MAX(A$1:A359)+1,"")</f>
        <v>353</v>
      </c>
      <c r="B360" s="97" t="s">
        <v>2492</v>
      </c>
      <c r="C360" s="103" t="s">
        <v>57</v>
      </c>
      <c r="D360" s="103">
        <f t="shared" si="10"/>
        <v>4</v>
      </c>
      <c r="E360" s="89" t="s">
        <v>2975</v>
      </c>
      <c r="G360" s="103">
        <f>ROUND((32768/BASE_ANGLE) * MTPVAngle_117,0)</f>
        <v>25834</v>
      </c>
      <c r="H360" s="94" t="str">
        <f>IF(G360&lt;&gt;"",IF(C360="float32",FLOAT2HEX(G360),DEC2HEX(G360,8)),"")</f>
        <v>000064EA</v>
      </c>
      <c r="I360" s="94">
        <f t="shared" si="11"/>
        <v>25834</v>
      </c>
    </row>
    <row r="361" spans="1:9">
      <c r="A361" s="96">
        <f>IF(I361&lt;&gt;"",MAX(A$1:A360)+1,"")</f>
        <v>354</v>
      </c>
      <c r="B361" s="97" t="s">
        <v>2493</v>
      </c>
      <c r="C361" s="103" t="s">
        <v>57</v>
      </c>
      <c r="D361" s="103">
        <f t="shared" ref="D361:D424" si="12">IF(OR(C361="sint64",C361="uint64",C361="double64"), 8, IF(OR(C361="sint32",C361="uint32",C361="float32"),4,IF(OR(C361="sint16",C361="uint16"),2,  IF(OR(C361="sint8",C361="uint8"),1,""))))</f>
        <v>4</v>
      </c>
      <c r="E361" s="89" t="s">
        <v>2976</v>
      </c>
      <c r="G361" s="103">
        <f>ROUND((32768/BASE_FLUX) * MTPVFlux_118,0)</f>
        <v>18986</v>
      </c>
      <c r="H361" s="94" t="str">
        <f>IF(G361&lt;&gt;"",IF(C361="float32",FLOAT2HEX(G361),DEC2HEX(G361,8)),"")</f>
        <v>00004A2A</v>
      </c>
      <c r="I361" s="94">
        <f t="shared" ref="I361:I424" si="13">IF(G361&lt;&gt;"",HEX2DEC(H361),"")</f>
        <v>18986</v>
      </c>
    </row>
    <row r="362" spans="1:9">
      <c r="A362" s="96">
        <f>IF(I362&lt;&gt;"",MAX(A$1:A361)+1,"")</f>
        <v>355</v>
      </c>
      <c r="B362" s="74" t="s">
        <v>2494</v>
      </c>
      <c r="C362" s="103" t="s">
        <v>57</v>
      </c>
      <c r="D362" s="103">
        <f t="shared" si="12"/>
        <v>4</v>
      </c>
      <c r="E362" s="89" t="s">
        <v>2977</v>
      </c>
      <c r="G362" s="103">
        <f>ROUND((32768/BASE_TORQ) * MTPVTorque_118,0)</f>
        <v>8314</v>
      </c>
      <c r="H362" s="94" t="str">
        <f>IF(G362&lt;&gt;"",IF(C362="float32",FLOAT2HEX(G362),DEC2HEX(G362,8)),"")</f>
        <v>0000207A</v>
      </c>
      <c r="I362" s="94">
        <f t="shared" si="13"/>
        <v>8314</v>
      </c>
    </row>
    <row r="363" spans="1:9">
      <c r="A363" s="96">
        <f>IF(I363&lt;&gt;"",MAX(A$1:A362)+1,"")</f>
        <v>356</v>
      </c>
      <c r="B363" s="97" t="s">
        <v>2495</v>
      </c>
      <c r="C363" s="103" t="s">
        <v>57</v>
      </c>
      <c r="D363" s="103">
        <f t="shared" si="12"/>
        <v>4</v>
      </c>
      <c r="E363" s="89" t="s">
        <v>2978</v>
      </c>
      <c r="G363" s="103">
        <f>ROUND((32768/BASE_ANGLE) * MTPVAngle_118,0)</f>
        <v>25727</v>
      </c>
      <c r="H363" s="94" t="str">
        <f>IF(G363&lt;&gt;"",IF(C363="float32",FLOAT2HEX(G363),DEC2HEX(G363,8)),"")</f>
        <v>0000647F</v>
      </c>
      <c r="I363" s="94">
        <f t="shared" si="13"/>
        <v>25727</v>
      </c>
    </row>
    <row r="364" spans="1:9">
      <c r="A364" s="96">
        <f>IF(I364&lt;&gt;"",MAX(A$1:A363)+1,"")</f>
        <v>357</v>
      </c>
      <c r="B364" s="97" t="s">
        <v>2496</v>
      </c>
      <c r="C364" s="103" t="s">
        <v>57</v>
      </c>
      <c r="D364" s="103">
        <f t="shared" si="12"/>
        <v>4</v>
      </c>
      <c r="E364" s="89" t="s">
        <v>2979</v>
      </c>
      <c r="G364" s="103">
        <f>ROUND((32768/BASE_FLUX) * MTPVFlux_119,0)</f>
        <v>19143</v>
      </c>
      <c r="H364" s="94" t="str">
        <f>IF(G364&lt;&gt;"",IF(C364="float32",FLOAT2HEX(G364),DEC2HEX(G364,8)),"")</f>
        <v>00004AC7</v>
      </c>
      <c r="I364" s="94">
        <f t="shared" si="13"/>
        <v>19143</v>
      </c>
    </row>
    <row r="365" spans="1:9">
      <c r="A365" s="96">
        <f>IF(I365&lt;&gt;"",MAX(A$1:A364)+1,"")</f>
        <v>358</v>
      </c>
      <c r="B365" s="74" t="s">
        <v>2497</v>
      </c>
      <c r="C365" s="103" t="s">
        <v>57</v>
      </c>
      <c r="D365" s="103">
        <f t="shared" si="12"/>
        <v>4</v>
      </c>
      <c r="E365" s="89" t="s">
        <v>2980</v>
      </c>
      <c r="G365" s="103">
        <f>ROUND((32768/BASE_TORQ) * MTPVTorque_119,0)</f>
        <v>8368</v>
      </c>
      <c r="H365" s="94" t="str">
        <f>IF(G365&lt;&gt;"",IF(C365="float32",FLOAT2HEX(G365),DEC2HEX(G365,8)),"")</f>
        <v>000020B0</v>
      </c>
      <c r="I365" s="94">
        <f t="shared" si="13"/>
        <v>8368</v>
      </c>
    </row>
    <row r="366" spans="1:9">
      <c r="A366" s="96">
        <f>IF(I366&lt;&gt;"",MAX(A$1:A365)+1,"")</f>
        <v>359</v>
      </c>
      <c r="B366" s="97" t="s">
        <v>2498</v>
      </c>
      <c r="C366" s="103" t="s">
        <v>57</v>
      </c>
      <c r="D366" s="103">
        <f t="shared" si="12"/>
        <v>4</v>
      </c>
      <c r="E366" s="89" t="s">
        <v>2981</v>
      </c>
      <c r="G366" s="103">
        <f>ROUND((32768/BASE_ANGLE) * MTPVAngle_119,0)</f>
        <v>25617</v>
      </c>
      <c r="H366" s="94" t="str">
        <f>IF(G366&lt;&gt;"",IF(C366="float32",FLOAT2HEX(G366),DEC2HEX(G366,8)),"")</f>
        <v>00006411</v>
      </c>
      <c r="I366" s="94">
        <f t="shared" si="13"/>
        <v>25617</v>
      </c>
    </row>
    <row r="367" spans="1:9">
      <c r="A367" s="96">
        <f>IF(I367&lt;&gt;"",MAX(A$1:A366)+1,"")</f>
        <v>360</v>
      </c>
      <c r="B367" s="97" t="s">
        <v>2499</v>
      </c>
      <c r="C367" s="103" t="s">
        <v>57</v>
      </c>
      <c r="D367" s="103">
        <f t="shared" si="12"/>
        <v>4</v>
      </c>
      <c r="E367" s="89" t="s">
        <v>2982</v>
      </c>
      <c r="G367" s="103">
        <f>ROUND((32768/BASE_FLUX) * MTPVFlux_120,0)</f>
        <v>19288</v>
      </c>
      <c r="H367" s="94" t="str">
        <f>IF(G367&lt;&gt;"",IF(C367="float32",FLOAT2HEX(G367),DEC2HEX(G367,8)),"")</f>
        <v>00004B58</v>
      </c>
      <c r="I367" s="94">
        <f t="shared" si="13"/>
        <v>19288</v>
      </c>
    </row>
    <row r="368" spans="1:9">
      <c r="A368" s="96">
        <f>IF(I368&lt;&gt;"",MAX(A$1:A367)+1,"")</f>
        <v>361</v>
      </c>
      <c r="B368" s="74" t="s">
        <v>2500</v>
      </c>
      <c r="C368" s="103" t="s">
        <v>57</v>
      </c>
      <c r="D368" s="103">
        <f t="shared" si="12"/>
        <v>4</v>
      </c>
      <c r="E368" s="89" t="s">
        <v>2983</v>
      </c>
      <c r="G368" s="103">
        <f>ROUND((32768/BASE_TORQ) * MTPVTorque_120,0)</f>
        <v>8419</v>
      </c>
      <c r="H368" s="94" t="str">
        <f>IF(G368&lt;&gt;"",IF(C368="float32",FLOAT2HEX(G368),DEC2HEX(G368,8)),"")</f>
        <v>000020E3</v>
      </c>
      <c r="I368" s="94">
        <f t="shared" si="13"/>
        <v>8419</v>
      </c>
    </row>
    <row r="369" spans="1:9">
      <c r="A369" s="96">
        <f>IF(I369&lt;&gt;"",MAX(A$1:A368)+1,"")</f>
        <v>362</v>
      </c>
      <c r="B369" s="97" t="s">
        <v>2501</v>
      </c>
      <c r="C369" s="103" t="s">
        <v>57</v>
      </c>
      <c r="D369" s="103">
        <f t="shared" si="12"/>
        <v>4</v>
      </c>
      <c r="E369" s="89" t="s">
        <v>2984</v>
      </c>
      <c r="G369" s="103">
        <f>ROUND((32768/BASE_ANGLE) * MTPVAngle_120,0)</f>
        <v>25504</v>
      </c>
      <c r="H369" s="94" t="str">
        <f>IF(G369&lt;&gt;"",IF(C369="float32",FLOAT2HEX(G369),DEC2HEX(G369,8)),"")</f>
        <v>000063A0</v>
      </c>
      <c r="I369" s="94">
        <f t="shared" si="13"/>
        <v>25504</v>
      </c>
    </row>
    <row r="370" spans="1:9">
      <c r="A370" s="96">
        <f>IF(I370&lt;&gt;"",MAX(A$1:A369)+1,"")</f>
        <v>363</v>
      </c>
      <c r="B370" s="97" t="s">
        <v>2502</v>
      </c>
      <c r="C370" s="103" t="s">
        <v>57</v>
      </c>
      <c r="D370" s="103">
        <f t="shared" si="12"/>
        <v>4</v>
      </c>
      <c r="E370" s="89" t="s">
        <v>2985</v>
      </c>
      <c r="G370" s="103">
        <f>ROUND((32768/BASE_FLUX) * MTPVFlux_121,0)</f>
        <v>19433</v>
      </c>
      <c r="H370" s="94" t="str">
        <f>IF(G370&lt;&gt;"",IF(C370="float32",FLOAT2HEX(G370),DEC2HEX(G370,8)),"")</f>
        <v>00004BE9</v>
      </c>
      <c r="I370" s="94">
        <f t="shared" si="13"/>
        <v>19433</v>
      </c>
    </row>
    <row r="371" spans="1:9">
      <c r="A371" s="96">
        <f>IF(I371&lt;&gt;"",MAX(A$1:A370)+1,"")</f>
        <v>364</v>
      </c>
      <c r="B371" s="74" t="s">
        <v>2503</v>
      </c>
      <c r="C371" s="103" t="s">
        <v>57</v>
      </c>
      <c r="D371" s="103">
        <f t="shared" si="12"/>
        <v>4</v>
      </c>
      <c r="E371" s="89" t="s">
        <v>2986</v>
      </c>
      <c r="G371" s="103">
        <f>ROUND((32768/BASE_TORQ) * MTPVTorque_121,0)</f>
        <v>8469</v>
      </c>
      <c r="H371" s="94" t="str">
        <f>IF(G371&lt;&gt;"",IF(C371="float32",FLOAT2HEX(G371),DEC2HEX(G371,8)),"")</f>
        <v>00002115</v>
      </c>
      <c r="I371" s="94">
        <f t="shared" si="13"/>
        <v>8469</v>
      </c>
    </row>
    <row r="372" spans="1:9">
      <c r="A372" s="96">
        <f>IF(I372&lt;&gt;"",MAX(A$1:A371)+1,"")</f>
        <v>365</v>
      </c>
      <c r="B372" s="97" t="s">
        <v>2504</v>
      </c>
      <c r="C372" s="103" t="s">
        <v>57</v>
      </c>
      <c r="D372" s="103">
        <f t="shared" si="12"/>
        <v>4</v>
      </c>
      <c r="E372" s="89" t="s">
        <v>2987</v>
      </c>
      <c r="G372" s="103">
        <f>ROUND((32768/BASE_ANGLE) * MTPVAngle_121,0)</f>
        <v>25389</v>
      </c>
      <c r="H372" s="94" t="str">
        <f>IF(G372&lt;&gt;"",IF(C372="float32",FLOAT2HEX(G372),DEC2HEX(G372,8)),"")</f>
        <v>0000632D</v>
      </c>
      <c r="I372" s="94">
        <f t="shared" si="13"/>
        <v>25389</v>
      </c>
    </row>
    <row r="373" spans="1:9">
      <c r="A373" s="96">
        <f>IF(I373&lt;&gt;"",MAX(A$1:A372)+1,"")</f>
        <v>366</v>
      </c>
      <c r="B373" s="97" t="s">
        <v>2505</v>
      </c>
      <c r="C373" s="103" t="s">
        <v>57</v>
      </c>
      <c r="D373" s="103">
        <f t="shared" si="12"/>
        <v>4</v>
      </c>
      <c r="E373" s="89" t="s">
        <v>2988</v>
      </c>
      <c r="G373" s="103">
        <f>ROUND((32768/BASE_FLUX) * MTPVFlux_122,0)</f>
        <v>19591</v>
      </c>
      <c r="H373" s="94" t="str">
        <f>IF(G373&lt;&gt;"",IF(C373="float32",FLOAT2HEX(G373),DEC2HEX(G373,8)),"")</f>
        <v>00004C87</v>
      </c>
      <c r="I373" s="94">
        <f t="shared" si="13"/>
        <v>19591</v>
      </c>
    </row>
    <row r="374" spans="1:9">
      <c r="A374" s="96">
        <f>IF(I374&lt;&gt;"",MAX(A$1:A373)+1,"")</f>
        <v>367</v>
      </c>
      <c r="B374" s="74" t="s">
        <v>2506</v>
      </c>
      <c r="C374" s="103" t="s">
        <v>57</v>
      </c>
      <c r="D374" s="103">
        <f t="shared" si="12"/>
        <v>4</v>
      </c>
      <c r="E374" s="89" t="s">
        <v>2989</v>
      </c>
      <c r="G374" s="103">
        <f>ROUND((32768/BASE_TORQ) * MTPVTorque_122,0)</f>
        <v>8515</v>
      </c>
      <c r="H374" s="94" t="str">
        <f>IF(G374&lt;&gt;"",IF(C374="float32",FLOAT2HEX(G374),DEC2HEX(G374,8)),"")</f>
        <v>00002143</v>
      </c>
      <c r="I374" s="94">
        <f t="shared" si="13"/>
        <v>8515</v>
      </c>
    </row>
    <row r="375" spans="1:9">
      <c r="A375" s="96">
        <f>IF(I375&lt;&gt;"",MAX(A$1:A374)+1,"")</f>
        <v>368</v>
      </c>
      <c r="B375" s="97" t="s">
        <v>2507</v>
      </c>
      <c r="C375" s="103" t="s">
        <v>57</v>
      </c>
      <c r="D375" s="103">
        <f t="shared" si="12"/>
        <v>4</v>
      </c>
      <c r="E375" s="89" t="s">
        <v>2990</v>
      </c>
      <c r="G375" s="103">
        <f>ROUND((32768/BASE_ANGLE) * MTPVAngle_122,0)</f>
        <v>25271</v>
      </c>
      <c r="H375" s="94" t="str">
        <f>IF(G375&lt;&gt;"",IF(C375="float32",FLOAT2HEX(G375),DEC2HEX(G375,8)),"")</f>
        <v>000062B7</v>
      </c>
      <c r="I375" s="94">
        <f t="shared" si="13"/>
        <v>25271</v>
      </c>
    </row>
    <row r="376" spans="1:9">
      <c r="A376" s="96">
        <f>IF(I376&lt;&gt;"",MAX(A$1:A375)+1,"")</f>
        <v>369</v>
      </c>
      <c r="B376" s="97" t="s">
        <v>2508</v>
      </c>
      <c r="C376" s="103" t="s">
        <v>57</v>
      </c>
      <c r="D376" s="103">
        <f t="shared" si="12"/>
        <v>4</v>
      </c>
      <c r="E376" s="89" t="s">
        <v>2991</v>
      </c>
      <c r="G376" s="103">
        <f>ROUND((32768/BASE_FLUX) * MTPVFlux_123,0)</f>
        <v>19736</v>
      </c>
      <c r="H376" s="94" t="str">
        <f>IF(G376&lt;&gt;"",IF(C376="float32",FLOAT2HEX(G376),DEC2HEX(G376,8)),"")</f>
        <v>00004D18</v>
      </c>
      <c r="I376" s="94">
        <f t="shared" si="13"/>
        <v>19736</v>
      </c>
    </row>
    <row r="377" spans="1:9">
      <c r="A377" s="96">
        <f>IF(I377&lt;&gt;"",MAX(A$1:A376)+1,"")</f>
        <v>370</v>
      </c>
      <c r="B377" s="74" t="s">
        <v>2509</v>
      </c>
      <c r="C377" s="103" t="s">
        <v>57</v>
      </c>
      <c r="D377" s="103">
        <f t="shared" si="12"/>
        <v>4</v>
      </c>
      <c r="E377" s="89" t="s">
        <v>2992</v>
      </c>
      <c r="G377" s="103">
        <f>ROUND((32768/BASE_TORQ) * MTPVTorque_123,0)</f>
        <v>8560</v>
      </c>
      <c r="H377" s="94" t="str">
        <f>IF(G377&lt;&gt;"",IF(C377="float32",FLOAT2HEX(G377),DEC2HEX(G377,8)),"")</f>
        <v>00002170</v>
      </c>
      <c r="I377" s="94">
        <f t="shared" si="13"/>
        <v>8560</v>
      </c>
    </row>
    <row r="378" spans="1:9">
      <c r="A378" s="96">
        <f>IF(I378&lt;&gt;"",MAX(A$1:A377)+1,"")</f>
        <v>371</v>
      </c>
      <c r="B378" s="97" t="s">
        <v>2510</v>
      </c>
      <c r="C378" s="103" t="s">
        <v>57</v>
      </c>
      <c r="D378" s="103">
        <f t="shared" si="12"/>
        <v>4</v>
      </c>
      <c r="E378" s="89" t="s">
        <v>2993</v>
      </c>
      <c r="G378" s="103">
        <f>ROUND((32768/BASE_ANGLE) * MTPVAngle_123,0)</f>
        <v>25150</v>
      </c>
      <c r="H378" s="94" t="str">
        <f>IF(G378&lt;&gt;"",IF(C378="float32",FLOAT2HEX(G378),DEC2HEX(G378,8)),"")</f>
        <v>0000623E</v>
      </c>
      <c r="I378" s="94">
        <f t="shared" si="13"/>
        <v>25150</v>
      </c>
    </row>
    <row r="379" spans="1:9">
      <c r="A379" s="96">
        <f>IF(I379&lt;&gt;"",MAX(A$1:A378)+1,"")</f>
        <v>372</v>
      </c>
      <c r="B379" s="97" t="s">
        <v>2511</v>
      </c>
      <c r="C379" s="103" t="s">
        <v>57</v>
      </c>
      <c r="D379" s="103">
        <f t="shared" si="12"/>
        <v>4</v>
      </c>
      <c r="E379" s="89" t="s">
        <v>2994</v>
      </c>
      <c r="G379" s="103">
        <f>ROUND((32768/BASE_FLUX) * MTPVFlux_124,0)</f>
        <v>19893</v>
      </c>
      <c r="H379" s="94" t="str">
        <f>IF(G379&lt;&gt;"",IF(C379="float32",FLOAT2HEX(G379),DEC2HEX(G379,8)),"")</f>
        <v>00004DB5</v>
      </c>
      <c r="I379" s="94">
        <f t="shared" si="13"/>
        <v>19893</v>
      </c>
    </row>
    <row r="380" spans="1:9">
      <c r="A380" s="96">
        <f>IF(I380&lt;&gt;"",MAX(A$1:A379)+1,"")</f>
        <v>373</v>
      </c>
      <c r="B380" s="74" t="s">
        <v>2512</v>
      </c>
      <c r="C380" s="103" t="s">
        <v>57</v>
      </c>
      <c r="D380" s="103">
        <f t="shared" si="12"/>
        <v>4</v>
      </c>
      <c r="E380" s="89" t="s">
        <v>2995</v>
      </c>
      <c r="G380" s="103">
        <f>ROUND((32768/BASE_TORQ) * MTPVTorque_124,0)</f>
        <v>8602</v>
      </c>
      <c r="H380" s="94" t="str">
        <f>IF(G380&lt;&gt;"",IF(C380="float32",FLOAT2HEX(G380),DEC2HEX(G380,8)),"")</f>
        <v>0000219A</v>
      </c>
      <c r="I380" s="94">
        <f t="shared" si="13"/>
        <v>8602</v>
      </c>
    </row>
    <row r="381" spans="1:9">
      <c r="A381" s="96">
        <f>IF(I381&lt;&gt;"",MAX(A$1:A380)+1,"")</f>
        <v>374</v>
      </c>
      <c r="B381" s="97" t="s">
        <v>2513</v>
      </c>
      <c r="C381" s="103" t="s">
        <v>57</v>
      </c>
      <c r="D381" s="103">
        <f t="shared" si="12"/>
        <v>4</v>
      </c>
      <c r="E381" s="89" t="s">
        <v>2996</v>
      </c>
      <c r="G381" s="103">
        <f>ROUND((32768/BASE_ANGLE) * MTPVAngle_124,0)</f>
        <v>25059</v>
      </c>
      <c r="H381" s="94" t="str">
        <f>IF(G381&lt;&gt;"",IF(C381="float32",FLOAT2HEX(G381),DEC2HEX(G381,8)),"")</f>
        <v>000061E3</v>
      </c>
      <c r="I381" s="94">
        <f t="shared" si="13"/>
        <v>25059</v>
      </c>
    </row>
    <row r="382" spans="1:9">
      <c r="A382" s="96">
        <f>IF(I382&lt;&gt;"",MAX(A$1:A381)+1,"")</f>
        <v>375</v>
      </c>
      <c r="B382" s="97" t="s">
        <v>2514</v>
      </c>
      <c r="C382" s="103" t="s">
        <v>57</v>
      </c>
      <c r="D382" s="103">
        <f t="shared" si="12"/>
        <v>4</v>
      </c>
      <c r="E382" s="89" t="s">
        <v>2997</v>
      </c>
      <c r="G382" s="103">
        <f>ROUND((32768/BASE_FLUX) * MTPVFlux_125,0)</f>
        <v>20038</v>
      </c>
      <c r="H382" s="94" t="str">
        <f>IF(G382&lt;&gt;"",IF(C382="float32",FLOAT2HEX(G382),DEC2HEX(G382,8)),"")</f>
        <v>00004E46</v>
      </c>
      <c r="I382" s="94">
        <f t="shared" si="13"/>
        <v>20038</v>
      </c>
    </row>
    <row r="383" spans="1:9">
      <c r="A383" s="96">
        <f>IF(I383&lt;&gt;"",MAX(A$1:A382)+1,"")</f>
        <v>376</v>
      </c>
      <c r="B383" s="74" t="s">
        <v>2515</v>
      </c>
      <c r="C383" s="103" t="s">
        <v>57</v>
      </c>
      <c r="D383" s="103">
        <f t="shared" si="12"/>
        <v>4</v>
      </c>
      <c r="E383" s="89" t="s">
        <v>2998</v>
      </c>
      <c r="G383" s="103">
        <f>ROUND((32768/BASE_TORQ) * MTPVTorque_125,0)</f>
        <v>8641</v>
      </c>
      <c r="H383" s="94" t="str">
        <f>IF(G383&lt;&gt;"",IF(C383="float32",FLOAT2HEX(G383),DEC2HEX(G383,8)),"")</f>
        <v>000021C1</v>
      </c>
      <c r="I383" s="94">
        <f t="shared" si="13"/>
        <v>8641</v>
      </c>
    </row>
    <row r="384" spans="1:9">
      <c r="A384" s="96">
        <f>IF(I384&lt;&gt;"",MAX(A$1:A383)+1,"")</f>
        <v>377</v>
      </c>
      <c r="B384" s="97" t="s">
        <v>2516</v>
      </c>
      <c r="C384" s="103" t="s">
        <v>57</v>
      </c>
      <c r="D384" s="103">
        <f t="shared" si="12"/>
        <v>4</v>
      </c>
      <c r="E384" s="89" t="s">
        <v>2999</v>
      </c>
      <c r="G384" s="103">
        <f>ROUND((32768/BASE_ANGLE) * MTPVAngle_125,0)</f>
        <v>24973</v>
      </c>
      <c r="H384" s="94" t="str">
        <f>IF(G384&lt;&gt;"",IF(C384="float32",FLOAT2HEX(G384),DEC2HEX(G384,8)),"")</f>
        <v>0000618D</v>
      </c>
      <c r="I384" s="94">
        <f t="shared" si="13"/>
        <v>24973</v>
      </c>
    </row>
    <row r="385" spans="1:9">
      <c r="A385" s="96">
        <f>IF(I385&lt;&gt;"",MAX(A$1:A384)+1,"")</f>
        <v>378</v>
      </c>
      <c r="B385" s="97" t="s">
        <v>2517</v>
      </c>
      <c r="C385" s="103" t="s">
        <v>57</v>
      </c>
      <c r="D385" s="103">
        <f t="shared" si="12"/>
        <v>4</v>
      </c>
      <c r="E385" s="89" t="s">
        <v>3000</v>
      </c>
      <c r="G385" s="103">
        <f>ROUND((32768/BASE_FLUX) * MTPVFlux_126,0)</f>
        <v>20196</v>
      </c>
      <c r="H385" s="94" t="str">
        <f>IF(G385&lt;&gt;"",IF(C385="float32",FLOAT2HEX(G385),DEC2HEX(G385,8)),"")</f>
        <v>00004EE4</v>
      </c>
      <c r="I385" s="94">
        <f t="shared" si="13"/>
        <v>20196</v>
      </c>
    </row>
    <row r="386" spans="1:9">
      <c r="A386" s="96">
        <f>IF(I386&lt;&gt;"",MAX(A$1:A385)+1,"")</f>
        <v>379</v>
      </c>
      <c r="B386" s="74" t="s">
        <v>2518</v>
      </c>
      <c r="C386" s="103" t="s">
        <v>57</v>
      </c>
      <c r="D386" s="103">
        <f t="shared" si="12"/>
        <v>4</v>
      </c>
      <c r="E386" s="89" t="s">
        <v>3001</v>
      </c>
      <c r="G386" s="103">
        <f>ROUND((32768/BASE_TORQ) * MTPVTorque_126,0)</f>
        <v>8679</v>
      </c>
      <c r="H386" s="94" t="str">
        <f>IF(G386&lt;&gt;"",IF(C386="float32",FLOAT2HEX(G386),DEC2HEX(G386,8)),"")</f>
        <v>000021E7</v>
      </c>
      <c r="I386" s="94">
        <f t="shared" si="13"/>
        <v>8679</v>
      </c>
    </row>
    <row r="387" spans="1:9">
      <c r="A387" s="96">
        <f>IF(I387&lt;&gt;"",MAX(A$1:A386)+1,"")</f>
        <v>380</v>
      </c>
      <c r="B387" s="97" t="s">
        <v>2519</v>
      </c>
      <c r="C387" s="103" t="s">
        <v>57</v>
      </c>
      <c r="D387" s="103">
        <f t="shared" si="12"/>
        <v>4</v>
      </c>
      <c r="E387" s="89" t="s">
        <v>3002</v>
      </c>
      <c r="G387" s="103">
        <f>ROUND((32768/BASE_ANGLE) * MTPVAngle_126,0)</f>
        <v>24890</v>
      </c>
      <c r="H387" s="94" t="str">
        <f>IF(G387&lt;&gt;"",IF(C387="float32",FLOAT2HEX(G387),DEC2HEX(G387,8)),"")</f>
        <v>0000613A</v>
      </c>
      <c r="I387" s="94">
        <f t="shared" si="13"/>
        <v>24890</v>
      </c>
    </row>
    <row r="388" spans="1:9">
      <c r="A388" s="96">
        <f>IF(I388&lt;&gt;"",MAX(A$1:A387)+1,"")</f>
        <v>381</v>
      </c>
      <c r="B388" s="97" t="s">
        <v>2520</v>
      </c>
      <c r="C388" s="103" t="s">
        <v>57</v>
      </c>
      <c r="D388" s="103">
        <f t="shared" si="12"/>
        <v>4</v>
      </c>
      <c r="E388" s="89" t="s">
        <v>3003</v>
      </c>
      <c r="G388" s="103">
        <f>ROUND((32768/BASE_FLUX) * MTPVFlux_127,0)</f>
        <v>20341</v>
      </c>
      <c r="H388" s="94" t="str">
        <f>IF(G388&lt;&gt;"",IF(C388="float32",FLOAT2HEX(G388),DEC2HEX(G388,8)),"")</f>
        <v>00004F75</v>
      </c>
      <c r="I388" s="94">
        <f t="shared" si="13"/>
        <v>20341</v>
      </c>
    </row>
    <row r="389" spans="1:9">
      <c r="A389" s="96">
        <f>IF(I389&lt;&gt;"",MAX(A$1:A388)+1,"")</f>
        <v>382</v>
      </c>
      <c r="B389" s="74" t="s">
        <v>2521</v>
      </c>
      <c r="C389" s="103" t="s">
        <v>57</v>
      </c>
      <c r="D389" s="103">
        <f t="shared" si="12"/>
        <v>4</v>
      </c>
      <c r="E389" s="89" t="s">
        <v>3004</v>
      </c>
      <c r="G389" s="103">
        <f>ROUND((32768/BASE_TORQ) * MTPVTorque_127,0)</f>
        <v>8713</v>
      </c>
      <c r="H389" s="94" t="str">
        <f>IF(G389&lt;&gt;"",IF(C389="float32",FLOAT2HEX(G389),DEC2HEX(G389,8)),"")</f>
        <v>00002209</v>
      </c>
      <c r="I389" s="94">
        <f t="shared" si="13"/>
        <v>8713</v>
      </c>
    </row>
    <row r="390" spans="1:9">
      <c r="A390" s="96">
        <f>IF(I390&lt;&gt;"",MAX(A$1:A389)+1,"")</f>
        <v>383</v>
      </c>
      <c r="B390" s="97" t="s">
        <v>2522</v>
      </c>
      <c r="C390" s="103" t="s">
        <v>57</v>
      </c>
      <c r="D390" s="103">
        <f t="shared" si="12"/>
        <v>4</v>
      </c>
      <c r="E390" s="89" t="s">
        <v>3005</v>
      </c>
      <c r="G390" s="103">
        <f>ROUND((32768/BASE_ANGLE) * MTPVAngle_127,0)</f>
        <v>24808</v>
      </c>
      <c r="H390" s="94" t="str">
        <f>IF(G390&lt;&gt;"",IF(C390="float32",FLOAT2HEX(G390),DEC2HEX(G390,8)),"")</f>
        <v>000060E8</v>
      </c>
      <c r="I390" s="94">
        <f t="shared" si="13"/>
        <v>24808</v>
      </c>
    </row>
    <row r="391" spans="1:9">
      <c r="A391" s="96">
        <f>IF(I391&lt;&gt;"",MAX(A$1:A390)+1,"")</f>
        <v>384</v>
      </c>
      <c r="B391" s="97" t="s">
        <v>2523</v>
      </c>
      <c r="C391" s="103" t="s">
        <v>57</v>
      </c>
      <c r="D391" s="103">
        <f t="shared" si="12"/>
        <v>4</v>
      </c>
      <c r="E391" s="89" t="s">
        <v>3006</v>
      </c>
      <c r="G391" s="103">
        <f>ROUND((32768/BASE_FLUX) * MTPVFlux_128,0)</f>
        <v>20498</v>
      </c>
      <c r="H391" s="94" t="str">
        <f>IF(G391&lt;&gt;"",IF(C391="float32",FLOAT2HEX(G391),DEC2HEX(G391,8)),"")</f>
        <v>00005012</v>
      </c>
      <c r="I391" s="94">
        <f t="shared" si="13"/>
        <v>20498</v>
      </c>
    </row>
    <row r="392" spans="1:9">
      <c r="A392" s="96">
        <f>IF(I392&lt;&gt;"",MAX(A$1:A391)+1,"")</f>
        <v>385</v>
      </c>
      <c r="B392" s="74" t="s">
        <v>2524</v>
      </c>
      <c r="C392" s="103" t="s">
        <v>57</v>
      </c>
      <c r="D392" s="103">
        <f t="shared" si="12"/>
        <v>4</v>
      </c>
      <c r="E392" s="89" t="s">
        <v>3007</v>
      </c>
      <c r="G392" s="103">
        <f>ROUND((32768/BASE_TORQ) * MTPVTorque_128,0)</f>
        <v>8746</v>
      </c>
      <c r="H392" s="94" t="str">
        <f>IF(G392&lt;&gt;"",IF(C392="float32",FLOAT2HEX(G392),DEC2HEX(G392,8)),"")</f>
        <v>0000222A</v>
      </c>
      <c r="I392" s="94">
        <f t="shared" si="13"/>
        <v>8746</v>
      </c>
    </row>
    <row r="393" spans="1:9">
      <c r="A393" s="96">
        <f>IF(I393&lt;&gt;"",MAX(A$1:A392)+1,"")</f>
        <v>386</v>
      </c>
      <c r="B393" s="97" t="s">
        <v>2525</v>
      </c>
      <c r="C393" s="103" t="s">
        <v>57</v>
      </c>
      <c r="D393" s="103">
        <f t="shared" si="12"/>
        <v>4</v>
      </c>
      <c r="E393" s="89" t="s">
        <v>3008</v>
      </c>
      <c r="G393" s="103">
        <f>ROUND((32768/BASE_ANGLE) * MTPVAngle_128,0)</f>
        <v>24728</v>
      </c>
      <c r="H393" s="94" t="str">
        <f>IF(G393&lt;&gt;"",IF(C393="float32",FLOAT2HEX(G393),DEC2HEX(G393,8)),"")</f>
        <v>00006098</v>
      </c>
      <c r="I393" s="94">
        <f t="shared" si="13"/>
        <v>24728</v>
      </c>
    </row>
    <row r="394" spans="1:9">
      <c r="A394" s="96">
        <f>IF(I394&lt;&gt;"",MAX(A$1:A393)+1,"")</f>
        <v>387</v>
      </c>
      <c r="B394" s="97" t="s">
        <v>2526</v>
      </c>
      <c r="C394" s="103" t="s">
        <v>57</v>
      </c>
      <c r="D394" s="103">
        <f t="shared" si="12"/>
        <v>4</v>
      </c>
      <c r="E394" s="89" t="s">
        <v>3009</v>
      </c>
      <c r="G394" s="103">
        <f>ROUND((32768/BASE_FLUX) * MTPVFlux_129,0)</f>
        <v>20643</v>
      </c>
      <c r="H394" s="94" t="str">
        <f>IF(G394&lt;&gt;"",IF(C394="float32",FLOAT2HEX(G394),DEC2HEX(G394,8)),"")</f>
        <v>000050A3</v>
      </c>
      <c r="I394" s="94">
        <f t="shared" si="13"/>
        <v>20643</v>
      </c>
    </row>
    <row r="395" spans="1:9">
      <c r="A395" s="96">
        <f>IF(I395&lt;&gt;"",MAX(A$1:A394)+1,"")</f>
        <v>388</v>
      </c>
      <c r="B395" s="74" t="s">
        <v>2527</v>
      </c>
      <c r="C395" s="103" t="s">
        <v>57</v>
      </c>
      <c r="D395" s="103">
        <f t="shared" si="12"/>
        <v>4</v>
      </c>
      <c r="E395" s="89" t="s">
        <v>3010</v>
      </c>
      <c r="G395" s="103">
        <f>ROUND((32768/BASE_TORQ) * MTPVTorque_129,0)</f>
        <v>8775</v>
      </c>
      <c r="H395" s="94" t="str">
        <f>IF(G395&lt;&gt;"",IF(C395="float32",FLOAT2HEX(G395),DEC2HEX(G395,8)),"")</f>
        <v>00002247</v>
      </c>
      <c r="I395" s="94">
        <f t="shared" si="13"/>
        <v>8775</v>
      </c>
    </row>
    <row r="396" spans="1:9">
      <c r="A396" s="96">
        <f>IF(I396&lt;&gt;"",MAX(A$1:A395)+1,"")</f>
        <v>389</v>
      </c>
      <c r="B396" s="97" t="s">
        <v>2528</v>
      </c>
      <c r="C396" s="103" t="s">
        <v>57</v>
      </c>
      <c r="D396" s="103">
        <f t="shared" si="12"/>
        <v>4</v>
      </c>
      <c r="E396" s="89" t="s">
        <v>3011</v>
      </c>
      <c r="G396" s="103">
        <f>ROUND((32768/BASE_ANGLE) * MTPVAngle_129,0)</f>
        <v>24650</v>
      </c>
      <c r="H396" s="94" t="str">
        <f>IF(G396&lt;&gt;"",IF(C396="float32",FLOAT2HEX(G396),DEC2HEX(G396,8)),"")</f>
        <v>0000604A</v>
      </c>
      <c r="I396" s="94">
        <f t="shared" si="13"/>
        <v>24650</v>
      </c>
    </row>
    <row r="397" spans="1:9">
      <c r="A397" s="96">
        <f>IF(I397&lt;&gt;"",MAX(A$1:A396)+1,"")</f>
        <v>390</v>
      </c>
      <c r="B397" s="97" t="s">
        <v>2529</v>
      </c>
      <c r="C397" s="103" t="s">
        <v>57</v>
      </c>
      <c r="D397" s="103">
        <f t="shared" si="12"/>
        <v>4</v>
      </c>
      <c r="E397" s="89" t="s">
        <v>3012</v>
      </c>
      <c r="G397" s="103">
        <f>ROUND((32768/BASE_FLUX) * MTPVFlux_130,0)</f>
        <v>20801</v>
      </c>
      <c r="H397" s="94" t="str">
        <f>IF(G397&lt;&gt;"",IF(C397="float32",FLOAT2HEX(G397),DEC2HEX(G397,8)),"")</f>
        <v>00005141</v>
      </c>
      <c r="I397" s="94">
        <f t="shared" si="13"/>
        <v>20801</v>
      </c>
    </row>
    <row r="398" spans="1:9">
      <c r="A398" s="96">
        <f>IF(I398&lt;&gt;"",MAX(A$1:A397)+1,"")</f>
        <v>391</v>
      </c>
      <c r="B398" s="74" t="s">
        <v>2530</v>
      </c>
      <c r="C398" s="103" t="s">
        <v>57</v>
      </c>
      <c r="D398" s="103">
        <f t="shared" si="12"/>
        <v>4</v>
      </c>
      <c r="E398" s="89" t="s">
        <v>3013</v>
      </c>
      <c r="G398" s="103">
        <f>ROUND((32768/BASE_TORQ) * MTPVTorque_130,0)</f>
        <v>8802</v>
      </c>
      <c r="H398" s="94" t="str">
        <f>IF(G398&lt;&gt;"",IF(C398="float32",FLOAT2HEX(G398),DEC2HEX(G398,8)),"")</f>
        <v>00002262</v>
      </c>
      <c r="I398" s="94">
        <f t="shared" si="13"/>
        <v>8802</v>
      </c>
    </row>
    <row r="399" spans="1:9">
      <c r="A399" s="96">
        <f>IF(I399&lt;&gt;"",MAX(A$1:A398)+1,"")</f>
        <v>392</v>
      </c>
      <c r="B399" s="97" t="s">
        <v>2531</v>
      </c>
      <c r="C399" s="103" t="s">
        <v>57</v>
      </c>
      <c r="D399" s="103">
        <f t="shared" si="12"/>
        <v>4</v>
      </c>
      <c r="E399" s="89" t="s">
        <v>3014</v>
      </c>
      <c r="G399" s="103">
        <f>ROUND((32768/BASE_ANGLE) * MTPVAngle_130,0)</f>
        <v>24574</v>
      </c>
      <c r="H399" s="94" t="str">
        <f>IF(G399&lt;&gt;"",IF(C399="float32",FLOAT2HEX(G399),DEC2HEX(G399,8)),"")</f>
        <v>00005FFE</v>
      </c>
      <c r="I399" s="94">
        <f t="shared" si="13"/>
        <v>24574</v>
      </c>
    </row>
    <row r="400" spans="1:9">
      <c r="A400" s="96">
        <f>IF(I400&lt;&gt;"",MAX(A$1:A399)+1,"")</f>
        <v>393</v>
      </c>
      <c r="B400" s="97" t="s">
        <v>2532</v>
      </c>
      <c r="C400" s="103" t="s">
        <v>57</v>
      </c>
      <c r="D400" s="103">
        <f t="shared" si="12"/>
        <v>4</v>
      </c>
      <c r="E400" s="89" t="s">
        <v>3015</v>
      </c>
      <c r="G400" s="103">
        <f>ROUND((32768/BASE_FLUX) * MTPVFlux_131,0)</f>
        <v>20946</v>
      </c>
      <c r="H400" s="94" t="str">
        <f>IF(G400&lt;&gt;"",IF(C400="float32",FLOAT2HEX(G400),DEC2HEX(G400,8)),"")</f>
        <v>000051D2</v>
      </c>
      <c r="I400" s="94">
        <f t="shared" si="13"/>
        <v>20946</v>
      </c>
    </row>
    <row r="401" spans="1:9">
      <c r="A401" s="96">
        <f>IF(I401&lt;&gt;"",MAX(A$1:A400)+1,"")</f>
        <v>394</v>
      </c>
      <c r="B401" s="74" t="s">
        <v>2533</v>
      </c>
      <c r="C401" s="103" t="s">
        <v>57</v>
      </c>
      <c r="D401" s="103">
        <f t="shared" si="12"/>
        <v>4</v>
      </c>
      <c r="E401" s="89" t="s">
        <v>3016</v>
      </c>
      <c r="G401" s="103">
        <f>ROUND((32768/BASE_TORQ) * MTPVTorque_131,0)</f>
        <v>8827</v>
      </c>
      <c r="H401" s="94" t="str">
        <f>IF(G401&lt;&gt;"",IF(C401="float32",FLOAT2HEX(G401),DEC2HEX(G401,8)),"")</f>
        <v>0000227B</v>
      </c>
      <c r="I401" s="94">
        <f t="shared" si="13"/>
        <v>8827</v>
      </c>
    </row>
    <row r="402" spans="1:9">
      <c r="A402" s="96">
        <f>IF(I402&lt;&gt;"",MAX(A$1:A401)+1,"")</f>
        <v>395</v>
      </c>
      <c r="B402" s="97" t="s">
        <v>2534</v>
      </c>
      <c r="C402" s="103" t="s">
        <v>57</v>
      </c>
      <c r="D402" s="103">
        <f t="shared" si="12"/>
        <v>4</v>
      </c>
      <c r="E402" s="89" t="s">
        <v>3017</v>
      </c>
      <c r="G402" s="103">
        <f>ROUND((32768/BASE_ANGLE) * MTPVAngle_131,0)</f>
        <v>24499</v>
      </c>
      <c r="H402" s="94" t="str">
        <f>IF(G402&lt;&gt;"",IF(C402="float32",FLOAT2HEX(G402),DEC2HEX(G402,8)),"")</f>
        <v>00005FB3</v>
      </c>
      <c r="I402" s="94">
        <f t="shared" si="13"/>
        <v>24499</v>
      </c>
    </row>
    <row r="403" spans="1:9">
      <c r="A403" s="96">
        <f>IF(I403&lt;&gt;"",MAX(A$1:A402)+1,"")</f>
        <v>396</v>
      </c>
      <c r="B403" s="97" t="s">
        <v>2535</v>
      </c>
      <c r="C403" s="103" t="s">
        <v>57</v>
      </c>
      <c r="D403" s="103">
        <f t="shared" si="12"/>
        <v>4</v>
      </c>
      <c r="E403" s="89" t="s">
        <v>3018</v>
      </c>
      <c r="G403" s="103">
        <f>ROUND((32768/BASE_FLUX) * MTPVFlux_132,0)</f>
        <v>21091</v>
      </c>
      <c r="H403" s="94" t="str">
        <f>IF(G403&lt;&gt;"",IF(C403="float32",FLOAT2HEX(G403),DEC2HEX(G403,8)),"")</f>
        <v>00005263</v>
      </c>
      <c r="I403" s="94">
        <f t="shared" si="13"/>
        <v>21091</v>
      </c>
    </row>
    <row r="404" spans="1:9">
      <c r="A404" s="96">
        <f>IF(I404&lt;&gt;"",MAX(A$1:A403)+1,"")</f>
        <v>397</v>
      </c>
      <c r="B404" s="74" t="s">
        <v>2536</v>
      </c>
      <c r="C404" s="103" t="s">
        <v>57</v>
      </c>
      <c r="D404" s="103">
        <f t="shared" si="12"/>
        <v>4</v>
      </c>
      <c r="E404" s="89" t="s">
        <v>3019</v>
      </c>
      <c r="G404" s="103">
        <f>ROUND((32768/BASE_TORQ) * MTPVTorque_132,0)</f>
        <v>8849</v>
      </c>
      <c r="H404" s="94" t="str">
        <f>IF(G404&lt;&gt;"",IF(C404="float32",FLOAT2HEX(G404),DEC2HEX(G404,8)),"")</f>
        <v>00002291</v>
      </c>
      <c r="I404" s="94">
        <f t="shared" si="13"/>
        <v>8849</v>
      </c>
    </row>
    <row r="405" spans="1:9">
      <c r="A405" s="96">
        <f>IF(I405&lt;&gt;"",MAX(A$1:A404)+1,"")</f>
        <v>398</v>
      </c>
      <c r="B405" s="97" t="s">
        <v>2537</v>
      </c>
      <c r="C405" s="103" t="s">
        <v>57</v>
      </c>
      <c r="D405" s="103">
        <f t="shared" si="12"/>
        <v>4</v>
      </c>
      <c r="E405" s="89" t="s">
        <v>3020</v>
      </c>
      <c r="G405" s="103">
        <f>ROUND((32768/BASE_ANGLE) * MTPVAngle_132,0)</f>
        <v>24426</v>
      </c>
      <c r="H405" s="94" t="str">
        <f>IF(G405&lt;&gt;"",IF(C405="float32",FLOAT2HEX(G405),DEC2HEX(G405,8)),"")</f>
        <v>00005F6A</v>
      </c>
      <c r="I405" s="94">
        <f t="shared" si="13"/>
        <v>24426</v>
      </c>
    </row>
    <row r="406" spans="1:9">
      <c r="A406" s="96">
        <f>IF(I406&lt;&gt;"",MAX(A$1:A405)+1,"")</f>
        <v>399</v>
      </c>
      <c r="B406" s="97" t="s">
        <v>2538</v>
      </c>
      <c r="C406" s="103" t="s">
        <v>57</v>
      </c>
      <c r="D406" s="103">
        <f t="shared" si="12"/>
        <v>4</v>
      </c>
      <c r="E406" s="89" t="s">
        <v>3021</v>
      </c>
      <c r="G406" s="103">
        <f>ROUND((32768/BASE_FLUX) * MTPVFlux_133,0)</f>
        <v>21248</v>
      </c>
      <c r="H406" s="94" t="str">
        <f>IF(G406&lt;&gt;"",IF(C406="float32",FLOAT2HEX(G406),DEC2HEX(G406,8)),"")</f>
        <v>00005300</v>
      </c>
      <c r="I406" s="94">
        <f t="shared" si="13"/>
        <v>21248</v>
      </c>
    </row>
    <row r="407" spans="1:9">
      <c r="A407" s="96">
        <f>IF(I407&lt;&gt;"",MAX(A$1:A406)+1,"")</f>
        <v>400</v>
      </c>
      <c r="B407" s="74" t="s">
        <v>2539</v>
      </c>
      <c r="C407" s="103" t="s">
        <v>57</v>
      </c>
      <c r="D407" s="103">
        <f t="shared" si="12"/>
        <v>4</v>
      </c>
      <c r="E407" s="89" t="s">
        <v>3022</v>
      </c>
      <c r="G407" s="103">
        <f>ROUND((32768/BASE_TORQ) * MTPVTorque_133,0)</f>
        <v>8868</v>
      </c>
      <c r="H407" s="94" t="str">
        <f>IF(G407&lt;&gt;"",IF(C407="float32",FLOAT2HEX(G407),DEC2HEX(G407,8)),"")</f>
        <v>000022A4</v>
      </c>
      <c r="I407" s="94">
        <f t="shared" si="13"/>
        <v>8868</v>
      </c>
    </row>
    <row r="408" spans="1:9">
      <c r="A408" s="96">
        <f>IF(I408&lt;&gt;"",MAX(A$1:A407)+1,"")</f>
        <v>401</v>
      </c>
      <c r="B408" s="97" t="s">
        <v>2540</v>
      </c>
      <c r="C408" s="103" t="s">
        <v>57</v>
      </c>
      <c r="D408" s="103">
        <f t="shared" si="12"/>
        <v>4</v>
      </c>
      <c r="E408" s="89" t="s">
        <v>3023</v>
      </c>
      <c r="G408" s="103">
        <f>ROUND((32768/BASE_ANGLE) * MTPVAngle_133,0)</f>
        <v>24354</v>
      </c>
      <c r="H408" s="94" t="str">
        <f>IF(G408&lt;&gt;"",IF(C408="float32",FLOAT2HEX(G408),DEC2HEX(G408,8)),"")</f>
        <v>00005F22</v>
      </c>
      <c r="I408" s="94">
        <f t="shared" si="13"/>
        <v>24354</v>
      </c>
    </row>
    <row r="409" spans="1:9">
      <c r="A409" s="96">
        <f>IF(I409&lt;&gt;"",MAX(A$1:A408)+1,"")</f>
        <v>402</v>
      </c>
      <c r="B409" s="97" t="s">
        <v>2541</v>
      </c>
      <c r="C409" s="103" t="s">
        <v>57</v>
      </c>
      <c r="D409" s="103">
        <f t="shared" si="12"/>
        <v>4</v>
      </c>
      <c r="E409" s="89" t="s">
        <v>3024</v>
      </c>
      <c r="G409" s="103">
        <f>ROUND((32768/BASE_FLUX) * MTPVFlux_134,0)</f>
        <v>21394</v>
      </c>
      <c r="H409" s="94" t="str">
        <f>IF(G409&lt;&gt;"",IF(C409="float32",FLOAT2HEX(G409),DEC2HEX(G409,8)),"")</f>
        <v>00005392</v>
      </c>
      <c r="I409" s="94">
        <f t="shared" si="13"/>
        <v>21394</v>
      </c>
    </row>
    <row r="410" spans="1:9">
      <c r="A410" s="96">
        <f>IF(I410&lt;&gt;"",MAX(A$1:A409)+1,"")</f>
        <v>403</v>
      </c>
      <c r="B410" s="74" t="s">
        <v>2542</v>
      </c>
      <c r="C410" s="103" t="s">
        <v>57</v>
      </c>
      <c r="D410" s="103">
        <f t="shared" si="12"/>
        <v>4</v>
      </c>
      <c r="E410" s="89" t="s">
        <v>3025</v>
      </c>
      <c r="G410" s="103">
        <f>ROUND((32768/BASE_TORQ) * MTPVTorque_134,0)</f>
        <v>8884</v>
      </c>
      <c r="H410" s="94" t="str">
        <f>IF(G410&lt;&gt;"",IF(C410="float32",FLOAT2HEX(G410),DEC2HEX(G410,8)),"")</f>
        <v>000022B4</v>
      </c>
      <c r="I410" s="94">
        <f t="shared" si="13"/>
        <v>8884</v>
      </c>
    </row>
    <row r="411" spans="1:9">
      <c r="A411" s="96">
        <f>IF(I411&lt;&gt;"",MAX(A$1:A410)+1,"")</f>
        <v>404</v>
      </c>
      <c r="B411" s="97" t="s">
        <v>2543</v>
      </c>
      <c r="C411" s="103" t="s">
        <v>57</v>
      </c>
      <c r="D411" s="103">
        <f t="shared" si="12"/>
        <v>4</v>
      </c>
      <c r="E411" s="89" t="s">
        <v>3026</v>
      </c>
      <c r="G411" s="103">
        <f>ROUND((32768/BASE_ANGLE) * MTPVAngle_134,0)</f>
        <v>24284</v>
      </c>
      <c r="H411" s="94" t="str">
        <f>IF(G411&lt;&gt;"",IF(C411="float32",FLOAT2HEX(G411),DEC2HEX(G411,8)),"")</f>
        <v>00005EDC</v>
      </c>
      <c r="I411" s="94">
        <f t="shared" si="13"/>
        <v>24284</v>
      </c>
    </row>
    <row r="412" spans="1:9">
      <c r="A412" s="96">
        <f>IF(I412&lt;&gt;"",MAX(A$1:A411)+1,"")</f>
        <v>405</v>
      </c>
      <c r="B412" s="97" t="s">
        <v>2544</v>
      </c>
      <c r="C412" s="103" t="s">
        <v>57</v>
      </c>
      <c r="D412" s="103">
        <f t="shared" si="12"/>
        <v>4</v>
      </c>
      <c r="E412" s="89" t="s">
        <v>3027</v>
      </c>
      <c r="G412" s="103">
        <f>ROUND((32768/BASE_FLUX) * MTPVFlux_135,0)</f>
        <v>21551</v>
      </c>
      <c r="H412" s="94" t="str">
        <f>IF(G412&lt;&gt;"",IF(C412="float32",FLOAT2HEX(G412),DEC2HEX(G412,8)),"")</f>
        <v>0000542F</v>
      </c>
      <c r="I412" s="94">
        <f t="shared" si="13"/>
        <v>21551</v>
      </c>
    </row>
    <row r="413" spans="1:9">
      <c r="A413" s="96">
        <f>IF(I413&lt;&gt;"",MAX(A$1:A412)+1,"")</f>
        <v>406</v>
      </c>
      <c r="B413" s="74" t="s">
        <v>2545</v>
      </c>
      <c r="C413" s="103" t="s">
        <v>57</v>
      </c>
      <c r="D413" s="103">
        <f t="shared" si="12"/>
        <v>4</v>
      </c>
      <c r="E413" s="89" t="s">
        <v>3028</v>
      </c>
      <c r="G413" s="103">
        <f>ROUND((32768/BASE_TORQ) * MTPVTorque_135,0)</f>
        <v>8897</v>
      </c>
      <c r="H413" s="94" t="str">
        <f>IF(G413&lt;&gt;"",IF(C413="float32",FLOAT2HEX(G413),DEC2HEX(G413,8)),"")</f>
        <v>000022C1</v>
      </c>
      <c r="I413" s="94">
        <f t="shared" si="13"/>
        <v>8897</v>
      </c>
    </row>
    <row r="414" spans="1:9">
      <c r="A414" s="96">
        <f>IF(I414&lt;&gt;"",MAX(A$1:A413)+1,"")</f>
        <v>407</v>
      </c>
      <c r="B414" s="97" t="s">
        <v>2546</v>
      </c>
      <c r="C414" s="103" t="s">
        <v>57</v>
      </c>
      <c r="D414" s="103">
        <f t="shared" si="12"/>
        <v>4</v>
      </c>
      <c r="E414" s="89" t="s">
        <v>3029</v>
      </c>
      <c r="G414" s="103">
        <f>ROUND((32768/BASE_ANGLE) * MTPVAngle_135,0)</f>
        <v>24215</v>
      </c>
      <c r="H414" s="94" t="str">
        <f>IF(G414&lt;&gt;"",IF(C414="float32",FLOAT2HEX(G414),DEC2HEX(G414,8)),"")</f>
        <v>00005E97</v>
      </c>
      <c r="I414" s="94">
        <f t="shared" si="13"/>
        <v>24215</v>
      </c>
    </row>
    <row r="415" spans="1:9">
      <c r="A415" s="96">
        <f>IF(I415&lt;&gt;"",MAX(A$1:A414)+1,"")</f>
        <v>408</v>
      </c>
      <c r="B415" s="97" t="s">
        <v>2547</v>
      </c>
      <c r="C415" s="103" t="s">
        <v>57</v>
      </c>
      <c r="D415" s="103">
        <f t="shared" si="12"/>
        <v>4</v>
      </c>
      <c r="E415" s="89" t="s">
        <v>3030</v>
      </c>
      <c r="G415" s="103">
        <f>ROUND((32768/BASE_FLUX) * MTPVFlux_136,0)</f>
        <v>21696</v>
      </c>
      <c r="H415" s="94" t="str">
        <f>IF(G415&lt;&gt;"",IF(C415="float32",FLOAT2HEX(G415),DEC2HEX(G415,8)),"")</f>
        <v>000054C0</v>
      </c>
      <c r="I415" s="94">
        <f t="shared" si="13"/>
        <v>21696</v>
      </c>
    </row>
    <row r="416" spans="1:9">
      <c r="A416" s="96">
        <f>IF(I416&lt;&gt;"",MAX(A$1:A415)+1,"")</f>
        <v>409</v>
      </c>
      <c r="B416" s="74" t="s">
        <v>2548</v>
      </c>
      <c r="C416" s="103" t="s">
        <v>57</v>
      </c>
      <c r="D416" s="103">
        <f t="shared" si="12"/>
        <v>4</v>
      </c>
      <c r="E416" s="89" t="s">
        <v>3031</v>
      </c>
      <c r="G416" s="103">
        <f>ROUND((32768/BASE_TORQ) * MTPVTorque_136,0)</f>
        <v>8908</v>
      </c>
      <c r="H416" s="94" t="str">
        <f>IF(G416&lt;&gt;"",IF(C416="float32",FLOAT2HEX(G416),DEC2HEX(G416,8)),"")</f>
        <v>000022CC</v>
      </c>
      <c r="I416" s="94">
        <f t="shared" si="13"/>
        <v>8908</v>
      </c>
    </row>
    <row r="417" spans="1:9">
      <c r="A417" s="96">
        <f>IF(I417&lt;&gt;"",MAX(A$1:A416)+1,"")</f>
        <v>410</v>
      </c>
      <c r="B417" s="97" t="s">
        <v>2549</v>
      </c>
      <c r="C417" s="103" t="s">
        <v>57</v>
      </c>
      <c r="D417" s="103">
        <f t="shared" si="12"/>
        <v>4</v>
      </c>
      <c r="E417" s="89" t="s">
        <v>3032</v>
      </c>
      <c r="G417" s="103">
        <f>ROUND((32768/BASE_ANGLE) * MTPVAngle_136,0)</f>
        <v>24148</v>
      </c>
      <c r="H417" s="94" t="str">
        <f>IF(G417&lt;&gt;"",IF(C417="float32",FLOAT2HEX(G417),DEC2HEX(G417,8)),"")</f>
        <v>00005E54</v>
      </c>
      <c r="I417" s="94">
        <f t="shared" si="13"/>
        <v>24148</v>
      </c>
    </row>
    <row r="418" spans="1:9">
      <c r="A418" s="96">
        <f>IF(I418&lt;&gt;"",MAX(A$1:A417)+1,"")</f>
        <v>411</v>
      </c>
      <c r="B418" s="97" t="s">
        <v>2550</v>
      </c>
      <c r="C418" s="103" t="s">
        <v>57</v>
      </c>
      <c r="D418" s="103">
        <f t="shared" si="12"/>
        <v>4</v>
      </c>
      <c r="E418" s="89" t="s">
        <v>3033</v>
      </c>
      <c r="G418" s="103">
        <f>ROUND((32768/BASE_FLUX) * MTPVFlux_137,0)</f>
        <v>21853</v>
      </c>
      <c r="H418" s="94" t="str">
        <f>IF(G418&lt;&gt;"",IF(C418="float32",FLOAT2HEX(G418),DEC2HEX(G418,8)),"")</f>
        <v>0000555D</v>
      </c>
      <c r="I418" s="94">
        <f t="shared" si="13"/>
        <v>21853</v>
      </c>
    </row>
    <row r="419" spans="1:9">
      <c r="A419" s="96">
        <f>IF(I419&lt;&gt;"",MAX(A$1:A418)+1,"")</f>
        <v>412</v>
      </c>
      <c r="B419" s="74" t="s">
        <v>2551</v>
      </c>
      <c r="C419" s="103" t="s">
        <v>57</v>
      </c>
      <c r="D419" s="103">
        <f t="shared" si="12"/>
        <v>4</v>
      </c>
      <c r="E419" s="89" t="s">
        <v>3034</v>
      </c>
      <c r="G419" s="103">
        <f>ROUND((32768/BASE_TORQ) * MTPVTorque_137,0)</f>
        <v>8916</v>
      </c>
      <c r="H419" s="94" t="str">
        <f>IF(G419&lt;&gt;"",IF(C419="float32",FLOAT2HEX(G419),DEC2HEX(G419,8)),"")</f>
        <v>000022D4</v>
      </c>
      <c r="I419" s="94">
        <f t="shared" si="13"/>
        <v>8916</v>
      </c>
    </row>
    <row r="420" spans="1:9">
      <c r="A420" s="96">
        <f>IF(I420&lt;&gt;"",MAX(A$1:A419)+1,"")</f>
        <v>413</v>
      </c>
      <c r="B420" s="97" t="s">
        <v>2552</v>
      </c>
      <c r="C420" s="103" t="s">
        <v>57</v>
      </c>
      <c r="D420" s="103">
        <f t="shared" si="12"/>
        <v>4</v>
      </c>
      <c r="E420" s="89" t="s">
        <v>3035</v>
      </c>
      <c r="G420" s="103">
        <f>ROUND((32768/BASE_ANGLE) * MTPVAngle_137,0)</f>
        <v>24082</v>
      </c>
      <c r="H420" s="94" t="str">
        <f>IF(G420&lt;&gt;"",IF(C420="float32",FLOAT2HEX(G420),DEC2HEX(G420,8)),"")</f>
        <v>00005E12</v>
      </c>
      <c r="I420" s="94">
        <f t="shared" si="13"/>
        <v>24082</v>
      </c>
    </row>
    <row r="421" spans="1:9">
      <c r="A421" s="96">
        <f>IF(I421&lt;&gt;"",MAX(A$1:A420)+1,"")</f>
        <v>414</v>
      </c>
      <c r="B421" s="97" t="s">
        <v>2553</v>
      </c>
      <c r="C421" s="103" t="s">
        <v>57</v>
      </c>
      <c r="D421" s="103">
        <f t="shared" si="12"/>
        <v>4</v>
      </c>
      <c r="E421" s="89" t="s">
        <v>3036</v>
      </c>
      <c r="G421" s="103">
        <f>ROUND((32768/BASE_FLUX) * MTPVFlux_138,0)</f>
        <v>21999</v>
      </c>
      <c r="H421" s="94" t="str">
        <f>IF(G421&lt;&gt;"",IF(C421="float32",FLOAT2HEX(G421),DEC2HEX(G421,8)),"")</f>
        <v>000055EF</v>
      </c>
      <c r="I421" s="94">
        <f t="shared" si="13"/>
        <v>21999</v>
      </c>
    </row>
    <row r="422" spans="1:9">
      <c r="A422" s="96">
        <f>IF(I422&lt;&gt;"",MAX(A$1:A421)+1,"")</f>
        <v>415</v>
      </c>
      <c r="B422" s="74" t="s">
        <v>2554</v>
      </c>
      <c r="C422" s="103" t="s">
        <v>57</v>
      </c>
      <c r="D422" s="103">
        <f t="shared" si="12"/>
        <v>4</v>
      </c>
      <c r="E422" s="89" t="s">
        <v>3037</v>
      </c>
      <c r="G422" s="103">
        <f>ROUND((32768/BASE_TORQ) * MTPVTorque_138,0)</f>
        <v>8921</v>
      </c>
      <c r="H422" s="94" t="str">
        <f>IF(G422&lt;&gt;"",IF(C422="float32",FLOAT2HEX(G422),DEC2HEX(G422,8)),"")</f>
        <v>000022D9</v>
      </c>
      <c r="I422" s="94">
        <f t="shared" si="13"/>
        <v>8921</v>
      </c>
    </row>
    <row r="423" spans="1:9">
      <c r="A423" s="96">
        <f>IF(I423&lt;&gt;"",MAX(A$1:A422)+1,"")</f>
        <v>416</v>
      </c>
      <c r="B423" s="97" t="s">
        <v>2555</v>
      </c>
      <c r="C423" s="103" t="s">
        <v>57</v>
      </c>
      <c r="D423" s="103">
        <f t="shared" si="12"/>
        <v>4</v>
      </c>
      <c r="E423" s="89" t="s">
        <v>3038</v>
      </c>
      <c r="G423" s="103">
        <f>ROUND((32768/BASE_ANGLE) * MTPVAngle_138,0)</f>
        <v>24017</v>
      </c>
      <c r="H423" s="94" t="str">
        <f>IF(G423&lt;&gt;"",IF(C423="float32",FLOAT2HEX(G423),DEC2HEX(G423,8)),"")</f>
        <v>00005DD1</v>
      </c>
      <c r="I423" s="94">
        <f t="shared" si="13"/>
        <v>24017</v>
      </c>
    </row>
    <row r="424" spans="1:9">
      <c r="A424" s="96">
        <f>IF(I424&lt;&gt;"",MAX(A$1:A423)+1,"")</f>
        <v>417</v>
      </c>
      <c r="B424" s="97" t="s">
        <v>2556</v>
      </c>
      <c r="C424" s="103" t="s">
        <v>57</v>
      </c>
      <c r="D424" s="103">
        <f t="shared" si="12"/>
        <v>4</v>
      </c>
      <c r="E424" s="89" t="s">
        <v>3039</v>
      </c>
      <c r="G424" s="103">
        <f>ROUND((32768/BASE_FLUX) * MTPVFlux_139,0)</f>
        <v>22156</v>
      </c>
      <c r="H424" s="94" t="str">
        <f>IF(G424&lt;&gt;"",IF(C424="float32",FLOAT2HEX(G424),DEC2HEX(G424,8)),"")</f>
        <v>0000568C</v>
      </c>
      <c r="I424" s="94">
        <f t="shared" si="13"/>
        <v>22156</v>
      </c>
    </row>
    <row r="425" spans="1:9">
      <c r="A425" s="96">
        <f>IF(I425&lt;&gt;"",MAX(A$1:A424)+1,"")</f>
        <v>418</v>
      </c>
      <c r="B425" s="74" t="s">
        <v>2557</v>
      </c>
      <c r="C425" s="103" t="s">
        <v>57</v>
      </c>
      <c r="D425" s="103">
        <f t="shared" ref="D425:D488" si="14">IF(OR(C425="sint64",C425="uint64",C425="double64"), 8, IF(OR(C425="sint32",C425="uint32",C425="float32"),4,IF(OR(C425="sint16",C425="uint16"),2,  IF(OR(C425="sint8",C425="uint8"),1,""))))</f>
        <v>4</v>
      </c>
      <c r="E425" s="89" t="s">
        <v>3040</v>
      </c>
      <c r="G425" s="103">
        <f>ROUND((32768/BASE_TORQ) * MTPVTorque_139,0)</f>
        <v>8922</v>
      </c>
      <c r="H425" s="94" t="str">
        <f>IF(G425&lt;&gt;"",IF(C425="float32",FLOAT2HEX(G425),DEC2HEX(G425,8)),"")</f>
        <v>000022DA</v>
      </c>
      <c r="I425" s="94">
        <f t="shared" ref="I425:I488" si="15">IF(G425&lt;&gt;"",HEX2DEC(H425),"")</f>
        <v>8922</v>
      </c>
    </row>
    <row r="426" spans="1:9">
      <c r="A426" s="96">
        <f>IF(I426&lt;&gt;"",MAX(A$1:A425)+1,"")</f>
        <v>419</v>
      </c>
      <c r="B426" s="97" t="s">
        <v>2558</v>
      </c>
      <c r="C426" s="103" t="s">
        <v>57</v>
      </c>
      <c r="D426" s="103">
        <f t="shared" si="14"/>
        <v>4</v>
      </c>
      <c r="E426" s="89" t="s">
        <v>3041</v>
      </c>
      <c r="G426" s="103">
        <f>ROUND((32768/BASE_ANGLE) * MTPVAngle_139,0)</f>
        <v>23953</v>
      </c>
      <c r="H426" s="94" t="str">
        <f>IF(G426&lt;&gt;"",IF(C426="float32",FLOAT2HEX(G426),DEC2HEX(G426,8)),"")</f>
        <v>00005D91</v>
      </c>
      <c r="I426" s="94">
        <f t="shared" si="15"/>
        <v>23953</v>
      </c>
    </row>
    <row r="427" spans="1:9">
      <c r="A427" s="96">
        <f>IF(I427&lt;&gt;"",MAX(A$1:A426)+1,"")</f>
        <v>420</v>
      </c>
      <c r="B427" s="97" t="s">
        <v>2559</v>
      </c>
      <c r="C427" s="103" t="s">
        <v>57</v>
      </c>
      <c r="D427" s="103">
        <f t="shared" si="14"/>
        <v>4</v>
      </c>
      <c r="E427" s="89" t="s">
        <v>3042</v>
      </c>
      <c r="G427" s="103">
        <f>ROUND((32768/BASE_FLUX) * MTPVFlux_140,0)</f>
        <v>22301</v>
      </c>
      <c r="H427" s="94" t="str">
        <f>IF(G427&lt;&gt;"",IF(C427="float32",FLOAT2HEX(G427),DEC2HEX(G427,8)),"")</f>
        <v>0000571D</v>
      </c>
      <c r="I427" s="94">
        <f t="shared" si="15"/>
        <v>22301</v>
      </c>
    </row>
    <row r="428" spans="1:9">
      <c r="A428" s="96">
        <f>IF(I428&lt;&gt;"",MAX(A$1:A427)+1,"")</f>
        <v>421</v>
      </c>
      <c r="B428" s="74" t="s">
        <v>2560</v>
      </c>
      <c r="C428" s="103" t="s">
        <v>57</v>
      </c>
      <c r="D428" s="103">
        <f t="shared" si="14"/>
        <v>4</v>
      </c>
      <c r="E428" s="89" t="s">
        <v>3043</v>
      </c>
      <c r="G428" s="103">
        <f>ROUND((32768/BASE_TORQ) * MTPVTorque_140,0)</f>
        <v>8921</v>
      </c>
      <c r="H428" s="94" t="str">
        <f>IF(G428&lt;&gt;"",IF(C428="float32",FLOAT2HEX(G428),DEC2HEX(G428,8)),"")</f>
        <v>000022D9</v>
      </c>
      <c r="I428" s="94">
        <f t="shared" si="15"/>
        <v>8921</v>
      </c>
    </row>
    <row r="429" spans="1:9">
      <c r="A429" s="96">
        <f>IF(I429&lt;&gt;"",MAX(A$1:A428)+1,"")</f>
        <v>422</v>
      </c>
      <c r="B429" s="97" t="s">
        <v>2561</v>
      </c>
      <c r="C429" s="103" t="s">
        <v>57</v>
      </c>
      <c r="D429" s="103">
        <f t="shared" si="14"/>
        <v>4</v>
      </c>
      <c r="E429" s="89" t="s">
        <v>3044</v>
      </c>
      <c r="G429" s="103">
        <f>ROUND((32768/BASE_ANGLE) * MTPVAngle_140,0)</f>
        <v>23891</v>
      </c>
      <c r="H429" s="94" t="str">
        <f>IF(G429&lt;&gt;"",IF(C429="float32",FLOAT2HEX(G429),DEC2HEX(G429,8)),"")</f>
        <v>00005D53</v>
      </c>
      <c r="I429" s="94">
        <f t="shared" si="15"/>
        <v>23891</v>
      </c>
    </row>
    <row r="430" spans="1:9">
      <c r="A430" s="96">
        <f>IF(I430&lt;&gt;"",MAX(A$1:A429)+1,"")</f>
        <v>423</v>
      </c>
      <c r="B430" s="97" t="s">
        <v>2562</v>
      </c>
      <c r="C430" s="103" t="s">
        <v>57</v>
      </c>
      <c r="D430" s="103">
        <f t="shared" si="14"/>
        <v>4</v>
      </c>
      <c r="E430" s="89" t="s">
        <v>3045</v>
      </c>
      <c r="G430" s="103">
        <f>ROUND((32768/BASE_FLUX) * MTPVFlux_141,0)</f>
        <v>22446</v>
      </c>
      <c r="H430" s="94" t="str">
        <f>IF(G430&lt;&gt;"",IF(C430="float32",FLOAT2HEX(G430),DEC2HEX(G430,8)),"")</f>
        <v>000057AE</v>
      </c>
      <c r="I430" s="94">
        <f t="shared" si="15"/>
        <v>22446</v>
      </c>
    </row>
    <row r="431" spans="1:9">
      <c r="A431" s="96">
        <f>IF(I431&lt;&gt;"",MAX(A$1:A430)+1,"")</f>
        <v>424</v>
      </c>
      <c r="B431" s="74" t="s">
        <v>2563</v>
      </c>
      <c r="C431" s="103" t="s">
        <v>57</v>
      </c>
      <c r="D431" s="103">
        <f t="shared" si="14"/>
        <v>4</v>
      </c>
      <c r="E431" s="89" t="s">
        <v>3046</v>
      </c>
      <c r="G431" s="103">
        <f>ROUND((32768/BASE_TORQ) * MTPVTorque_141,0)</f>
        <v>8917</v>
      </c>
      <c r="H431" s="94" t="str">
        <f>IF(G431&lt;&gt;"",IF(C431="float32",FLOAT2HEX(G431),DEC2HEX(G431,8)),"")</f>
        <v>000022D5</v>
      </c>
      <c r="I431" s="94">
        <f t="shared" si="15"/>
        <v>8917</v>
      </c>
    </row>
    <row r="432" spans="1:9">
      <c r="A432" s="96">
        <f>IF(I432&lt;&gt;"",MAX(A$1:A431)+1,"")</f>
        <v>425</v>
      </c>
      <c r="B432" s="97" t="s">
        <v>2564</v>
      </c>
      <c r="C432" s="103" t="s">
        <v>57</v>
      </c>
      <c r="D432" s="103">
        <f t="shared" si="14"/>
        <v>4</v>
      </c>
      <c r="E432" s="89" t="s">
        <v>3047</v>
      </c>
      <c r="G432" s="103">
        <f>ROUND((32768/BASE_ANGLE) * MTPVAngle_141,0)</f>
        <v>23830</v>
      </c>
      <c r="H432" s="94" t="str">
        <f>IF(G432&lt;&gt;"",IF(C432="float32",FLOAT2HEX(G432),DEC2HEX(G432,8)),"")</f>
        <v>00005D16</v>
      </c>
      <c r="I432" s="94">
        <f t="shared" si="15"/>
        <v>23830</v>
      </c>
    </row>
    <row r="433" spans="1:9">
      <c r="A433" s="96">
        <f>IF(I433&lt;&gt;"",MAX(A$1:A432)+1,"")</f>
        <v>426</v>
      </c>
      <c r="B433" s="97" t="s">
        <v>2565</v>
      </c>
      <c r="C433" s="103" t="s">
        <v>57</v>
      </c>
      <c r="D433" s="103">
        <f t="shared" si="14"/>
        <v>4</v>
      </c>
      <c r="E433" s="89" t="s">
        <v>3048</v>
      </c>
      <c r="G433" s="103">
        <f>ROUND((32768/BASE_FLUX) * MTPVFlux_142,0)</f>
        <v>22604</v>
      </c>
      <c r="H433" s="94" t="str">
        <f>IF(G433&lt;&gt;"",IF(C433="float32",FLOAT2HEX(G433),DEC2HEX(G433,8)),"")</f>
        <v>0000584C</v>
      </c>
      <c r="I433" s="94">
        <f t="shared" si="15"/>
        <v>22604</v>
      </c>
    </row>
    <row r="434" spans="1:9">
      <c r="A434" s="96">
        <f>IF(I434&lt;&gt;"",MAX(A$1:A433)+1,"")</f>
        <v>427</v>
      </c>
      <c r="B434" s="74" t="s">
        <v>2566</v>
      </c>
      <c r="C434" s="103" t="s">
        <v>57</v>
      </c>
      <c r="D434" s="103">
        <f t="shared" si="14"/>
        <v>4</v>
      </c>
      <c r="E434" s="89" t="s">
        <v>3049</v>
      </c>
      <c r="G434" s="103">
        <f>ROUND((32768/BASE_TORQ) * MTPVTorque_142,0)</f>
        <v>8909</v>
      </c>
      <c r="H434" s="94" t="str">
        <f>IF(G434&lt;&gt;"",IF(C434="float32",FLOAT2HEX(G434),DEC2HEX(G434,8)),"")</f>
        <v>000022CD</v>
      </c>
      <c r="I434" s="94">
        <f t="shared" si="15"/>
        <v>8909</v>
      </c>
    </row>
    <row r="435" spans="1:9">
      <c r="A435" s="96">
        <f>IF(I435&lt;&gt;"",MAX(A$1:A434)+1,"")</f>
        <v>428</v>
      </c>
      <c r="B435" s="97" t="s">
        <v>2567</v>
      </c>
      <c r="C435" s="103" t="s">
        <v>57</v>
      </c>
      <c r="D435" s="103">
        <f t="shared" si="14"/>
        <v>4</v>
      </c>
      <c r="E435" s="89" t="s">
        <v>3050</v>
      </c>
      <c r="G435" s="103">
        <f>ROUND((32768/BASE_ANGLE) * MTPVAngle_142,0)</f>
        <v>23770</v>
      </c>
      <c r="H435" s="94" t="str">
        <f>IF(G435&lt;&gt;"",IF(C435="float32",FLOAT2HEX(G435),DEC2HEX(G435,8)),"")</f>
        <v>00005CDA</v>
      </c>
      <c r="I435" s="94">
        <f t="shared" si="15"/>
        <v>23770</v>
      </c>
    </row>
    <row r="436" spans="1:9">
      <c r="A436" s="96">
        <f>IF(I436&lt;&gt;"",MAX(A$1:A435)+1,"")</f>
        <v>429</v>
      </c>
      <c r="B436" s="97" t="s">
        <v>2568</v>
      </c>
      <c r="C436" s="103" t="s">
        <v>57</v>
      </c>
      <c r="D436" s="103">
        <f t="shared" si="14"/>
        <v>4</v>
      </c>
      <c r="E436" s="89" t="s">
        <v>3051</v>
      </c>
      <c r="G436" s="103">
        <f>ROUND((32768/BASE_FLUX) * MTPVFlux_143,0)</f>
        <v>22749</v>
      </c>
      <c r="H436" s="94" t="str">
        <f>IF(G436&lt;&gt;"",IF(C436="float32",FLOAT2HEX(G436),DEC2HEX(G436,8)),"")</f>
        <v>000058DD</v>
      </c>
      <c r="I436" s="94">
        <f t="shared" si="15"/>
        <v>22749</v>
      </c>
    </row>
    <row r="437" spans="1:9">
      <c r="A437" s="96">
        <f>IF(I437&lt;&gt;"",MAX(A$1:A436)+1,"")</f>
        <v>430</v>
      </c>
      <c r="B437" s="74" t="s">
        <v>2569</v>
      </c>
      <c r="C437" s="103" t="s">
        <v>57</v>
      </c>
      <c r="D437" s="103">
        <f t="shared" si="14"/>
        <v>4</v>
      </c>
      <c r="E437" s="89" t="s">
        <v>3052</v>
      </c>
      <c r="G437" s="103">
        <f>ROUND((32768/BASE_TORQ) * MTPVTorque_143,0)</f>
        <v>8897</v>
      </c>
      <c r="H437" s="94" t="str">
        <f>IF(G437&lt;&gt;"",IF(C437="float32",FLOAT2HEX(G437),DEC2HEX(G437,8)),"")</f>
        <v>000022C1</v>
      </c>
      <c r="I437" s="94">
        <f t="shared" si="15"/>
        <v>8897</v>
      </c>
    </row>
    <row r="438" spans="1:9">
      <c r="A438" s="96">
        <f>IF(I438&lt;&gt;"",MAX(A$1:A437)+1,"")</f>
        <v>431</v>
      </c>
      <c r="B438" s="97" t="s">
        <v>2570</v>
      </c>
      <c r="C438" s="103" t="s">
        <v>57</v>
      </c>
      <c r="D438" s="103">
        <f t="shared" si="14"/>
        <v>4</v>
      </c>
      <c r="E438" s="89" t="s">
        <v>3053</v>
      </c>
      <c r="G438" s="103">
        <f>ROUND((32768/BASE_ANGLE) * MTPVAngle_143,0)</f>
        <v>23711</v>
      </c>
      <c r="H438" s="94" t="str">
        <f>IF(G438&lt;&gt;"",IF(C438="float32",FLOAT2HEX(G438),DEC2HEX(G438,8)),"")</f>
        <v>00005C9F</v>
      </c>
      <c r="I438" s="94">
        <f t="shared" si="15"/>
        <v>23711</v>
      </c>
    </row>
    <row r="439" spans="1:9">
      <c r="A439" s="96">
        <f>IF(I439&lt;&gt;"",MAX(A$1:A438)+1,"")</f>
        <v>432</v>
      </c>
      <c r="B439" s="97" t="s">
        <v>2571</v>
      </c>
      <c r="C439" s="103" t="s">
        <v>57</v>
      </c>
      <c r="D439" s="103">
        <f t="shared" si="14"/>
        <v>4</v>
      </c>
      <c r="E439" s="89" t="s">
        <v>3054</v>
      </c>
      <c r="G439" s="103">
        <f>ROUND((32768/BASE_FLUX) * MTPVFlux_144,0)</f>
        <v>22906</v>
      </c>
      <c r="H439" s="94" t="str">
        <f>IF(G439&lt;&gt;"",IF(C439="float32",FLOAT2HEX(G439),DEC2HEX(G439,8)),"")</f>
        <v>0000597A</v>
      </c>
      <c r="I439" s="94">
        <f t="shared" si="15"/>
        <v>22906</v>
      </c>
    </row>
    <row r="440" spans="1:9">
      <c r="A440" s="96">
        <f>IF(I440&lt;&gt;"",MAX(A$1:A439)+1,"")</f>
        <v>433</v>
      </c>
      <c r="B440" s="74" t="s">
        <v>2572</v>
      </c>
      <c r="C440" s="103" t="s">
        <v>57</v>
      </c>
      <c r="D440" s="103">
        <f t="shared" si="14"/>
        <v>4</v>
      </c>
      <c r="E440" s="89" t="s">
        <v>3055</v>
      </c>
      <c r="G440" s="103">
        <f>ROUND((32768/BASE_TORQ) * MTPVTorque_144,0)</f>
        <v>8883</v>
      </c>
      <c r="H440" s="94" t="str">
        <f>IF(G440&lt;&gt;"",IF(C440="float32",FLOAT2HEX(G440),DEC2HEX(G440,8)),"")</f>
        <v>000022B3</v>
      </c>
      <c r="I440" s="94">
        <f t="shared" si="15"/>
        <v>8883</v>
      </c>
    </row>
    <row r="441" spans="1:9">
      <c r="A441" s="96">
        <f>IF(I441&lt;&gt;"",MAX(A$1:A440)+1,"")</f>
        <v>434</v>
      </c>
      <c r="B441" s="97" t="s">
        <v>2573</v>
      </c>
      <c r="C441" s="103" t="s">
        <v>57</v>
      </c>
      <c r="D441" s="103">
        <f t="shared" si="14"/>
        <v>4</v>
      </c>
      <c r="E441" s="89" t="s">
        <v>3056</v>
      </c>
      <c r="G441" s="103">
        <f>ROUND((32768/BASE_ANGLE) * MTPVAngle_144,0)</f>
        <v>23653</v>
      </c>
      <c r="H441" s="94" t="str">
        <f>IF(G441&lt;&gt;"",IF(C441="float32",FLOAT2HEX(G441),DEC2HEX(G441,8)),"")</f>
        <v>00005C65</v>
      </c>
      <c r="I441" s="94">
        <f t="shared" si="15"/>
        <v>23653</v>
      </c>
    </row>
    <row r="442" spans="1:9">
      <c r="A442" s="96">
        <f>IF(I442&lt;&gt;"",MAX(A$1:A441)+1,"")</f>
        <v>435</v>
      </c>
      <c r="B442" s="97" t="s">
        <v>2574</v>
      </c>
      <c r="C442" s="103" t="s">
        <v>57</v>
      </c>
      <c r="D442" s="103">
        <f t="shared" si="14"/>
        <v>4</v>
      </c>
      <c r="E442" s="89" t="s">
        <v>3057</v>
      </c>
      <c r="G442" s="103">
        <f>ROUND((32768/BASE_FLUX) * MTPVFlux_145,0)</f>
        <v>23051</v>
      </c>
      <c r="H442" s="94" t="str">
        <f>IF(G442&lt;&gt;"",IF(C442="float32",FLOAT2HEX(G442),DEC2HEX(G442,8)),"")</f>
        <v>00005A0B</v>
      </c>
      <c r="I442" s="94">
        <f t="shared" si="15"/>
        <v>23051</v>
      </c>
    </row>
    <row r="443" spans="1:9">
      <c r="A443" s="96">
        <f>IF(I443&lt;&gt;"",MAX(A$1:A442)+1,"")</f>
        <v>436</v>
      </c>
      <c r="B443" s="74" t="s">
        <v>2575</v>
      </c>
      <c r="C443" s="103" t="s">
        <v>57</v>
      </c>
      <c r="D443" s="103">
        <f t="shared" si="14"/>
        <v>4</v>
      </c>
      <c r="E443" s="89" t="s">
        <v>3058</v>
      </c>
      <c r="G443" s="103">
        <f>ROUND((32768/BASE_TORQ) * MTPVTorque_145,0)</f>
        <v>8865</v>
      </c>
      <c r="H443" s="94" t="str">
        <f>IF(G443&lt;&gt;"",IF(C443="float32",FLOAT2HEX(G443),DEC2HEX(G443,8)),"")</f>
        <v>000022A1</v>
      </c>
      <c r="I443" s="94">
        <f t="shared" si="15"/>
        <v>8865</v>
      </c>
    </row>
    <row r="444" spans="1:9">
      <c r="A444" s="96">
        <f>IF(I444&lt;&gt;"",MAX(A$1:A443)+1,"")</f>
        <v>437</v>
      </c>
      <c r="B444" s="97" t="s">
        <v>2576</v>
      </c>
      <c r="C444" s="103" t="s">
        <v>57</v>
      </c>
      <c r="D444" s="103">
        <f t="shared" si="14"/>
        <v>4</v>
      </c>
      <c r="E444" s="89" t="s">
        <v>3059</v>
      </c>
      <c r="G444" s="103">
        <f>ROUND((32768/BASE_ANGLE) * MTPVAngle_145,0)</f>
        <v>23596</v>
      </c>
      <c r="H444" s="94" t="str">
        <f>IF(G444&lt;&gt;"",IF(C444="float32",FLOAT2HEX(G444),DEC2HEX(G444,8)),"")</f>
        <v>00005C2C</v>
      </c>
      <c r="I444" s="94">
        <f t="shared" si="15"/>
        <v>23596</v>
      </c>
    </row>
    <row r="445" spans="1:9">
      <c r="A445" s="96">
        <f>IF(I445&lt;&gt;"",MAX(A$1:A444)+1,"")</f>
        <v>438</v>
      </c>
      <c r="B445" s="97" t="s">
        <v>2577</v>
      </c>
      <c r="C445" s="103" t="s">
        <v>57</v>
      </c>
      <c r="D445" s="103">
        <f t="shared" si="14"/>
        <v>4</v>
      </c>
      <c r="E445" s="89" t="s">
        <v>3060</v>
      </c>
      <c r="G445" s="103">
        <f>ROUND((32768/BASE_FLUX) * MTPVFlux_146,0)</f>
        <v>23209</v>
      </c>
      <c r="H445" s="94" t="str">
        <f>IF(G445&lt;&gt;"",IF(C445="float32",FLOAT2HEX(G445),DEC2HEX(G445,8)),"")</f>
        <v>00005AA9</v>
      </c>
      <c r="I445" s="94">
        <f t="shared" si="15"/>
        <v>23209</v>
      </c>
    </row>
    <row r="446" spans="1:9">
      <c r="A446" s="96">
        <f>IF(I446&lt;&gt;"",MAX(A$1:A445)+1,"")</f>
        <v>439</v>
      </c>
      <c r="B446" s="74" t="s">
        <v>2578</v>
      </c>
      <c r="C446" s="103" t="s">
        <v>57</v>
      </c>
      <c r="D446" s="103">
        <f t="shared" si="14"/>
        <v>4</v>
      </c>
      <c r="E446" s="89" t="s">
        <v>3061</v>
      </c>
      <c r="G446" s="103">
        <f>ROUND((32768/BASE_TORQ) * MTPVTorque_146,0)</f>
        <v>8843</v>
      </c>
      <c r="H446" s="94" t="str">
        <f>IF(G446&lt;&gt;"",IF(C446="float32",FLOAT2HEX(G446),DEC2HEX(G446,8)),"")</f>
        <v>0000228B</v>
      </c>
      <c r="I446" s="94">
        <f t="shared" si="15"/>
        <v>8843</v>
      </c>
    </row>
    <row r="447" spans="1:9">
      <c r="A447" s="96">
        <f>IF(I447&lt;&gt;"",MAX(A$1:A446)+1,"")</f>
        <v>440</v>
      </c>
      <c r="B447" s="97" t="s">
        <v>2579</v>
      </c>
      <c r="C447" s="103" t="s">
        <v>57</v>
      </c>
      <c r="D447" s="103">
        <f t="shared" si="14"/>
        <v>4</v>
      </c>
      <c r="E447" s="89" t="s">
        <v>3062</v>
      </c>
      <c r="G447" s="103">
        <f>ROUND((32768/BASE_ANGLE) * MTPVAngle_146,0)</f>
        <v>23540</v>
      </c>
      <c r="H447" s="94" t="str">
        <f>IF(G447&lt;&gt;"",IF(C447="float32",FLOAT2HEX(G447),DEC2HEX(G447,8)),"")</f>
        <v>00005BF4</v>
      </c>
      <c r="I447" s="94">
        <f t="shared" si="15"/>
        <v>23540</v>
      </c>
    </row>
    <row r="448" spans="1:9">
      <c r="A448" s="96">
        <f>IF(I448&lt;&gt;"",MAX(A$1:A447)+1,"")</f>
        <v>441</v>
      </c>
      <c r="B448" s="97" t="s">
        <v>2580</v>
      </c>
      <c r="C448" s="103" t="s">
        <v>57</v>
      </c>
      <c r="D448" s="103">
        <f t="shared" si="14"/>
        <v>4</v>
      </c>
      <c r="E448" s="89" t="s">
        <v>3063</v>
      </c>
      <c r="G448" s="103">
        <f>ROUND((32768/BASE_FLUX) * MTPVFlux_147,0)</f>
        <v>23354</v>
      </c>
      <c r="H448" s="94" t="str">
        <f>IF(G448&lt;&gt;"",IF(C448="float32",FLOAT2HEX(G448),DEC2HEX(G448,8)),"")</f>
        <v>00005B3A</v>
      </c>
      <c r="I448" s="94">
        <f t="shared" si="15"/>
        <v>23354</v>
      </c>
    </row>
    <row r="449" spans="1:9">
      <c r="A449" s="96">
        <f>IF(I449&lt;&gt;"",MAX(A$1:A448)+1,"")</f>
        <v>442</v>
      </c>
      <c r="B449" s="74" t="s">
        <v>2581</v>
      </c>
      <c r="C449" s="103" t="s">
        <v>57</v>
      </c>
      <c r="D449" s="103">
        <f t="shared" si="14"/>
        <v>4</v>
      </c>
      <c r="E449" s="89" t="s">
        <v>3064</v>
      </c>
      <c r="G449" s="103">
        <f>ROUND((32768/BASE_TORQ) * MTPVTorque_147,0)</f>
        <v>8817</v>
      </c>
      <c r="H449" s="94" t="str">
        <f>IF(G449&lt;&gt;"",IF(C449="float32",FLOAT2HEX(G449),DEC2HEX(G449,8)),"")</f>
        <v>00002271</v>
      </c>
      <c r="I449" s="94">
        <f t="shared" si="15"/>
        <v>8817</v>
      </c>
    </row>
    <row r="450" spans="1:9">
      <c r="A450" s="96">
        <f>IF(I450&lt;&gt;"",MAX(A$1:A449)+1,"")</f>
        <v>443</v>
      </c>
      <c r="B450" s="97" t="s">
        <v>2582</v>
      </c>
      <c r="C450" s="103" t="s">
        <v>57</v>
      </c>
      <c r="D450" s="103">
        <f t="shared" si="14"/>
        <v>4</v>
      </c>
      <c r="E450" s="89" t="s">
        <v>3065</v>
      </c>
      <c r="G450" s="103">
        <f>ROUND((32768/BASE_ANGLE) * MTPVAngle_147,0)</f>
        <v>23485</v>
      </c>
      <c r="H450" s="94" t="str">
        <f>IF(G450&lt;&gt;"",IF(C450="float32",FLOAT2HEX(G450),DEC2HEX(G450,8)),"")</f>
        <v>00005BBD</v>
      </c>
      <c r="I450" s="94">
        <f t="shared" si="15"/>
        <v>23485</v>
      </c>
    </row>
    <row r="451" spans="1:9">
      <c r="A451" s="96">
        <f>IF(I451&lt;&gt;"",MAX(A$1:A450)+1,"")</f>
        <v>444</v>
      </c>
      <c r="B451" s="97" t="s">
        <v>2583</v>
      </c>
      <c r="C451" s="103" t="s">
        <v>57</v>
      </c>
      <c r="D451" s="103">
        <f t="shared" si="14"/>
        <v>4</v>
      </c>
      <c r="E451" s="89" t="s">
        <v>3066</v>
      </c>
      <c r="G451" s="103">
        <f>ROUND((32768/BASE_FLUX) * MTPVFlux_148,0)</f>
        <v>23511</v>
      </c>
      <c r="H451" s="94" t="str">
        <f>IF(G451&lt;&gt;"",IF(C451="float32",FLOAT2HEX(G451),DEC2HEX(G451,8)),"")</f>
        <v>00005BD7</v>
      </c>
      <c r="I451" s="94">
        <f t="shared" si="15"/>
        <v>23511</v>
      </c>
    </row>
    <row r="452" spans="1:9">
      <c r="A452" s="96">
        <f>IF(I452&lt;&gt;"",MAX(A$1:A451)+1,"")</f>
        <v>445</v>
      </c>
      <c r="B452" s="74" t="s">
        <v>2584</v>
      </c>
      <c r="C452" s="103" t="s">
        <v>57</v>
      </c>
      <c r="D452" s="103">
        <f t="shared" si="14"/>
        <v>4</v>
      </c>
      <c r="E452" s="89" t="s">
        <v>3067</v>
      </c>
      <c r="G452" s="103">
        <f>ROUND((32768/BASE_TORQ) * MTPVTorque_148,0)</f>
        <v>8788</v>
      </c>
      <c r="H452" s="94" t="str">
        <f>IF(G452&lt;&gt;"",IF(C452="float32",FLOAT2HEX(G452),DEC2HEX(G452,8)),"")</f>
        <v>00002254</v>
      </c>
      <c r="I452" s="94">
        <f t="shared" si="15"/>
        <v>8788</v>
      </c>
    </row>
    <row r="453" spans="1:9">
      <c r="A453" s="96">
        <f>IF(I453&lt;&gt;"",MAX(A$1:A452)+1,"")</f>
        <v>446</v>
      </c>
      <c r="B453" s="97" t="s">
        <v>2585</v>
      </c>
      <c r="C453" s="103" t="s">
        <v>57</v>
      </c>
      <c r="D453" s="103">
        <f t="shared" si="14"/>
        <v>4</v>
      </c>
      <c r="E453" s="89" t="s">
        <v>3068</v>
      </c>
      <c r="G453" s="103">
        <f>ROUND((32768/BASE_ANGLE) * MTPVAngle_148,0)</f>
        <v>23431</v>
      </c>
      <c r="H453" s="94" t="str">
        <f>IF(G453&lt;&gt;"",IF(C453="float32",FLOAT2HEX(G453),DEC2HEX(G453,8)),"")</f>
        <v>00005B87</v>
      </c>
      <c r="I453" s="94">
        <f t="shared" si="15"/>
        <v>23431</v>
      </c>
    </row>
    <row r="454" spans="1:9">
      <c r="A454" s="96">
        <f>IF(I454&lt;&gt;"",MAX(A$1:A453)+1,"")</f>
        <v>447</v>
      </c>
      <c r="B454" s="97" t="s">
        <v>2586</v>
      </c>
      <c r="C454" s="103" t="s">
        <v>57</v>
      </c>
      <c r="D454" s="103">
        <f t="shared" si="14"/>
        <v>4</v>
      </c>
      <c r="E454" s="89" t="s">
        <v>3069</v>
      </c>
      <c r="G454" s="103">
        <f>ROUND((32768/BASE_FLUX) * MTPVFlux_149,0)</f>
        <v>23656</v>
      </c>
      <c r="H454" s="94" t="str">
        <f>IF(G454&lt;&gt;"",IF(C454="float32",FLOAT2HEX(G454),DEC2HEX(G454,8)),"")</f>
        <v>00005C68</v>
      </c>
      <c r="I454" s="94">
        <f t="shared" si="15"/>
        <v>23656</v>
      </c>
    </row>
    <row r="455" spans="1:9">
      <c r="A455" s="96">
        <f>IF(I455&lt;&gt;"",MAX(A$1:A454)+1,"")</f>
        <v>448</v>
      </c>
      <c r="B455" s="74" t="s">
        <v>2587</v>
      </c>
      <c r="C455" s="103" t="s">
        <v>57</v>
      </c>
      <c r="D455" s="103">
        <f t="shared" si="14"/>
        <v>4</v>
      </c>
      <c r="E455" s="89" t="s">
        <v>3070</v>
      </c>
      <c r="G455" s="103">
        <f>ROUND((32768/BASE_TORQ) * MTPVTorque_149,0)</f>
        <v>8755</v>
      </c>
      <c r="H455" s="94" t="str">
        <f>IF(G455&lt;&gt;"",IF(C455="float32",FLOAT2HEX(G455),DEC2HEX(G455,8)),"")</f>
        <v>00002233</v>
      </c>
      <c r="I455" s="94">
        <f t="shared" si="15"/>
        <v>8755</v>
      </c>
    </row>
    <row r="456" spans="1:9">
      <c r="A456" s="96">
        <f>IF(I456&lt;&gt;"",MAX(A$1:A455)+1,"")</f>
        <v>449</v>
      </c>
      <c r="B456" s="97" t="s">
        <v>2588</v>
      </c>
      <c r="C456" s="103" t="s">
        <v>57</v>
      </c>
      <c r="D456" s="103">
        <f t="shared" si="14"/>
        <v>4</v>
      </c>
      <c r="E456" s="89" t="s">
        <v>3071</v>
      </c>
      <c r="G456" s="103">
        <f>ROUND((32768/BASE_ANGLE) * MTPVAngle_149,0)</f>
        <v>23378</v>
      </c>
      <c r="H456" s="94" t="str">
        <f>IF(G456&lt;&gt;"",IF(C456="float32",FLOAT2HEX(G456),DEC2HEX(G456,8)),"")</f>
        <v>00005B52</v>
      </c>
      <c r="I456" s="94">
        <f t="shared" si="15"/>
        <v>23378</v>
      </c>
    </row>
    <row r="457" spans="1:9">
      <c r="A457" s="96">
        <f>IF(I457&lt;&gt;"",MAX(A$1:A456)+1,"")</f>
        <v>450</v>
      </c>
      <c r="B457" s="97" t="s">
        <v>2589</v>
      </c>
      <c r="C457" s="103" t="s">
        <v>57</v>
      </c>
      <c r="D457" s="103">
        <f t="shared" si="14"/>
        <v>4</v>
      </c>
      <c r="E457" s="89" t="s">
        <v>3072</v>
      </c>
      <c r="G457" s="103">
        <f>ROUND((32768/BASE_FLUX) * MTPVFlux_150,0)</f>
        <v>23814</v>
      </c>
      <c r="H457" s="94" t="str">
        <f>IF(G457&lt;&gt;"",IF(C457="float32",FLOAT2HEX(G457),DEC2HEX(G457,8)),"")</f>
        <v>00005D06</v>
      </c>
      <c r="I457" s="94">
        <f t="shared" si="15"/>
        <v>23814</v>
      </c>
    </row>
    <row r="458" spans="1:9">
      <c r="A458" s="96">
        <f>IF(I458&lt;&gt;"",MAX(A$1:A457)+1,"")</f>
        <v>451</v>
      </c>
      <c r="B458" s="74" t="s">
        <v>2590</v>
      </c>
      <c r="C458" s="103" t="s">
        <v>57</v>
      </c>
      <c r="D458" s="103">
        <f t="shared" si="14"/>
        <v>4</v>
      </c>
      <c r="E458" s="89" t="s">
        <v>3073</v>
      </c>
      <c r="G458" s="103">
        <f>ROUND((32768/BASE_TORQ) * MTPVTorque_150,0)</f>
        <v>8717</v>
      </c>
      <c r="H458" s="94" t="str">
        <f>IF(G458&lt;&gt;"",IF(C458="float32",FLOAT2HEX(G458),DEC2HEX(G458,8)),"")</f>
        <v>0000220D</v>
      </c>
      <c r="I458" s="94">
        <f t="shared" si="15"/>
        <v>8717</v>
      </c>
    </row>
    <row r="459" spans="1:9">
      <c r="A459" s="96">
        <f>IF(I459&lt;&gt;"",MAX(A$1:A458)+1,"")</f>
        <v>452</v>
      </c>
      <c r="B459" s="97" t="s">
        <v>2591</v>
      </c>
      <c r="C459" s="103" t="s">
        <v>57</v>
      </c>
      <c r="D459" s="103">
        <f t="shared" si="14"/>
        <v>4</v>
      </c>
      <c r="E459" s="89" t="s">
        <v>3074</v>
      </c>
      <c r="G459" s="103">
        <f>ROUND((32768/BASE_ANGLE) * MTPVAngle_150,0)</f>
        <v>23326</v>
      </c>
      <c r="H459" s="94" t="str">
        <f>IF(G459&lt;&gt;"",IF(C459="float32",FLOAT2HEX(G459),DEC2HEX(G459,8)),"")</f>
        <v>00005B1E</v>
      </c>
      <c r="I459" s="94">
        <f t="shared" si="15"/>
        <v>23326</v>
      </c>
    </row>
    <row r="460" spans="1:9">
      <c r="A460" s="96">
        <f>IF(I460&lt;&gt;"",MAX(A$1:A459)+1,"")</f>
        <v>453</v>
      </c>
      <c r="B460" s="97" t="s">
        <v>2592</v>
      </c>
      <c r="C460" s="103" t="s">
        <v>57</v>
      </c>
      <c r="D460" s="103">
        <f t="shared" si="14"/>
        <v>4</v>
      </c>
      <c r="E460" s="89" t="s">
        <v>3075</v>
      </c>
      <c r="G460" s="103">
        <f>ROUND((32768/BASE_FLUX) * MTPVFlux_151,0)</f>
        <v>23959</v>
      </c>
      <c r="H460" s="94" t="str">
        <f>IF(G460&lt;&gt;"",IF(C460="float32",FLOAT2HEX(G460),DEC2HEX(G460,8)),"")</f>
        <v>00005D97</v>
      </c>
      <c r="I460" s="94">
        <f t="shared" si="15"/>
        <v>23959</v>
      </c>
    </row>
    <row r="461" spans="1:9">
      <c r="A461" s="96">
        <f>IF(I461&lt;&gt;"",MAX(A$1:A460)+1,"")</f>
        <v>454</v>
      </c>
      <c r="B461" s="74" t="s">
        <v>2593</v>
      </c>
      <c r="C461" s="103" t="s">
        <v>57</v>
      </c>
      <c r="D461" s="103">
        <f t="shared" si="14"/>
        <v>4</v>
      </c>
      <c r="E461" s="89" t="s">
        <v>3076</v>
      </c>
      <c r="G461" s="103">
        <f>ROUND((32768/BASE_TORQ) * MTPVTorque_151,0)</f>
        <v>8676</v>
      </c>
      <c r="H461" s="94" t="str">
        <f>IF(G461&lt;&gt;"",IF(C461="float32",FLOAT2HEX(G461),DEC2HEX(G461,8)),"")</f>
        <v>000021E4</v>
      </c>
      <c r="I461" s="94">
        <f t="shared" si="15"/>
        <v>8676</v>
      </c>
    </row>
    <row r="462" spans="1:9">
      <c r="A462" s="96">
        <f>IF(I462&lt;&gt;"",MAX(A$1:A461)+1,"")</f>
        <v>455</v>
      </c>
      <c r="B462" s="97" t="s">
        <v>2594</v>
      </c>
      <c r="C462" s="103" t="s">
        <v>57</v>
      </c>
      <c r="D462" s="103">
        <f t="shared" si="14"/>
        <v>4</v>
      </c>
      <c r="E462" s="89" t="s">
        <v>3077</v>
      </c>
      <c r="G462" s="103">
        <f>ROUND((32768/BASE_ANGLE) * MTPVAngle_151,0)</f>
        <v>23274</v>
      </c>
      <c r="H462" s="94" t="str">
        <f>IF(G462&lt;&gt;"",IF(C462="float32",FLOAT2HEX(G462),DEC2HEX(G462,8)),"")</f>
        <v>00005AEA</v>
      </c>
      <c r="I462" s="94">
        <f t="shared" si="15"/>
        <v>23274</v>
      </c>
    </row>
    <row r="463" spans="1:9">
      <c r="A463" s="96">
        <f>IF(I463&lt;&gt;"",MAX(A$1:A462)+1,"")</f>
        <v>456</v>
      </c>
      <c r="B463" s="97" t="s">
        <v>2595</v>
      </c>
      <c r="C463" s="103" t="s">
        <v>57</v>
      </c>
      <c r="D463" s="103">
        <f t="shared" si="14"/>
        <v>4</v>
      </c>
      <c r="E463" s="89" t="s">
        <v>3078</v>
      </c>
      <c r="G463" s="103">
        <f>ROUND((32768/BASE_FLUX) * MTPVFlux_152,0)</f>
        <v>24104</v>
      </c>
      <c r="H463" s="94" t="str">
        <f>IF(G463&lt;&gt;"",IF(C463="float32",FLOAT2HEX(G463),DEC2HEX(G463,8)),"")</f>
        <v>00005E28</v>
      </c>
      <c r="I463" s="94">
        <f t="shared" si="15"/>
        <v>24104</v>
      </c>
    </row>
    <row r="464" spans="1:9">
      <c r="A464" s="96">
        <f>IF(I464&lt;&gt;"",MAX(A$1:A463)+1,"")</f>
        <v>457</v>
      </c>
      <c r="B464" s="74" t="s">
        <v>2596</v>
      </c>
      <c r="C464" s="103" t="s">
        <v>57</v>
      </c>
      <c r="D464" s="103">
        <f t="shared" si="14"/>
        <v>4</v>
      </c>
      <c r="E464" s="89" t="s">
        <v>3079</v>
      </c>
      <c r="G464" s="103">
        <f>ROUND((32768/BASE_TORQ) * MTPVTorque_152,0)</f>
        <v>8630</v>
      </c>
      <c r="H464" s="94" t="str">
        <f>IF(G464&lt;&gt;"",IF(C464="float32",FLOAT2HEX(G464),DEC2HEX(G464,8)),"")</f>
        <v>000021B6</v>
      </c>
      <c r="I464" s="94">
        <f t="shared" si="15"/>
        <v>8630</v>
      </c>
    </row>
    <row r="465" spans="1:9">
      <c r="A465" s="96">
        <f>IF(I465&lt;&gt;"",MAX(A$1:A464)+1,"")</f>
        <v>458</v>
      </c>
      <c r="B465" s="97" t="s">
        <v>2597</v>
      </c>
      <c r="C465" s="103" t="s">
        <v>57</v>
      </c>
      <c r="D465" s="103">
        <f t="shared" si="14"/>
        <v>4</v>
      </c>
      <c r="E465" s="89" t="s">
        <v>3080</v>
      </c>
      <c r="G465" s="103">
        <f>ROUND((32768/BASE_ANGLE) * MTPVAngle_152,0)</f>
        <v>23224</v>
      </c>
      <c r="H465" s="94" t="str">
        <f>IF(G465&lt;&gt;"",IF(C465="float32",FLOAT2HEX(G465),DEC2HEX(G465,8)),"")</f>
        <v>00005AB8</v>
      </c>
      <c r="I465" s="94">
        <f t="shared" si="15"/>
        <v>23224</v>
      </c>
    </row>
    <row r="466" spans="1:9">
      <c r="A466" s="96">
        <f>IF(I466&lt;&gt;"",MAX(A$1:A465)+1,"")</f>
        <v>459</v>
      </c>
      <c r="B466" s="97" t="s">
        <v>2598</v>
      </c>
      <c r="C466" s="103" t="s">
        <v>57</v>
      </c>
      <c r="D466" s="103">
        <f t="shared" si="14"/>
        <v>4</v>
      </c>
      <c r="E466" s="89" t="s">
        <v>3081</v>
      </c>
      <c r="G466" s="103">
        <f>ROUND((32768/BASE_FLUX) * MTPVFlux_153,0)</f>
        <v>24261</v>
      </c>
      <c r="H466" s="94" t="str">
        <f>IF(G466&lt;&gt;"",IF(C466="float32",FLOAT2HEX(G466),DEC2HEX(G466,8)),"")</f>
        <v>00005EC5</v>
      </c>
      <c r="I466" s="94">
        <f t="shared" si="15"/>
        <v>24261</v>
      </c>
    </row>
    <row r="467" spans="1:9">
      <c r="A467" s="96">
        <f>IF(I467&lt;&gt;"",MAX(A$1:A466)+1,"")</f>
        <v>460</v>
      </c>
      <c r="B467" s="74" t="s">
        <v>2599</v>
      </c>
      <c r="C467" s="103" t="s">
        <v>57</v>
      </c>
      <c r="D467" s="103">
        <f t="shared" si="14"/>
        <v>4</v>
      </c>
      <c r="E467" s="89" t="s">
        <v>3082</v>
      </c>
      <c r="G467" s="103">
        <f>ROUND((32768/BASE_TORQ) * MTPVTorque_153,0)</f>
        <v>8613</v>
      </c>
      <c r="H467" s="94" t="str">
        <f>IF(G467&lt;&gt;"",IF(C467="float32",FLOAT2HEX(G467),DEC2HEX(G467,8)),"")</f>
        <v>000021A5</v>
      </c>
      <c r="I467" s="94">
        <f t="shared" si="15"/>
        <v>8613</v>
      </c>
    </row>
    <row r="468" spans="1:9">
      <c r="A468" s="96">
        <f>IF(I468&lt;&gt;"",MAX(A$1:A467)+1,"")</f>
        <v>461</v>
      </c>
      <c r="B468" s="97" t="s">
        <v>2600</v>
      </c>
      <c r="C468" s="103" t="s">
        <v>57</v>
      </c>
      <c r="D468" s="103">
        <f t="shared" si="14"/>
        <v>4</v>
      </c>
      <c r="E468" s="89" t="s">
        <v>3083</v>
      </c>
      <c r="G468" s="103">
        <f>ROUND((32768/BASE_ANGLE) * MTPVAngle_153,0)</f>
        <v>23174</v>
      </c>
      <c r="H468" s="94" t="str">
        <f>IF(G468&lt;&gt;"",IF(C468="float32",FLOAT2HEX(G468),DEC2HEX(G468,8)),"")</f>
        <v>00005A86</v>
      </c>
      <c r="I468" s="94">
        <f t="shared" si="15"/>
        <v>23174</v>
      </c>
    </row>
    <row r="469" spans="1:9">
      <c r="A469" s="96">
        <f>IF(I469&lt;&gt;"",MAX(A$1:A468)+1,"")</f>
        <v>462</v>
      </c>
      <c r="B469" s="97" t="s">
        <v>2601</v>
      </c>
      <c r="C469" s="103" t="s">
        <v>57</v>
      </c>
      <c r="D469" s="103">
        <f t="shared" si="14"/>
        <v>4</v>
      </c>
      <c r="E469" s="89" t="s">
        <v>3084</v>
      </c>
      <c r="G469" s="103">
        <f>ROUND((32768/BASE_FLUX) * MTPVFlux_154,0)</f>
        <v>24407</v>
      </c>
      <c r="H469" s="94" t="str">
        <f>IF(G469&lt;&gt;"",IF(C469="float32",FLOAT2HEX(G469),DEC2HEX(G469,8)),"")</f>
        <v>00005F57</v>
      </c>
      <c r="I469" s="94">
        <f t="shared" si="15"/>
        <v>24407</v>
      </c>
    </row>
    <row r="470" spans="1:9">
      <c r="A470" s="96">
        <f>IF(I470&lt;&gt;"",MAX(A$1:A469)+1,"")</f>
        <v>463</v>
      </c>
      <c r="B470" s="74" t="s">
        <v>2602</v>
      </c>
      <c r="C470" s="103" t="s">
        <v>57</v>
      </c>
      <c r="D470" s="103">
        <f t="shared" si="14"/>
        <v>4</v>
      </c>
      <c r="E470" s="89" t="s">
        <v>3085</v>
      </c>
      <c r="G470" s="103">
        <f>ROUND((32768/BASE_TORQ) * MTPVTorque_154,0)</f>
        <v>8613</v>
      </c>
      <c r="H470" s="94" t="str">
        <f>IF(G470&lt;&gt;"",IF(C470="float32",FLOAT2HEX(G470),DEC2HEX(G470,8)),"")</f>
        <v>000021A5</v>
      </c>
      <c r="I470" s="94">
        <f t="shared" si="15"/>
        <v>8613</v>
      </c>
    </row>
    <row r="471" spans="1:9">
      <c r="A471" s="96">
        <f>IF(I471&lt;&gt;"",MAX(A$1:A470)+1,"")</f>
        <v>464</v>
      </c>
      <c r="B471" s="97" t="s">
        <v>2603</v>
      </c>
      <c r="C471" s="103" t="s">
        <v>57</v>
      </c>
      <c r="D471" s="103">
        <f t="shared" si="14"/>
        <v>4</v>
      </c>
      <c r="E471" s="89" t="s">
        <v>3086</v>
      </c>
      <c r="G471" s="103">
        <f>ROUND((32768/BASE_ANGLE) * MTPVAngle_154,0)</f>
        <v>23125</v>
      </c>
      <c r="H471" s="94" t="str">
        <f>IF(G471&lt;&gt;"",IF(C471="float32",FLOAT2HEX(G471),DEC2HEX(G471,8)),"")</f>
        <v>00005A55</v>
      </c>
      <c r="I471" s="94">
        <f t="shared" si="15"/>
        <v>23125</v>
      </c>
    </row>
    <row r="472" spans="1:9">
      <c r="A472" s="96">
        <f>IF(I472&lt;&gt;"",MAX(A$1:A471)+1,"")</f>
        <v>465</v>
      </c>
      <c r="B472" s="97" t="s">
        <v>2604</v>
      </c>
      <c r="C472" s="103" t="s">
        <v>57</v>
      </c>
      <c r="D472" s="103">
        <f t="shared" si="14"/>
        <v>4</v>
      </c>
      <c r="E472" s="89" t="s">
        <v>3087</v>
      </c>
      <c r="G472" s="103">
        <f>ROUND((32768/BASE_FLUX) * MTPVFlux_155,0)</f>
        <v>24564</v>
      </c>
      <c r="H472" s="94" t="str">
        <f>IF(G472&lt;&gt;"",IF(C472="float32",FLOAT2HEX(G472),DEC2HEX(G472,8)),"")</f>
        <v>00005FF4</v>
      </c>
      <c r="I472" s="94">
        <f t="shared" si="15"/>
        <v>24564</v>
      </c>
    </row>
    <row r="473" spans="1:9">
      <c r="A473" s="96">
        <f>IF(I473&lt;&gt;"",MAX(A$1:A472)+1,"")</f>
        <v>466</v>
      </c>
      <c r="B473" s="74" t="s">
        <v>2605</v>
      </c>
      <c r="C473" s="103" t="s">
        <v>57</v>
      </c>
      <c r="D473" s="103">
        <f t="shared" si="14"/>
        <v>4</v>
      </c>
      <c r="E473" s="89" t="s">
        <v>3088</v>
      </c>
      <c r="G473" s="103">
        <f>ROUND((32768/BASE_TORQ) * MTPVTorque_155,0)</f>
        <v>8613</v>
      </c>
      <c r="H473" s="94" t="str">
        <f>IF(G473&lt;&gt;"",IF(C473="float32",FLOAT2HEX(G473),DEC2HEX(G473,8)),"")</f>
        <v>000021A5</v>
      </c>
      <c r="I473" s="94">
        <f t="shared" si="15"/>
        <v>8613</v>
      </c>
    </row>
    <row r="474" spans="1:9">
      <c r="A474" s="96">
        <f>IF(I474&lt;&gt;"",MAX(A$1:A473)+1,"")</f>
        <v>467</v>
      </c>
      <c r="B474" s="97" t="s">
        <v>2606</v>
      </c>
      <c r="C474" s="103" t="s">
        <v>57</v>
      </c>
      <c r="D474" s="103">
        <f t="shared" si="14"/>
        <v>4</v>
      </c>
      <c r="E474" s="89" t="s">
        <v>3089</v>
      </c>
      <c r="G474" s="103">
        <f>ROUND((32768/BASE_ANGLE) * MTPVAngle_155,0)</f>
        <v>23077</v>
      </c>
      <c r="H474" s="94" t="str">
        <f>IF(G474&lt;&gt;"",IF(C474="float32",FLOAT2HEX(G474),DEC2HEX(G474,8)),"")</f>
        <v>00005A25</v>
      </c>
      <c r="I474" s="94">
        <f t="shared" si="15"/>
        <v>23077</v>
      </c>
    </row>
    <row r="475" spans="1:9">
      <c r="A475" s="96">
        <f>IF(I475&lt;&gt;"",MAX(A$1:A474)+1,"")</f>
        <v>468</v>
      </c>
      <c r="B475" s="97" t="s">
        <v>2607</v>
      </c>
      <c r="C475" s="103" t="s">
        <v>57</v>
      </c>
      <c r="D475" s="103">
        <f t="shared" si="14"/>
        <v>4</v>
      </c>
      <c r="E475" s="89" t="s">
        <v>3090</v>
      </c>
      <c r="G475" s="103">
        <f>ROUND((32768/BASE_FLUX) * MTPVFlux_156,0)</f>
        <v>24709</v>
      </c>
      <c r="H475" s="94" t="str">
        <f>IF(G475&lt;&gt;"",IF(C475="float32",FLOAT2HEX(G475),DEC2HEX(G475,8)),"")</f>
        <v>00006085</v>
      </c>
      <c r="I475" s="94">
        <f t="shared" si="15"/>
        <v>24709</v>
      </c>
    </row>
    <row r="476" spans="1:9">
      <c r="A476" s="96">
        <f>IF(I476&lt;&gt;"",MAX(A$1:A475)+1,"")</f>
        <v>469</v>
      </c>
      <c r="B476" s="74" t="s">
        <v>2608</v>
      </c>
      <c r="C476" s="103" t="s">
        <v>57</v>
      </c>
      <c r="D476" s="103">
        <f t="shared" si="14"/>
        <v>4</v>
      </c>
      <c r="E476" s="89" t="s">
        <v>3091</v>
      </c>
      <c r="G476" s="103">
        <f>ROUND((32768/BASE_TORQ) * MTPVTorque_156,0)</f>
        <v>8613</v>
      </c>
      <c r="H476" s="94" t="str">
        <f>IF(G476&lt;&gt;"",IF(C476="float32",FLOAT2HEX(G476),DEC2HEX(G476,8)),"")</f>
        <v>000021A5</v>
      </c>
      <c r="I476" s="94">
        <f t="shared" si="15"/>
        <v>8613</v>
      </c>
    </row>
    <row r="477" spans="1:9">
      <c r="A477" s="96">
        <f>IF(I477&lt;&gt;"",MAX(A$1:A476)+1,"")</f>
        <v>470</v>
      </c>
      <c r="B477" s="97" t="s">
        <v>2609</v>
      </c>
      <c r="C477" s="103" t="s">
        <v>57</v>
      </c>
      <c r="D477" s="103">
        <f t="shared" si="14"/>
        <v>4</v>
      </c>
      <c r="E477" s="89" t="s">
        <v>3092</v>
      </c>
      <c r="G477" s="103">
        <f>ROUND((32768/BASE_ANGLE) * MTPVAngle_156,0)</f>
        <v>23029</v>
      </c>
      <c r="H477" s="94" t="str">
        <f>IF(G477&lt;&gt;"",IF(C477="float32",FLOAT2HEX(G477),DEC2HEX(G477,8)),"")</f>
        <v>000059F5</v>
      </c>
      <c r="I477" s="94">
        <f t="shared" si="15"/>
        <v>23029</v>
      </c>
    </row>
    <row r="478" spans="1:9">
      <c r="A478" s="96">
        <f>IF(I478&lt;&gt;"",MAX(A$1:A477)+1,"")</f>
        <v>471</v>
      </c>
      <c r="B478" s="97" t="s">
        <v>2610</v>
      </c>
      <c r="C478" s="103" t="s">
        <v>57</v>
      </c>
      <c r="D478" s="103">
        <f t="shared" si="14"/>
        <v>4</v>
      </c>
      <c r="E478" s="89" t="s">
        <v>3093</v>
      </c>
      <c r="G478" s="103">
        <f>ROUND((32768/BASE_FLUX) * MTPVFlux_157,0)</f>
        <v>24866</v>
      </c>
      <c r="H478" s="94" t="str">
        <f>IF(G478&lt;&gt;"",IF(C478="float32",FLOAT2HEX(G478),DEC2HEX(G478,8)),"")</f>
        <v>00006122</v>
      </c>
      <c r="I478" s="94">
        <f t="shared" si="15"/>
        <v>24866</v>
      </c>
    </row>
    <row r="479" spans="1:9">
      <c r="A479" s="96">
        <f>IF(I479&lt;&gt;"",MAX(A$1:A478)+1,"")</f>
        <v>472</v>
      </c>
      <c r="B479" s="74" t="s">
        <v>2611</v>
      </c>
      <c r="C479" s="103" t="s">
        <v>57</v>
      </c>
      <c r="D479" s="103">
        <f t="shared" si="14"/>
        <v>4</v>
      </c>
      <c r="E479" s="89" t="s">
        <v>3094</v>
      </c>
      <c r="G479" s="103">
        <f>ROUND((32768/BASE_TORQ) * MTPVTorque_157,0)</f>
        <v>8613</v>
      </c>
      <c r="H479" s="94" t="str">
        <f>IF(G479&lt;&gt;"",IF(C479="float32",FLOAT2HEX(G479),DEC2HEX(G479,8)),"")</f>
        <v>000021A5</v>
      </c>
      <c r="I479" s="94">
        <f t="shared" si="15"/>
        <v>8613</v>
      </c>
    </row>
    <row r="480" spans="1:9">
      <c r="A480" s="96">
        <f>IF(I480&lt;&gt;"",MAX(A$1:A479)+1,"")</f>
        <v>473</v>
      </c>
      <c r="B480" s="97" t="s">
        <v>2612</v>
      </c>
      <c r="C480" s="103" t="s">
        <v>57</v>
      </c>
      <c r="D480" s="103">
        <f t="shared" si="14"/>
        <v>4</v>
      </c>
      <c r="E480" s="89" t="s">
        <v>3095</v>
      </c>
      <c r="G480" s="103">
        <f>ROUND((32768/BASE_ANGLE) * MTPVAngle_157,0)</f>
        <v>22983</v>
      </c>
      <c r="H480" s="94" t="str">
        <f>IF(G480&lt;&gt;"",IF(C480="float32",FLOAT2HEX(G480),DEC2HEX(G480,8)),"")</f>
        <v>000059C7</v>
      </c>
      <c r="I480" s="94">
        <f t="shared" si="15"/>
        <v>22983</v>
      </c>
    </row>
    <row r="481" spans="1:21">
      <c r="A481" s="96">
        <f>IF(I481&lt;&gt;"",MAX(A$1:A480)+1,"")</f>
        <v>474</v>
      </c>
      <c r="B481" s="97" t="s">
        <v>2613</v>
      </c>
      <c r="C481" s="103" t="s">
        <v>57</v>
      </c>
      <c r="D481" s="103">
        <f t="shared" si="14"/>
        <v>4</v>
      </c>
      <c r="E481" s="89" t="s">
        <v>3096</v>
      </c>
      <c r="G481" s="103">
        <f>ROUND((32768/BASE_FLUX) * MTPVFlux_158,0)</f>
        <v>25012</v>
      </c>
      <c r="H481" s="94" t="str">
        <f>IF(G481&lt;&gt;"",IF(C481="float32",FLOAT2HEX(G481),DEC2HEX(G481,8)),"")</f>
        <v>000061B4</v>
      </c>
      <c r="I481" s="94">
        <f t="shared" si="15"/>
        <v>25012</v>
      </c>
    </row>
    <row r="482" spans="1:21">
      <c r="A482" s="96">
        <f>IF(I482&lt;&gt;"",MAX(A$1:A481)+1,"")</f>
        <v>475</v>
      </c>
      <c r="B482" s="74" t="s">
        <v>2614</v>
      </c>
      <c r="C482" s="103" t="s">
        <v>57</v>
      </c>
      <c r="D482" s="103">
        <f t="shared" si="14"/>
        <v>4</v>
      </c>
      <c r="E482" s="89" t="s">
        <v>3097</v>
      </c>
      <c r="G482" s="103">
        <f>ROUND((32768/BASE_TORQ) * MTPVTorque_158,0)</f>
        <v>8613</v>
      </c>
      <c r="H482" s="94" t="str">
        <f>IF(G482&lt;&gt;"",IF(C482="float32",FLOAT2HEX(G482),DEC2HEX(G482,8)),"")</f>
        <v>000021A5</v>
      </c>
      <c r="I482" s="94">
        <f t="shared" si="15"/>
        <v>8613</v>
      </c>
    </row>
    <row r="483" spans="1:21">
      <c r="A483" s="96">
        <f>IF(I483&lt;&gt;"",MAX(A$1:A482)+1,"")</f>
        <v>476</v>
      </c>
      <c r="B483" s="97" t="s">
        <v>2615</v>
      </c>
      <c r="C483" s="103" t="s">
        <v>57</v>
      </c>
      <c r="D483" s="103">
        <f t="shared" si="14"/>
        <v>4</v>
      </c>
      <c r="E483" s="89" t="s">
        <v>3098</v>
      </c>
      <c r="G483" s="103">
        <f>ROUND((32768/BASE_ANGLE) * MTPVAngle_158,0)</f>
        <v>22937</v>
      </c>
      <c r="H483" s="94" t="str">
        <f>IF(G483&lt;&gt;"",IF(C483="float32",FLOAT2HEX(G483),DEC2HEX(G483,8)),"")</f>
        <v>00005999</v>
      </c>
      <c r="I483" s="94">
        <f t="shared" si="15"/>
        <v>22937</v>
      </c>
    </row>
    <row r="484" spans="1:21">
      <c r="A484" s="96">
        <f>IF(I484&lt;&gt;"",MAX(A$1:A483)+1,"")</f>
        <v>477</v>
      </c>
      <c r="B484" s="97" t="s">
        <v>2616</v>
      </c>
      <c r="C484" s="103" t="s">
        <v>57</v>
      </c>
      <c r="D484" s="103">
        <f t="shared" si="14"/>
        <v>4</v>
      </c>
      <c r="E484" s="89" t="s">
        <v>3099</v>
      </c>
      <c r="G484" s="103">
        <f>ROUND((32768/BASE_FLUX) * MTPVFlux_159,0)</f>
        <v>25169</v>
      </c>
      <c r="H484" s="94" t="str">
        <f>IF(G484&lt;&gt;"",IF(C484="float32",FLOAT2HEX(G484),DEC2HEX(G484,8)),"")</f>
        <v>00006251</v>
      </c>
      <c r="I484" s="94">
        <f t="shared" si="15"/>
        <v>25169</v>
      </c>
    </row>
    <row r="485" spans="1:21">
      <c r="A485" s="96">
        <f>IF(I485&lt;&gt;"",MAX(A$1:A484)+1,"")</f>
        <v>478</v>
      </c>
      <c r="B485" s="74" t="s">
        <v>2617</v>
      </c>
      <c r="C485" s="103" t="s">
        <v>57</v>
      </c>
      <c r="D485" s="103">
        <f t="shared" si="14"/>
        <v>4</v>
      </c>
      <c r="E485" s="89" t="s">
        <v>3100</v>
      </c>
      <c r="G485" s="103">
        <f>ROUND((32768/BASE_TORQ) * MTPVTorque_159,0)</f>
        <v>8613</v>
      </c>
      <c r="H485" s="94" t="str">
        <f>IF(G485&lt;&gt;"",IF(C485="float32",FLOAT2HEX(G485),DEC2HEX(G485,8)),"")</f>
        <v>000021A5</v>
      </c>
      <c r="I485" s="94">
        <f t="shared" si="15"/>
        <v>8613</v>
      </c>
    </row>
    <row r="486" spans="1:21">
      <c r="A486" s="96">
        <f>IF(I486&lt;&gt;"",MAX(A$1:A485)+1,"")</f>
        <v>479</v>
      </c>
      <c r="B486" s="97" t="s">
        <v>2618</v>
      </c>
      <c r="C486" s="103" t="s">
        <v>57</v>
      </c>
      <c r="D486" s="103">
        <f t="shared" si="14"/>
        <v>4</v>
      </c>
      <c r="E486" s="89" t="s">
        <v>3101</v>
      </c>
      <c r="G486" s="103">
        <f>ROUND((32768/BASE_ANGLE) * MTPVAngle_159,0)</f>
        <v>22891</v>
      </c>
      <c r="H486" s="94" t="str">
        <f>IF(G486&lt;&gt;"",IF(C486="float32",FLOAT2HEX(G486),DEC2HEX(G486,8)),"")</f>
        <v>0000596B</v>
      </c>
      <c r="I486" s="94">
        <f t="shared" si="15"/>
        <v>22891</v>
      </c>
    </row>
    <row r="487" spans="1:21">
      <c r="A487" s="96">
        <f>IF(I487&lt;&gt;"",MAX(A$1:A486)+1,"")</f>
        <v>480</v>
      </c>
      <c r="B487" s="97" t="s">
        <v>2619</v>
      </c>
      <c r="C487" s="103" t="s">
        <v>57</v>
      </c>
      <c r="D487" s="103">
        <f t="shared" si="14"/>
        <v>4</v>
      </c>
      <c r="E487" s="89" t="s">
        <v>3102</v>
      </c>
      <c r="G487" s="103">
        <f>ROUND((32768/BASE_FLUX) * MTPVFlux_160,0)</f>
        <v>25314</v>
      </c>
      <c r="H487" s="94" t="str">
        <f>IF(G487&lt;&gt;"",IF(C487="float32",FLOAT2HEX(G487),DEC2HEX(G487,8)),"")</f>
        <v>000062E2</v>
      </c>
      <c r="I487" s="94">
        <f t="shared" si="15"/>
        <v>25314</v>
      </c>
    </row>
    <row r="488" spans="1:21">
      <c r="A488" s="96">
        <f>IF(I488&lt;&gt;"",MAX(A$1:A487)+1,"")</f>
        <v>481</v>
      </c>
      <c r="B488" s="74" t="s">
        <v>2620</v>
      </c>
      <c r="C488" s="103" t="s">
        <v>57</v>
      </c>
      <c r="D488" s="103">
        <f t="shared" si="14"/>
        <v>4</v>
      </c>
      <c r="E488" s="89" t="s">
        <v>3103</v>
      </c>
      <c r="G488" s="103">
        <f>ROUND((32768/BASE_TORQ) * MTPVTorque_160,0)</f>
        <v>8613</v>
      </c>
      <c r="H488" s="94" t="str">
        <f>IF(G488&lt;&gt;"",IF(C488="float32",FLOAT2HEX(G488),DEC2HEX(G488,8)),"")</f>
        <v>000021A5</v>
      </c>
      <c r="I488" s="94">
        <f t="shared" si="15"/>
        <v>8613</v>
      </c>
    </row>
    <row r="489" spans="1:21">
      <c r="A489" s="96">
        <f>IF(I489&lt;&gt;"",MAX(A$1:A488)+1,"")</f>
        <v>482</v>
      </c>
      <c r="B489" s="97" t="s">
        <v>2621</v>
      </c>
      <c r="C489" s="103" t="s">
        <v>57</v>
      </c>
      <c r="D489" s="103">
        <f t="shared" ref="D489" si="16">IF(OR(C489="sint64",C489="uint64",C489="double64"), 8, IF(OR(C489="sint32",C489="uint32",C489="float32"),4,IF(OR(C489="sint16",C489="uint16"),2,  IF(OR(C489="sint8",C489="uint8"),1,""))))</f>
        <v>4</v>
      </c>
      <c r="E489" s="89" t="s">
        <v>3104</v>
      </c>
      <c r="G489" s="103">
        <f>ROUND((32768/BASE_ANGLE) * MTPVAngle_160,0)</f>
        <v>22847</v>
      </c>
      <c r="H489" s="94" t="str">
        <f>IF(G489&lt;&gt;"",IF(C489="float32",FLOAT2HEX(G489),DEC2HEX(G489,8)),"")</f>
        <v>0000593F</v>
      </c>
      <c r="I489" s="94">
        <f t="shared" ref="I489:I490" si="17">IF(G489&lt;&gt;"",HEX2DEC(H489),"")</f>
        <v>22847</v>
      </c>
    </row>
    <row r="490" spans="1:21">
      <c r="A490" s="96">
        <f>IF(I490&lt;&gt;"",MAX(A$1:A489)+1,"")</f>
        <v>483</v>
      </c>
      <c r="B490" s="97" t="s">
        <v>3121</v>
      </c>
      <c r="C490" s="103" t="s">
        <v>57</v>
      </c>
      <c r="D490" s="103">
        <f>IF(OR(C490="sint64",C490="uint64",C490="double64"), 8, IF(OR(C490="sint32",C490="uint32",C490="float32"),4,IF(OR(C490="sint16",C490="uint16"),2,  IF(OR(C490="sint8",C490="uint8"),1,""))))</f>
        <v>4</v>
      </c>
      <c r="E490" s="89" t="s">
        <v>3122</v>
      </c>
      <c r="G490" s="103">
        <f>ROUND(BASE_FLUX/(MTPVFlux_1-MTPVFlux_0),0)</f>
        <v>226</v>
      </c>
      <c r="H490" s="94" t="str">
        <f>IF(G490&lt;&gt;"",IF(C490="float32",FLOAT2HEX(G490),DEC2HEX(G490,8)),"")</f>
        <v>000000E2</v>
      </c>
      <c r="I490" s="94">
        <f t="shared" si="17"/>
        <v>226</v>
      </c>
      <c r="U490" s="95"/>
    </row>
    <row r="491" spans="1:21">
      <c r="A491" s="96">
        <f>IF(I491&lt;&gt;"",MAX(A$1:A490)+1,"")</f>
        <v>484</v>
      </c>
      <c r="B491" s="97" t="s">
        <v>3128</v>
      </c>
      <c r="C491" s="103" t="s">
        <v>57</v>
      </c>
      <c r="D491" s="103">
        <f>IF(OR(C491="sint64",C491="uint64",C491="double64"), 8, IF(OR(C491="sint32",C491="uint32",C491="float32"),4,IF(OR(C491="sint16",C491="uint16"),2,  IF(OR(C491="sint8",C491="uint8"),1,""))))</f>
        <v>4</v>
      </c>
      <c r="E491" s="89" t="s">
        <v>3129</v>
      </c>
      <c r="G491" s="103">
        <f>(A489+1)/3-1</f>
        <v>160</v>
      </c>
      <c r="H491" s="94" t="str">
        <f>IF(G491&lt;&gt;"",IF(C491="float32",FLOAT2HEX(G491),DEC2HEX(G491,8)),"")</f>
        <v>000000A0</v>
      </c>
      <c r="I491" s="94">
        <f t="shared" ref="I491" si="18">IF(G491&lt;&gt;"",HEX2DEC(H491),"")</f>
        <v>160</v>
      </c>
    </row>
  </sheetData>
  <mergeCells count="2">
    <mergeCell ref="B1:H1"/>
    <mergeCell ref="B3:C3"/>
  </mergeCells>
  <dataValidations count="1">
    <dataValidation type="list" allowBlank="1" showInputMessage="1" showErrorMessage="1" sqref="C7:C489">
      <formula1>List_Variable_Sizes</formula1>
    </dataValidation>
  </dataValidations>
  <pageMargins left="0.7" right="0.7" top="0.75" bottom="0.75" header="0.3" footer="0.3"/>
  <pageSetup paperSize="9" orientation="portrait" horizontalDpi="200" verticalDpi="20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Plan1"/>
  <dimension ref="F7:J17"/>
  <sheetViews>
    <sheetView workbookViewId="0">
      <selection activeCell="J13" sqref="J13"/>
    </sheetView>
  </sheetViews>
  <sheetFormatPr defaultRowHeight="15"/>
  <cols>
    <col min="6" max="6" width="18.5703125" bestFit="1" customWidth="1"/>
    <col min="7" max="7" width="17.7109375" bestFit="1" customWidth="1"/>
  </cols>
  <sheetData>
    <row r="7" spans="6:10">
      <c r="F7" t="s">
        <v>67</v>
      </c>
      <c r="G7" t="s">
        <v>68</v>
      </c>
      <c r="J7" t="s">
        <v>22</v>
      </c>
    </row>
    <row r="8" spans="6:10">
      <c r="F8" t="s">
        <v>59</v>
      </c>
      <c r="G8">
        <v>8</v>
      </c>
      <c r="J8" t="s">
        <v>69</v>
      </c>
    </row>
    <row r="9" spans="6:10">
      <c r="F9" t="s">
        <v>60</v>
      </c>
      <c r="G9">
        <v>16</v>
      </c>
      <c r="J9" t="s">
        <v>23</v>
      </c>
    </row>
    <row r="10" spans="6:10">
      <c r="F10" t="s">
        <v>57</v>
      </c>
      <c r="G10">
        <v>32</v>
      </c>
      <c r="J10" t="s">
        <v>24</v>
      </c>
    </row>
    <row r="11" spans="6:10">
      <c r="F11" t="s">
        <v>61</v>
      </c>
      <c r="G11">
        <v>64</v>
      </c>
      <c r="J11" t="s">
        <v>26</v>
      </c>
    </row>
    <row r="12" spans="6:10">
      <c r="F12" t="s">
        <v>58</v>
      </c>
      <c r="G12">
        <v>8</v>
      </c>
      <c r="J12" t="s">
        <v>25</v>
      </c>
    </row>
    <row r="13" spans="6:10">
      <c r="F13" t="s">
        <v>62</v>
      </c>
      <c r="G13">
        <v>16</v>
      </c>
    </row>
    <row r="14" spans="6:10">
      <c r="F14" t="s">
        <v>63</v>
      </c>
      <c r="G14">
        <v>32</v>
      </c>
    </row>
    <row r="15" spans="6:10">
      <c r="F15" t="s">
        <v>64</v>
      </c>
      <c r="G15">
        <v>64</v>
      </c>
    </row>
    <row r="16" spans="6:10">
      <c r="F16" t="s">
        <v>65</v>
      </c>
      <c r="G16">
        <v>32</v>
      </c>
    </row>
    <row r="17" spans="6:7">
      <c r="F17" t="s">
        <v>66</v>
      </c>
      <c r="G17">
        <v>64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881</vt:i4>
      </vt:variant>
    </vt:vector>
  </HeadingPairs>
  <TitlesOfParts>
    <vt:vector size="892" baseType="lpstr">
      <vt:lpstr>Template Instructions</vt:lpstr>
      <vt:lpstr>GUI forms</vt:lpstr>
      <vt:lpstr>Parameters definition</vt:lpstr>
      <vt:lpstr>Displ0</vt:lpstr>
      <vt:lpstr>Displ1</vt:lpstr>
      <vt:lpstr>Displ3</vt:lpstr>
      <vt:lpstr>Displ4</vt:lpstr>
      <vt:lpstr>Displ5</vt:lpstr>
      <vt:lpstr>Displ9</vt:lpstr>
      <vt:lpstr>Displ10</vt:lpstr>
      <vt:lpstr>Data validation entries</vt:lpstr>
      <vt:lpstr>ALGO_BUILD_FLUX_INCREMENT</vt:lpstr>
      <vt:lpstr>ALGO_BUILD_FLUX_MIN_CURRENT</vt:lpstr>
      <vt:lpstr>ALGO_BUILD_FLUX_RATIO_2_FORCE_FLUX</vt:lpstr>
      <vt:lpstr>ALGO_BUILD_FLUX_STARTING_TIME</vt:lpstr>
      <vt:lpstr>ALGO_BUILD_FLUX_TS</vt:lpstr>
      <vt:lpstr>ALGO_RES_EST_1ST_PLATEAU_TIME</vt:lpstr>
      <vt:lpstr>ALGO_RES_EST_2ND_PLATEAU_TIME</vt:lpstr>
      <vt:lpstr>ALGO_RES_EST_3RD_PLATEAU_TIME</vt:lpstr>
      <vt:lpstr>ALGO_RES_EST_BASE_TEMP</vt:lpstr>
      <vt:lpstr>ALGO_RES_EST_BASE_TEMP_COEFF</vt:lpstr>
      <vt:lpstr>ALGO_RES_EST_CURR_1ST_PLATEAU</vt:lpstr>
      <vt:lpstr>ALGO_RES_EST_CURR_2ND_PLATEAU</vt:lpstr>
      <vt:lpstr>ALGO_RES_EST_CURR_3RD_PLATEAU</vt:lpstr>
      <vt:lpstr>ALGO_RES_EST_HANDLER_TS</vt:lpstr>
      <vt:lpstr>ALGO_RES_EST_NR_OF_ESTIMATION_AFTER_RESET</vt:lpstr>
      <vt:lpstr>ALGO_RES_EST_NR_OF_ESTIMATION_IN_ROW_AFTER_SPIN</vt:lpstr>
      <vt:lpstr>ALGO_RES_EST_NUMBER_OF_SAMPLES</vt:lpstr>
      <vt:lpstr>ALGO_RES_EST_OSCILLATION_CHECK_TIME</vt:lpstr>
      <vt:lpstr>ALGO_RES_EST_OSCILLATION_SPEED_THRESHOLD</vt:lpstr>
      <vt:lpstr>ALGO_RES_EST_RS_FROM_BASE_TEMP</vt:lpstr>
      <vt:lpstr>ALGO_RES_EST_SPEED_TO_MEAS_AGAIN</vt:lpstr>
      <vt:lpstr>ALGO_RES_EST_STATOR_RESISTANCE</vt:lpstr>
      <vt:lpstr>ALGO_RES_EST_TEMP_COEFF</vt:lpstr>
      <vt:lpstr>ALGO_RES_EST_TIME_2_OUTDATE_RESISTANCE</vt:lpstr>
      <vt:lpstr>ALGO_RES_EST_TIME_BETWEEN_MEAS_AFTER_RESET</vt:lpstr>
      <vt:lpstr>ALGO_RES_EST_TIME_BETWEEN_MEAS_NORMAL_OPERATION</vt:lpstr>
      <vt:lpstr>ALGO_RES_EST_TIMEOUT_1ST_PLATEAU</vt:lpstr>
      <vt:lpstr>ALGO_RES_EST_TIMEOUT_2ND_PLATEAU</vt:lpstr>
      <vt:lpstr>ALGO_RES_EST_TIMEOUT_THRESHOLD</vt:lpstr>
      <vt:lpstr>ALGO_RES_EST_TS</vt:lpstr>
      <vt:lpstr>ALGO_RES_EST_VOLTAGE_STEP_1ST_PLATEAU</vt:lpstr>
      <vt:lpstr>ALGO_RES_EST_VOLTAGE_STEP_2ND_PLATEAU</vt:lpstr>
      <vt:lpstr>ALGO_RES_EST_VOLTAGE_STEP_3RD_PLATEAU</vt:lpstr>
      <vt:lpstr>ALGO_RUNNING_DEBOUNCER_2_IGBTS_OFF</vt:lpstr>
      <vt:lpstr>ALGO_RUNNING_LOCKED_ROTOR_CURRENT_THRESHOLD</vt:lpstr>
      <vt:lpstr>ALGO_RUNNING_LOCKED_ROTOR_RUNNING_THRESHOLD</vt:lpstr>
      <vt:lpstr>ALGO_RUNNING_LOCKED_ROTOR_START_OR_RUNNING</vt:lpstr>
      <vt:lpstr>ALGO_RUNNING_LOCKED_ROTOR_STARTING_THRESHOLD</vt:lpstr>
      <vt:lpstr>ALGO_RUNNING_MIN_SPEED_2_IGBTS_OFF</vt:lpstr>
      <vt:lpstr>ALGO_RUNNING_MIN_SPEED_BEFORE_STOPPING</vt:lpstr>
      <vt:lpstr>ALGO_RUNNING_TIME_IGBTS_OFF_BELOW_MIN_SPEED</vt:lpstr>
      <vt:lpstr>BASE_ANGLE</vt:lpstr>
      <vt:lpstr>BASE_CURRENT</vt:lpstr>
      <vt:lpstr>BASE_FLUX</vt:lpstr>
      <vt:lpstr>BASE_IND</vt:lpstr>
      <vt:lpstr>BASE_OMEGA</vt:lpstr>
      <vt:lpstr>BASE_POWER</vt:lpstr>
      <vt:lpstr>BASE_RADIAL</vt:lpstr>
      <vt:lpstr>BASE_SPEED_RPM</vt:lpstr>
      <vt:lpstr>BASE_TIME</vt:lpstr>
      <vt:lpstr>BASE_TORQ</vt:lpstr>
      <vt:lpstr>BASE_VOLTAGE</vt:lpstr>
      <vt:lpstr>BASE_VOLTAGE_BUS</vt:lpstr>
      <vt:lpstr>BASE_Z</vt:lpstr>
      <vt:lpstr>BRAKING_CURRENT_AT_LOW_SPEED</vt:lpstr>
      <vt:lpstr>CROSSED_CURR_POS_0</vt:lpstr>
      <vt:lpstr>CROSSED_CURR_POS_1</vt:lpstr>
      <vt:lpstr>CROSSED_CURR_POS_2</vt:lpstr>
      <vt:lpstr>CROSSED_CURR_POS_3</vt:lpstr>
      <vt:lpstr>CROSSED_CURR_POS_4</vt:lpstr>
      <vt:lpstr>CROSSED_CURR_POS_5</vt:lpstr>
      <vt:lpstr>CROSSED_CURR_POS_6</vt:lpstr>
      <vt:lpstr>CROSSED_CURR_POS_7</vt:lpstr>
      <vt:lpstr>CROSSED_IND_POS_0</vt:lpstr>
      <vt:lpstr>CROSSED_IND_POS_1</vt:lpstr>
      <vt:lpstr>CROSSED_IND_POS_2</vt:lpstr>
      <vt:lpstr>CROSSED_IND_POS_3</vt:lpstr>
      <vt:lpstr>CROSSED_IND_POS_4</vt:lpstr>
      <vt:lpstr>CROSSED_IND_POS_5</vt:lpstr>
      <vt:lpstr>CROSSED_IND_POS_6</vt:lpstr>
      <vt:lpstr>CROSSED_IND_POS_7</vt:lpstr>
      <vt:lpstr>D_CURR_CONTROL_KI</vt:lpstr>
      <vt:lpstr>D_CURR_CONTROL_KP</vt:lpstr>
      <vt:lpstr>DC_BUS_MAX_VOLTAGE</vt:lpstr>
      <vt:lpstr>DIRECT_CURR_POS_0</vt:lpstr>
      <vt:lpstr>DIRECT_CURR_POS_1</vt:lpstr>
      <vt:lpstr>DIRECT_CURR_POS_10</vt:lpstr>
      <vt:lpstr>DIRECT_CURR_POS_11</vt:lpstr>
      <vt:lpstr>DIRECT_CURR_POS_12</vt:lpstr>
      <vt:lpstr>DIRECT_CURR_POS_13</vt:lpstr>
      <vt:lpstr>DIRECT_CURR_POS_14</vt:lpstr>
      <vt:lpstr>DIRECT_CURR_POS_15</vt:lpstr>
      <vt:lpstr>DIRECT_CURR_POS_2</vt:lpstr>
      <vt:lpstr>DIRECT_CURR_POS_3</vt:lpstr>
      <vt:lpstr>DIRECT_CURR_POS_4</vt:lpstr>
      <vt:lpstr>DIRECT_CURR_POS_5</vt:lpstr>
      <vt:lpstr>DIRECT_CURR_POS_6</vt:lpstr>
      <vt:lpstr>DIRECT_CURR_POS_7</vt:lpstr>
      <vt:lpstr>DIRECT_CURR_POS_8</vt:lpstr>
      <vt:lpstr>DIRECT_CURR_POS_9</vt:lpstr>
      <vt:lpstr>DIRECT_IND_POS_0</vt:lpstr>
      <vt:lpstr>DIRECT_IND_POS_1</vt:lpstr>
      <vt:lpstr>DIRECT_IND_POS_10</vt:lpstr>
      <vt:lpstr>DIRECT_IND_POS_11</vt:lpstr>
      <vt:lpstr>DIRECT_IND_POS_12</vt:lpstr>
      <vt:lpstr>DIRECT_IND_POS_13</vt:lpstr>
      <vt:lpstr>DIRECT_IND_POS_14</vt:lpstr>
      <vt:lpstr>DIRECT_IND_POS_15</vt:lpstr>
      <vt:lpstr>DIRECT_IND_POS_2</vt:lpstr>
      <vt:lpstr>DIRECT_IND_POS_3</vt:lpstr>
      <vt:lpstr>DIRECT_IND_POS_4</vt:lpstr>
      <vt:lpstr>DIRECT_IND_POS_5</vt:lpstr>
      <vt:lpstr>DIRECT_IND_POS_6</vt:lpstr>
      <vt:lpstr>DIRECT_IND_POS_7</vt:lpstr>
      <vt:lpstr>DIRECT_IND_POS_8</vt:lpstr>
      <vt:lpstr>DIRECT_IND_POS_9</vt:lpstr>
      <vt:lpstr>DQ_CONTROLLER_MAX_FLUX</vt:lpstr>
      <vt:lpstr>DQ_CONTROLLER_MAX_INPUT_VOLT_FACTOR</vt:lpstr>
      <vt:lpstr>DQ_CONTROLLER_OVER_FLUX_DECREMENT</vt:lpstr>
      <vt:lpstr>DQ_CONTROLLER_TS</vt:lpstr>
      <vt:lpstr>DQ_CURRENT_CONTROL_TS</vt:lpstr>
      <vt:lpstr>DQ_FLUX_KI_REGION_0</vt:lpstr>
      <vt:lpstr>DQ_FLUX_KI_REGION_1</vt:lpstr>
      <vt:lpstr>DQ_FLUX_KI_REGION_2</vt:lpstr>
      <vt:lpstr>DQ_FLUX_KP_REGION_0</vt:lpstr>
      <vt:lpstr>DQ_FLUX_KP_REGION_1</vt:lpstr>
      <vt:lpstr>DQ_FLUX_KP_REGION_2</vt:lpstr>
      <vt:lpstr>DQ_GAINS_SWTICHING_TIME_REGION_0</vt:lpstr>
      <vt:lpstr>DQ_GAINS_SWTICHING_TIME_REGION_1</vt:lpstr>
      <vt:lpstr>DQ_GAINS_SWTICHING_TIME_REGION_2</vt:lpstr>
      <vt:lpstr>DQ_SPEED_THRESHOLD_REGION_0</vt:lpstr>
      <vt:lpstr>DQ_SPEED_THRESHOLD_REGION_1</vt:lpstr>
      <vt:lpstr>DQ_SPEED_THRESHOLD_REGION_2</vt:lpstr>
      <vt:lpstr>DQ_STARTING_TIME</vt:lpstr>
      <vt:lpstr>DQ_TORQUE_KI_REGION_0</vt:lpstr>
      <vt:lpstr>DQ_TORQUE_KI_REGION_1</vt:lpstr>
      <vt:lpstr>DQ_TORQUE_KI_REGION_2</vt:lpstr>
      <vt:lpstr>DQ_TORQUE_KP_REGION_0</vt:lpstr>
      <vt:lpstr>DQ_TORQUE_KP_REGION_1</vt:lpstr>
      <vt:lpstr>DQ_TORQUE_KP_REGION_2</vt:lpstr>
      <vt:lpstr>DQREF_MAX_SPEED_DROP_FACTOR</vt:lpstr>
      <vt:lpstr>DQREF_MIN_AVAILABLE_VOLT_FACTOR</vt:lpstr>
      <vt:lpstr>DQREF_SPEED_DROP_FACTOR</vt:lpstr>
      <vt:lpstr>FLUX_REF_SCALE_TIME</vt:lpstr>
      <vt:lpstr>FORCE_MAX_STARTING_TIME</vt:lpstr>
      <vt:lpstr>FORCE_MAX_STARTING_TORQUE</vt:lpstr>
      <vt:lpstr>K_TORQUE_ERROR</vt:lpstr>
      <vt:lpstr>List_Variable_Format</vt:lpstr>
      <vt:lpstr>List_Variable_Sizes</vt:lpstr>
      <vt:lpstr>LOAD_ANGLE_COS_MAX</vt:lpstr>
      <vt:lpstr>LOAD_ANGLE_KI</vt:lpstr>
      <vt:lpstr>LOAD_ANGLE_KP</vt:lpstr>
      <vt:lpstr>LS_INDUCTANCE</vt:lpstr>
      <vt:lpstr>M_INDEX_CTRL</vt:lpstr>
      <vt:lpstr>M_INDEX_REF</vt:lpstr>
      <vt:lpstr>Max_Available_Voltage_Factor</vt:lpstr>
      <vt:lpstr>MAX_PHASE_CURR</vt:lpstr>
      <vt:lpstr>MAX_PHASE_CURRENT_HIGH_SPEED</vt:lpstr>
      <vt:lpstr>MCL_INPUT_CALL_RATE_HZ</vt:lpstr>
      <vt:lpstr>MTPAFlux_0</vt:lpstr>
      <vt:lpstr>MTPAFlux_1</vt:lpstr>
      <vt:lpstr>MTPAFlux_10</vt:lpstr>
      <vt:lpstr>MTPAFlux_11</vt:lpstr>
      <vt:lpstr>MTPAFlux_12</vt:lpstr>
      <vt:lpstr>MTPAFlux_13</vt:lpstr>
      <vt:lpstr>MTPAFlux_14</vt:lpstr>
      <vt:lpstr>MTPAFlux_15</vt:lpstr>
      <vt:lpstr>MTPAFlux_16</vt:lpstr>
      <vt:lpstr>MTPAFlux_17</vt:lpstr>
      <vt:lpstr>MTPAFlux_18</vt:lpstr>
      <vt:lpstr>MTPAFlux_19</vt:lpstr>
      <vt:lpstr>MTPAFlux_2</vt:lpstr>
      <vt:lpstr>MTPAFlux_20</vt:lpstr>
      <vt:lpstr>MTPAFlux_21</vt:lpstr>
      <vt:lpstr>MTPAFlux_22</vt:lpstr>
      <vt:lpstr>MTPAFlux_23</vt:lpstr>
      <vt:lpstr>MTPAFlux_24</vt:lpstr>
      <vt:lpstr>MTPAFlux_25</vt:lpstr>
      <vt:lpstr>MTPAFlux_26</vt:lpstr>
      <vt:lpstr>MTPAFlux_27</vt:lpstr>
      <vt:lpstr>MTPAFlux_28</vt:lpstr>
      <vt:lpstr>MTPAFlux_29</vt:lpstr>
      <vt:lpstr>MTPAFlux_3</vt:lpstr>
      <vt:lpstr>MTPAFlux_30</vt:lpstr>
      <vt:lpstr>MTPAFlux_31</vt:lpstr>
      <vt:lpstr>MTPAFlux_32</vt:lpstr>
      <vt:lpstr>MTPAFlux_33</vt:lpstr>
      <vt:lpstr>MTPAFlux_34</vt:lpstr>
      <vt:lpstr>MTPAFlux_35</vt:lpstr>
      <vt:lpstr>MTPAFlux_36</vt:lpstr>
      <vt:lpstr>MTPAFlux_37</vt:lpstr>
      <vt:lpstr>MTPAFlux_38</vt:lpstr>
      <vt:lpstr>MTPAFlux_39</vt:lpstr>
      <vt:lpstr>MTPAFlux_4</vt:lpstr>
      <vt:lpstr>MTPAFlux_40</vt:lpstr>
      <vt:lpstr>MTPAFlux_41</vt:lpstr>
      <vt:lpstr>MTPAFlux_42</vt:lpstr>
      <vt:lpstr>MTPAFlux_43</vt:lpstr>
      <vt:lpstr>MTPAFlux_44</vt:lpstr>
      <vt:lpstr>MTPAFlux_45</vt:lpstr>
      <vt:lpstr>MTPAFlux_46</vt:lpstr>
      <vt:lpstr>MTPAFlux_47</vt:lpstr>
      <vt:lpstr>MTPAFlux_48</vt:lpstr>
      <vt:lpstr>MTPAFlux_49</vt:lpstr>
      <vt:lpstr>MTPAFlux_5</vt:lpstr>
      <vt:lpstr>MTPAFlux_50</vt:lpstr>
      <vt:lpstr>MTPAFlux_51</vt:lpstr>
      <vt:lpstr>MTPAFlux_52</vt:lpstr>
      <vt:lpstr>MTPAFlux_53</vt:lpstr>
      <vt:lpstr>MTPAFlux_54</vt:lpstr>
      <vt:lpstr>MTPAFlux_55</vt:lpstr>
      <vt:lpstr>MTPAFlux_56</vt:lpstr>
      <vt:lpstr>MTPAFlux_57</vt:lpstr>
      <vt:lpstr>MTPAFlux_58</vt:lpstr>
      <vt:lpstr>MTPAFlux_59</vt:lpstr>
      <vt:lpstr>MTPAFlux_6</vt:lpstr>
      <vt:lpstr>MTPAFlux_60</vt:lpstr>
      <vt:lpstr>MTPAFlux_61</vt:lpstr>
      <vt:lpstr>MTPAFlux_62</vt:lpstr>
      <vt:lpstr>MTPAFlux_63</vt:lpstr>
      <vt:lpstr>MTPAFlux_64</vt:lpstr>
      <vt:lpstr>MTPAFlux_65</vt:lpstr>
      <vt:lpstr>MTPAFlux_66</vt:lpstr>
      <vt:lpstr>MTPAFlux_67</vt:lpstr>
      <vt:lpstr>MTPAFlux_68</vt:lpstr>
      <vt:lpstr>MTPAFlux_69</vt:lpstr>
      <vt:lpstr>MTPAFlux_7</vt:lpstr>
      <vt:lpstr>MTPAFlux_70</vt:lpstr>
      <vt:lpstr>MTPAFlux_71</vt:lpstr>
      <vt:lpstr>MTPAFlux_72</vt:lpstr>
      <vt:lpstr>MTPAFlux_73</vt:lpstr>
      <vt:lpstr>MTPAFlux_74</vt:lpstr>
      <vt:lpstr>MTPAFlux_75</vt:lpstr>
      <vt:lpstr>MTPAFlux_76</vt:lpstr>
      <vt:lpstr>MTPAFlux_77</vt:lpstr>
      <vt:lpstr>MTPAFlux_78</vt:lpstr>
      <vt:lpstr>MTPAFlux_79</vt:lpstr>
      <vt:lpstr>MTPAFlux_8</vt:lpstr>
      <vt:lpstr>MTPAFlux_80</vt:lpstr>
      <vt:lpstr>MTPAFlux_9</vt:lpstr>
      <vt:lpstr>MTPATorque_0</vt:lpstr>
      <vt:lpstr>MTPATorque_1</vt:lpstr>
      <vt:lpstr>MTPATorque_10</vt:lpstr>
      <vt:lpstr>MTPATorque_11</vt:lpstr>
      <vt:lpstr>MTPATorque_12</vt:lpstr>
      <vt:lpstr>MTPATorque_13</vt:lpstr>
      <vt:lpstr>MTPATorque_14</vt:lpstr>
      <vt:lpstr>MTPATorque_15</vt:lpstr>
      <vt:lpstr>MTPATorque_16</vt:lpstr>
      <vt:lpstr>MTPATorque_17</vt:lpstr>
      <vt:lpstr>MTPATorque_18</vt:lpstr>
      <vt:lpstr>MTPATorque_19</vt:lpstr>
      <vt:lpstr>MTPATorque_2</vt:lpstr>
      <vt:lpstr>MTPATorque_20</vt:lpstr>
      <vt:lpstr>MTPATorque_21</vt:lpstr>
      <vt:lpstr>MTPATorque_22</vt:lpstr>
      <vt:lpstr>MTPATorque_23</vt:lpstr>
      <vt:lpstr>MTPATorque_24</vt:lpstr>
      <vt:lpstr>MTPATorque_25</vt:lpstr>
      <vt:lpstr>MTPATorque_26</vt:lpstr>
      <vt:lpstr>MTPATorque_27</vt:lpstr>
      <vt:lpstr>MTPATorque_28</vt:lpstr>
      <vt:lpstr>MTPATorque_29</vt:lpstr>
      <vt:lpstr>MTPATorque_3</vt:lpstr>
      <vt:lpstr>MTPATorque_30</vt:lpstr>
      <vt:lpstr>MTPATorque_31</vt:lpstr>
      <vt:lpstr>MTPATorque_32</vt:lpstr>
      <vt:lpstr>MTPATorque_33</vt:lpstr>
      <vt:lpstr>MTPATorque_34</vt:lpstr>
      <vt:lpstr>MTPATorque_35</vt:lpstr>
      <vt:lpstr>MTPATorque_36</vt:lpstr>
      <vt:lpstr>MTPATorque_37</vt:lpstr>
      <vt:lpstr>MTPATorque_38</vt:lpstr>
      <vt:lpstr>MTPATorque_39</vt:lpstr>
      <vt:lpstr>MTPATorque_4</vt:lpstr>
      <vt:lpstr>MTPATorque_40</vt:lpstr>
      <vt:lpstr>MTPATorque_41</vt:lpstr>
      <vt:lpstr>MTPATorque_42</vt:lpstr>
      <vt:lpstr>MTPATorque_43</vt:lpstr>
      <vt:lpstr>MTPATorque_44</vt:lpstr>
      <vt:lpstr>MTPATorque_45</vt:lpstr>
      <vt:lpstr>MTPATorque_46</vt:lpstr>
      <vt:lpstr>MTPATorque_47</vt:lpstr>
      <vt:lpstr>MTPATorque_48</vt:lpstr>
      <vt:lpstr>MTPATorque_49</vt:lpstr>
      <vt:lpstr>MTPATorque_5</vt:lpstr>
      <vt:lpstr>MTPATorque_50</vt:lpstr>
      <vt:lpstr>MTPATorque_51</vt:lpstr>
      <vt:lpstr>MTPATorque_52</vt:lpstr>
      <vt:lpstr>MTPATorque_53</vt:lpstr>
      <vt:lpstr>MTPATorque_54</vt:lpstr>
      <vt:lpstr>MTPATorque_55</vt:lpstr>
      <vt:lpstr>MTPATorque_56</vt:lpstr>
      <vt:lpstr>MTPATorque_57</vt:lpstr>
      <vt:lpstr>MTPATorque_58</vt:lpstr>
      <vt:lpstr>MTPATorque_59</vt:lpstr>
      <vt:lpstr>MTPATorque_6</vt:lpstr>
      <vt:lpstr>MTPATorque_60</vt:lpstr>
      <vt:lpstr>MTPATorque_61</vt:lpstr>
      <vt:lpstr>MTPATorque_62</vt:lpstr>
      <vt:lpstr>MTPATorque_63</vt:lpstr>
      <vt:lpstr>MTPATorque_64</vt:lpstr>
      <vt:lpstr>MTPATorque_65</vt:lpstr>
      <vt:lpstr>MTPATorque_66</vt:lpstr>
      <vt:lpstr>MTPATorque_67</vt:lpstr>
      <vt:lpstr>MTPATorque_68</vt:lpstr>
      <vt:lpstr>MTPATorque_69</vt:lpstr>
      <vt:lpstr>MTPATorque_7</vt:lpstr>
      <vt:lpstr>MTPATorque_70</vt:lpstr>
      <vt:lpstr>MTPATorque_71</vt:lpstr>
      <vt:lpstr>MTPATorque_72</vt:lpstr>
      <vt:lpstr>MTPATorque_73</vt:lpstr>
      <vt:lpstr>MTPATorque_74</vt:lpstr>
      <vt:lpstr>MTPATorque_75</vt:lpstr>
      <vt:lpstr>MTPATorque_76</vt:lpstr>
      <vt:lpstr>MTPATorque_77</vt:lpstr>
      <vt:lpstr>MTPATorque_78</vt:lpstr>
      <vt:lpstr>MTPATorque_79</vt:lpstr>
      <vt:lpstr>MTPATorque_8</vt:lpstr>
      <vt:lpstr>MTPATorque_80</vt:lpstr>
      <vt:lpstr>MTPATorque_9</vt:lpstr>
      <vt:lpstr>MTPVAngle_0</vt:lpstr>
      <vt:lpstr>MTPVAngle_1</vt:lpstr>
      <vt:lpstr>MTPVAngle_10</vt:lpstr>
      <vt:lpstr>MTPVAngle_100</vt:lpstr>
      <vt:lpstr>MTPVAngle_101</vt:lpstr>
      <vt:lpstr>MTPVAngle_102</vt:lpstr>
      <vt:lpstr>MTPVAngle_103</vt:lpstr>
      <vt:lpstr>MTPVAngle_104</vt:lpstr>
      <vt:lpstr>MTPVAngle_105</vt:lpstr>
      <vt:lpstr>MTPVAngle_106</vt:lpstr>
      <vt:lpstr>MTPVAngle_107</vt:lpstr>
      <vt:lpstr>MTPVAngle_108</vt:lpstr>
      <vt:lpstr>MTPVAngle_109</vt:lpstr>
      <vt:lpstr>MTPVAngle_11</vt:lpstr>
      <vt:lpstr>MTPVAngle_110</vt:lpstr>
      <vt:lpstr>MTPVAngle_111</vt:lpstr>
      <vt:lpstr>MTPVAngle_112</vt:lpstr>
      <vt:lpstr>MTPVAngle_113</vt:lpstr>
      <vt:lpstr>MTPVAngle_114</vt:lpstr>
      <vt:lpstr>MTPVAngle_115</vt:lpstr>
      <vt:lpstr>MTPVAngle_116</vt:lpstr>
      <vt:lpstr>MTPVAngle_117</vt:lpstr>
      <vt:lpstr>MTPVAngle_118</vt:lpstr>
      <vt:lpstr>MTPVAngle_119</vt:lpstr>
      <vt:lpstr>MTPVAngle_12</vt:lpstr>
      <vt:lpstr>MTPVAngle_120</vt:lpstr>
      <vt:lpstr>MTPVAngle_121</vt:lpstr>
      <vt:lpstr>MTPVAngle_122</vt:lpstr>
      <vt:lpstr>MTPVAngle_123</vt:lpstr>
      <vt:lpstr>MTPVAngle_124</vt:lpstr>
      <vt:lpstr>MTPVAngle_125</vt:lpstr>
      <vt:lpstr>MTPVAngle_126</vt:lpstr>
      <vt:lpstr>MTPVAngle_127</vt:lpstr>
      <vt:lpstr>MTPVAngle_128</vt:lpstr>
      <vt:lpstr>MTPVAngle_129</vt:lpstr>
      <vt:lpstr>MTPVAngle_13</vt:lpstr>
      <vt:lpstr>MTPVAngle_130</vt:lpstr>
      <vt:lpstr>MTPVAngle_131</vt:lpstr>
      <vt:lpstr>MTPVAngle_132</vt:lpstr>
      <vt:lpstr>MTPVAngle_133</vt:lpstr>
      <vt:lpstr>MTPVAngle_134</vt:lpstr>
      <vt:lpstr>MTPVAngle_135</vt:lpstr>
      <vt:lpstr>MTPVAngle_136</vt:lpstr>
      <vt:lpstr>MTPVAngle_137</vt:lpstr>
      <vt:lpstr>MTPVAngle_138</vt:lpstr>
      <vt:lpstr>MTPVAngle_139</vt:lpstr>
      <vt:lpstr>MTPVAngle_14</vt:lpstr>
      <vt:lpstr>MTPVAngle_140</vt:lpstr>
      <vt:lpstr>MTPVAngle_141</vt:lpstr>
      <vt:lpstr>MTPVAngle_142</vt:lpstr>
      <vt:lpstr>MTPVAngle_143</vt:lpstr>
      <vt:lpstr>MTPVAngle_144</vt:lpstr>
      <vt:lpstr>MTPVAngle_145</vt:lpstr>
      <vt:lpstr>MTPVAngle_146</vt:lpstr>
      <vt:lpstr>MTPVAngle_147</vt:lpstr>
      <vt:lpstr>MTPVAngle_148</vt:lpstr>
      <vt:lpstr>MTPVAngle_149</vt:lpstr>
      <vt:lpstr>MTPVAngle_15</vt:lpstr>
      <vt:lpstr>MTPVAngle_150</vt:lpstr>
      <vt:lpstr>MTPVAngle_151</vt:lpstr>
      <vt:lpstr>MTPVAngle_152</vt:lpstr>
      <vt:lpstr>MTPVAngle_153</vt:lpstr>
      <vt:lpstr>MTPVAngle_154</vt:lpstr>
      <vt:lpstr>MTPVAngle_155</vt:lpstr>
      <vt:lpstr>MTPVAngle_156</vt:lpstr>
      <vt:lpstr>MTPVAngle_157</vt:lpstr>
      <vt:lpstr>MTPVAngle_158</vt:lpstr>
      <vt:lpstr>MTPVAngle_159</vt:lpstr>
      <vt:lpstr>MTPVAngle_16</vt:lpstr>
      <vt:lpstr>MTPVAngle_160</vt:lpstr>
      <vt:lpstr>MTPVAngle_17</vt:lpstr>
      <vt:lpstr>MTPVAngle_18</vt:lpstr>
      <vt:lpstr>MTPVAngle_19</vt:lpstr>
      <vt:lpstr>MTPVAngle_2</vt:lpstr>
      <vt:lpstr>MTPVAngle_20</vt:lpstr>
      <vt:lpstr>MTPVAngle_21</vt:lpstr>
      <vt:lpstr>MTPVAngle_22</vt:lpstr>
      <vt:lpstr>MTPVAngle_23</vt:lpstr>
      <vt:lpstr>MTPVAngle_24</vt:lpstr>
      <vt:lpstr>MTPVAngle_25</vt:lpstr>
      <vt:lpstr>MTPVAngle_26</vt:lpstr>
      <vt:lpstr>MTPVAngle_27</vt:lpstr>
      <vt:lpstr>MTPVAngle_28</vt:lpstr>
      <vt:lpstr>MTPVAngle_29</vt:lpstr>
      <vt:lpstr>MTPVAngle_3</vt:lpstr>
      <vt:lpstr>MTPVAngle_30</vt:lpstr>
      <vt:lpstr>MTPVAngle_31</vt:lpstr>
      <vt:lpstr>MTPVAngle_32</vt:lpstr>
      <vt:lpstr>MTPVAngle_33</vt:lpstr>
      <vt:lpstr>MTPVAngle_34</vt:lpstr>
      <vt:lpstr>MTPVAngle_35</vt:lpstr>
      <vt:lpstr>MTPVAngle_36</vt:lpstr>
      <vt:lpstr>MTPVAngle_37</vt:lpstr>
      <vt:lpstr>MTPVAngle_38</vt:lpstr>
      <vt:lpstr>MTPVAngle_39</vt:lpstr>
      <vt:lpstr>MTPVAngle_4</vt:lpstr>
      <vt:lpstr>MTPVAngle_40</vt:lpstr>
      <vt:lpstr>MTPVAngle_41</vt:lpstr>
      <vt:lpstr>MTPVAngle_42</vt:lpstr>
      <vt:lpstr>MTPVAngle_43</vt:lpstr>
      <vt:lpstr>MTPVAngle_44</vt:lpstr>
      <vt:lpstr>MTPVAngle_45</vt:lpstr>
      <vt:lpstr>MTPVAngle_46</vt:lpstr>
      <vt:lpstr>MTPVAngle_47</vt:lpstr>
      <vt:lpstr>MTPVAngle_48</vt:lpstr>
      <vt:lpstr>MTPVAngle_49</vt:lpstr>
      <vt:lpstr>MTPVAngle_5</vt:lpstr>
      <vt:lpstr>MTPVAngle_50</vt:lpstr>
      <vt:lpstr>MTPVAngle_51</vt:lpstr>
      <vt:lpstr>MTPVAngle_52</vt:lpstr>
      <vt:lpstr>MTPVAngle_53</vt:lpstr>
      <vt:lpstr>MTPVAngle_54</vt:lpstr>
      <vt:lpstr>MTPVAngle_55</vt:lpstr>
      <vt:lpstr>MTPVAngle_56</vt:lpstr>
      <vt:lpstr>MTPVAngle_57</vt:lpstr>
      <vt:lpstr>MTPVAngle_58</vt:lpstr>
      <vt:lpstr>MTPVAngle_59</vt:lpstr>
      <vt:lpstr>MTPVAngle_6</vt:lpstr>
      <vt:lpstr>MTPVAngle_60</vt:lpstr>
      <vt:lpstr>MTPVAngle_61</vt:lpstr>
      <vt:lpstr>MTPVAngle_62</vt:lpstr>
      <vt:lpstr>MTPVAngle_63</vt:lpstr>
      <vt:lpstr>MTPVAngle_64</vt:lpstr>
      <vt:lpstr>MTPVAngle_65</vt:lpstr>
      <vt:lpstr>MTPVAngle_66</vt:lpstr>
      <vt:lpstr>MTPVAngle_67</vt:lpstr>
      <vt:lpstr>MTPVAngle_68</vt:lpstr>
      <vt:lpstr>MTPVAngle_69</vt:lpstr>
      <vt:lpstr>MTPVAngle_7</vt:lpstr>
      <vt:lpstr>MTPVAngle_70</vt:lpstr>
      <vt:lpstr>MTPVAngle_71</vt:lpstr>
      <vt:lpstr>MTPVAngle_72</vt:lpstr>
      <vt:lpstr>MTPVAngle_73</vt:lpstr>
      <vt:lpstr>MTPVAngle_74</vt:lpstr>
      <vt:lpstr>MTPVAngle_75</vt:lpstr>
      <vt:lpstr>MTPVAngle_76</vt:lpstr>
      <vt:lpstr>MTPVAngle_77</vt:lpstr>
      <vt:lpstr>MTPVAngle_78</vt:lpstr>
      <vt:lpstr>MTPVAngle_79</vt:lpstr>
      <vt:lpstr>MTPVAngle_8</vt:lpstr>
      <vt:lpstr>MTPVAngle_80</vt:lpstr>
      <vt:lpstr>MTPVAngle_81</vt:lpstr>
      <vt:lpstr>MTPVAngle_82</vt:lpstr>
      <vt:lpstr>MTPVAngle_83</vt:lpstr>
      <vt:lpstr>MTPVAngle_84</vt:lpstr>
      <vt:lpstr>MTPVAngle_85</vt:lpstr>
      <vt:lpstr>MTPVAngle_86</vt:lpstr>
      <vt:lpstr>MTPVAngle_87</vt:lpstr>
      <vt:lpstr>MTPVAngle_88</vt:lpstr>
      <vt:lpstr>MTPVAngle_89</vt:lpstr>
      <vt:lpstr>MTPVAngle_9</vt:lpstr>
      <vt:lpstr>MTPVAngle_90</vt:lpstr>
      <vt:lpstr>MTPVAngle_91</vt:lpstr>
      <vt:lpstr>MTPVAngle_92</vt:lpstr>
      <vt:lpstr>MTPVAngle_93</vt:lpstr>
      <vt:lpstr>MTPVAngle_94</vt:lpstr>
      <vt:lpstr>MTPVAngle_95</vt:lpstr>
      <vt:lpstr>MTPVAngle_96</vt:lpstr>
      <vt:lpstr>MTPVAngle_97</vt:lpstr>
      <vt:lpstr>MTPVAngle_98</vt:lpstr>
      <vt:lpstr>MTPVAngle_99</vt:lpstr>
      <vt:lpstr>MTPVFlux_0</vt:lpstr>
      <vt:lpstr>MTPVFlux_1</vt:lpstr>
      <vt:lpstr>MTPVFlux_10</vt:lpstr>
      <vt:lpstr>MTPVFlux_100</vt:lpstr>
      <vt:lpstr>MTPVFlux_101</vt:lpstr>
      <vt:lpstr>MTPVFlux_102</vt:lpstr>
      <vt:lpstr>MTPVFlux_103</vt:lpstr>
      <vt:lpstr>MTPVFlux_104</vt:lpstr>
      <vt:lpstr>MTPVFlux_105</vt:lpstr>
      <vt:lpstr>MTPVFlux_106</vt:lpstr>
      <vt:lpstr>MTPVFlux_107</vt:lpstr>
      <vt:lpstr>MTPVFlux_108</vt:lpstr>
      <vt:lpstr>MTPVFlux_109</vt:lpstr>
      <vt:lpstr>MTPVFlux_11</vt:lpstr>
      <vt:lpstr>MTPVFlux_110</vt:lpstr>
      <vt:lpstr>MTPVFlux_111</vt:lpstr>
      <vt:lpstr>MTPVFlux_112</vt:lpstr>
      <vt:lpstr>MTPVFlux_113</vt:lpstr>
      <vt:lpstr>MTPVFlux_114</vt:lpstr>
      <vt:lpstr>MTPVFlux_115</vt:lpstr>
      <vt:lpstr>MTPVFlux_116</vt:lpstr>
      <vt:lpstr>MTPVFlux_117</vt:lpstr>
      <vt:lpstr>MTPVFlux_118</vt:lpstr>
      <vt:lpstr>MTPVFlux_119</vt:lpstr>
      <vt:lpstr>MTPVFlux_12</vt:lpstr>
      <vt:lpstr>MTPVFlux_120</vt:lpstr>
      <vt:lpstr>MTPVFlux_121</vt:lpstr>
      <vt:lpstr>MTPVFlux_122</vt:lpstr>
      <vt:lpstr>MTPVFlux_123</vt:lpstr>
      <vt:lpstr>MTPVFlux_124</vt:lpstr>
      <vt:lpstr>MTPVFlux_125</vt:lpstr>
      <vt:lpstr>MTPVFlux_126</vt:lpstr>
      <vt:lpstr>MTPVFlux_127</vt:lpstr>
      <vt:lpstr>MTPVFlux_128</vt:lpstr>
      <vt:lpstr>MTPVFlux_129</vt:lpstr>
      <vt:lpstr>MTPVFlux_13</vt:lpstr>
      <vt:lpstr>MTPVFlux_130</vt:lpstr>
      <vt:lpstr>MTPVFlux_131</vt:lpstr>
      <vt:lpstr>MTPVFlux_132</vt:lpstr>
      <vt:lpstr>MTPVFlux_133</vt:lpstr>
      <vt:lpstr>MTPVFlux_134</vt:lpstr>
      <vt:lpstr>MTPVFlux_135</vt:lpstr>
      <vt:lpstr>MTPVFlux_136</vt:lpstr>
      <vt:lpstr>MTPVFlux_137</vt:lpstr>
      <vt:lpstr>MTPVFlux_138</vt:lpstr>
      <vt:lpstr>MTPVFlux_139</vt:lpstr>
      <vt:lpstr>MTPVFlux_14</vt:lpstr>
      <vt:lpstr>MTPVFlux_140</vt:lpstr>
      <vt:lpstr>MTPVFlux_141</vt:lpstr>
      <vt:lpstr>MTPVFlux_142</vt:lpstr>
      <vt:lpstr>MTPVFlux_143</vt:lpstr>
      <vt:lpstr>MTPVFlux_144</vt:lpstr>
      <vt:lpstr>MTPVFlux_145</vt:lpstr>
      <vt:lpstr>MTPVFlux_146</vt:lpstr>
      <vt:lpstr>MTPVFlux_147</vt:lpstr>
      <vt:lpstr>MTPVFlux_148</vt:lpstr>
      <vt:lpstr>MTPVFlux_149</vt:lpstr>
      <vt:lpstr>MTPVFlux_15</vt:lpstr>
      <vt:lpstr>MTPVFlux_150</vt:lpstr>
      <vt:lpstr>MTPVFlux_151</vt:lpstr>
      <vt:lpstr>MTPVFlux_152</vt:lpstr>
      <vt:lpstr>MTPVFlux_153</vt:lpstr>
      <vt:lpstr>MTPVFlux_154</vt:lpstr>
      <vt:lpstr>MTPVFlux_155</vt:lpstr>
      <vt:lpstr>MTPVFlux_156</vt:lpstr>
      <vt:lpstr>MTPVFlux_157</vt:lpstr>
      <vt:lpstr>MTPVFlux_158</vt:lpstr>
      <vt:lpstr>MTPVFlux_159</vt:lpstr>
      <vt:lpstr>MTPVFlux_16</vt:lpstr>
      <vt:lpstr>MTPVFlux_160</vt:lpstr>
      <vt:lpstr>MTPVFlux_17</vt:lpstr>
      <vt:lpstr>MTPVFlux_18</vt:lpstr>
      <vt:lpstr>MTPVFlux_19</vt:lpstr>
      <vt:lpstr>MTPVFlux_2</vt:lpstr>
      <vt:lpstr>MTPVFlux_20</vt:lpstr>
      <vt:lpstr>MTPVFlux_21</vt:lpstr>
      <vt:lpstr>MTPVFlux_22</vt:lpstr>
      <vt:lpstr>MTPVFlux_23</vt:lpstr>
      <vt:lpstr>MTPVFlux_24</vt:lpstr>
      <vt:lpstr>MTPVFlux_25</vt:lpstr>
      <vt:lpstr>MTPVFlux_26</vt:lpstr>
      <vt:lpstr>MTPVFlux_27</vt:lpstr>
      <vt:lpstr>MTPVFlux_28</vt:lpstr>
      <vt:lpstr>MTPVFlux_29</vt:lpstr>
      <vt:lpstr>MTPVFlux_3</vt:lpstr>
      <vt:lpstr>MTPVFlux_30</vt:lpstr>
      <vt:lpstr>MTPVFlux_31</vt:lpstr>
      <vt:lpstr>MTPVFlux_32</vt:lpstr>
      <vt:lpstr>MTPVFlux_33</vt:lpstr>
      <vt:lpstr>MTPVFlux_34</vt:lpstr>
      <vt:lpstr>MTPVFlux_35</vt:lpstr>
      <vt:lpstr>MTPVFlux_36</vt:lpstr>
      <vt:lpstr>MTPVFlux_37</vt:lpstr>
      <vt:lpstr>MTPVFlux_38</vt:lpstr>
      <vt:lpstr>MTPVFlux_39</vt:lpstr>
      <vt:lpstr>MTPVFlux_4</vt:lpstr>
      <vt:lpstr>MTPVFlux_40</vt:lpstr>
      <vt:lpstr>MTPVFlux_41</vt:lpstr>
      <vt:lpstr>MTPVFlux_42</vt:lpstr>
      <vt:lpstr>MTPVFlux_43</vt:lpstr>
      <vt:lpstr>MTPVFlux_44</vt:lpstr>
      <vt:lpstr>MTPVFlux_45</vt:lpstr>
      <vt:lpstr>MTPVFlux_46</vt:lpstr>
      <vt:lpstr>MTPVFlux_47</vt:lpstr>
      <vt:lpstr>MTPVFlux_48</vt:lpstr>
      <vt:lpstr>MTPVFlux_49</vt:lpstr>
      <vt:lpstr>MTPVFlux_5</vt:lpstr>
      <vt:lpstr>MTPVFlux_50</vt:lpstr>
      <vt:lpstr>MTPVFlux_51</vt:lpstr>
      <vt:lpstr>MTPVFlux_52</vt:lpstr>
      <vt:lpstr>MTPVFlux_53</vt:lpstr>
      <vt:lpstr>MTPVFlux_54</vt:lpstr>
      <vt:lpstr>MTPVFlux_55</vt:lpstr>
      <vt:lpstr>MTPVFlux_56</vt:lpstr>
      <vt:lpstr>MTPVFlux_57</vt:lpstr>
      <vt:lpstr>MTPVFlux_58</vt:lpstr>
      <vt:lpstr>MTPVFlux_59</vt:lpstr>
      <vt:lpstr>MTPVFlux_6</vt:lpstr>
      <vt:lpstr>MTPVFlux_60</vt:lpstr>
      <vt:lpstr>MTPVFlux_61</vt:lpstr>
      <vt:lpstr>MTPVFlux_62</vt:lpstr>
      <vt:lpstr>MTPVFlux_63</vt:lpstr>
      <vt:lpstr>MTPVFlux_64</vt:lpstr>
      <vt:lpstr>MTPVFlux_65</vt:lpstr>
      <vt:lpstr>MTPVFlux_66</vt:lpstr>
      <vt:lpstr>MTPVFlux_67</vt:lpstr>
      <vt:lpstr>MTPVFlux_68</vt:lpstr>
      <vt:lpstr>MTPVFlux_69</vt:lpstr>
      <vt:lpstr>MTPVFlux_7</vt:lpstr>
      <vt:lpstr>MTPVFlux_70</vt:lpstr>
      <vt:lpstr>MTPVFlux_71</vt:lpstr>
      <vt:lpstr>MTPVFlux_72</vt:lpstr>
      <vt:lpstr>MTPVFlux_73</vt:lpstr>
      <vt:lpstr>MTPVFlux_74</vt:lpstr>
      <vt:lpstr>MTPVFlux_75</vt:lpstr>
      <vt:lpstr>MTPVFlux_76</vt:lpstr>
      <vt:lpstr>MTPVFlux_77</vt:lpstr>
      <vt:lpstr>MTPVFlux_78</vt:lpstr>
      <vt:lpstr>MTPVFlux_79</vt:lpstr>
      <vt:lpstr>MTPVFlux_8</vt:lpstr>
      <vt:lpstr>MTPVFlux_80</vt:lpstr>
      <vt:lpstr>MTPVFlux_81</vt:lpstr>
      <vt:lpstr>MTPVFlux_82</vt:lpstr>
      <vt:lpstr>MTPVFlux_83</vt:lpstr>
      <vt:lpstr>MTPVFlux_84</vt:lpstr>
      <vt:lpstr>MTPVFlux_85</vt:lpstr>
      <vt:lpstr>MTPVFlux_86</vt:lpstr>
      <vt:lpstr>MTPVFlux_87</vt:lpstr>
      <vt:lpstr>MTPVFlux_88</vt:lpstr>
      <vt:lpstr>MTPVFlux_89</vt:lpstr>
      <vt:lpstr>MTPVFlux_9</vt:lpstr>
      <vt:lpstr>MTPVFlux_90</vt:lpstr>
      <vt:lpstr>MTPVFlux_91</vt:lpstr>
      <vt:lpstr>MTPVFlux_92</vt:lpstr>
      <vt:lpstr>MTPVFlux_93</vt:lpstr>
      <vt:lpstr>MTPVFlux_94</vt:lpstr>
      <vt:lpstr>MTPVFlux_95</vt:lpstr>
      <vt:lpstr>MTPVFlux_96</vt:lpstr>
      <vt:lpstr>MTPVFlux_97</vt:lpstr>
      <vt:lpstr>MTPVFlux_98</vt:lpstr>
      <vt:lpstr>MTPVFlux_99</vt:lpstr>
      <vt:lpstr>MTPVTorque_0</vt:lpstr>
      <vt:lpstr>MTPVTorque_1</vt:lpstr>
      <vt:lpstr>MTPVTorque_10</vt:lpstr>
      <vt:lpstr>MTPVTorque_100</vt:lpstr>
      <vt:lpstr>MTPVTorque_101</vt:lpstr>
      <vt:lpstr>MTPVTorque_102</vt:lpstr>
      <vt:lpstr>MTPVTorque_103</vt:lpstr>
      <vt:lpstr>MTPVTorque_104</vt:lpstr>
      <vt:lpstr>MTPVTorque_105</vt:lpstr>
      <vt:lpstr>MTPVTorque_106</vt:lpstr>
      <vt:lpstr>MTPVTorque_107</vt:lpstr>
      <vt:lpstr>MTPVTorque_108</vt:lpstr>
      <vt:lpstr>MTPVTorque_109</vt:lpstr>
      <vt:lpstr>MTPVTorque_11</vt:lpstr>
      <vt:lpstr>MTPVTorque_110</vt:lpstr>
      <vt:lpstr>MTPVTorque_111</vt:lpstr>
      <vt:lpstr>MTPVTorque_112</vt:lpstr>
      <vt:lpstr>MTPVTorque_113</vt:lpstr>
      <vt:lpstr>MTPVTorque_114</vt:lpstr>
      <vt:lpstr>MTPVTorque_115</vt:lpstr>
      <vt:lpstr>MTPVTorque_116</vt:lpstr>
      <vt:lpstr>MTPVTorque_117</vt:lpstr>
      <vt:lpstr>MTPVTorque_118</vt:lpstr>
      <vt:lpstr>MTPVTorque_119</vt:lpstr>
      <vt:lpstr>MTPVTorque_12</vt:lpstr>
      <vt:lpstr>MTPVTorque_120</vt:lpstr>
      <vt:lpstr>MTPVTorque_121</vt:lpstr>
      <vt:lpstr>MTPVTorque_122</vt:lpstr>
      <vt:lpstr>MTPVTorque_123</vt:lpstr>
      <vt:lpstr>MTPVTorque_124</vt:lpstr>
      <vt:lpstr>MTPVTorque_125</vt:lpstr>
      <vt:lpstr>MTPVTorque_126</vt:lpstr>
      <vt:lpstr>MTPVTorque_127</vt:lpstr>
      <vt:lpstr>MTPVTorque_128</vt:lpstr>
      <vt:lpstr>MTPVTorque_129</vt:lpstr>
      <vt:lpstr>MTPVTorque_13</vt:lpstr>
      <vt:lpstr>MTPVTorque_130</vt:lpstr>
      <vt:lpstr>MTPVTorque_131</vt:lpstr>
      <vt:lpstr>MTPVTorque_132</vt:lpstr>
      <vt:lpstr>MTPVTorque_133</vt:lpstr>
      <vt:lpstr>MTPVTorque_134</vt:lpstr>
      <vt:lpstr>MTPVTorque_135</vt:lpstr>
      <vt:lpstr>MTPVTorque_136</vt:lpstr>
      <vt:lpstr>MTPVTorque_137</vt:lpstr>
      <vt:lpstr>MTPVTorque_138</vt:lpstr>
      <vt:lpstr>MTPVTorque_139</vt:lpstr>
      <vt:lpstr>MTPVTorque_14</vt:lpstr>
      <vt:lpstr>MTPVTorque_140</vt:lpstr>
      <vt:lpstr>MTPVTorque_141</vt:lpstr>
      <vt:lpstr>MTPVTorque_142</vt:lpstr>
      <vt:lpstr>MTPVTorque_143</vt:lpstr>
      <vt:lpstr>MTPVTorque_144</vt:lpstr>
      <vt:lpstr>MTPVTorque_145</vt:lpstr>
      <vt:lpstr>MTPVTorque_146</vt:lpstr>
      <vt:lpstr>MTPVTorque_147</vt:lpstr>
      <vt:lpstr>MTPVTorque_148</vt:lpstr>
      <vt:lpstr>MTPVTorque_149</vt:lpstr>
      <vt:lpstr>MTPVTorque_15</vt:lpstr>
      <vt:lpstr>MTPVTorque_150</vt:lpstr>
      <vt:lpstr>MTPVTorque_151</vt:lpstr>
      <vt:lpstr>MTPVTorque_152</vt:lpstr>
      <vt:lpstr>MTPVTorque_153</vt:lpstr>
      <vt:lpstr>MTPVTorque_154</vt:lpstr>
      <vt:lpstr>MTPVTorque_155</vt:lpstr>
      <vt:lpstr>MTPVTorque_156</vt:lpstr>
      <vt:lpstr>MTPVTorque_157</vt:lpstr>
      <vt:lpstr>MTPVTorque_158</vt:lpstr>
      <vt:lpstr>MTPVTorque_159</vt:lpstr>
      <vt:lpstr>MTPVTorque_16</vt:lpstr>
      <vt:lpstr>MTPVTorque_160</vt:lpstr>
      <vt:lpstr>MTPVTorque_17</vt:lpstr>
      <vt:lpstr>MTPVTorque_18</vt:lpstr>
      <vt:lpstr>MTPVTorque_19</vt:lpstr>
      <vt:lpstr>MTPVTorque_2</vt:lpstr>
      <vt:lpstr>MTPVTorque_20</vt:lpstr>
      <vt:lpstr>MTPVTorque_21</vt:lpstr>
      <vt:lpstr>MTPVTorque_22</vt:lpstr>
      <vt:lpstr>MTPVTorque_23</vt:lpstr>
      <vt:lpstr>MTPVTorque_24</vt:lpstr>
      <vt:lpstr>MTPVTorque_25</vt:lpstr>
      <vt:lpstr>MTPVTorque_26</vt:lpstr>
      <vt:lpstr>MTPVTorque_27</vt:lpstr>
      <vt:lpstr>MTPVTorque_28</vt:lpstr>
      <vt:lpstr>MTPVTorque_29</vt:lpstr>
      <vt:lpstr>MTPVTorque_3</vt:lpstr>
      <vt:lpstr>MTPVTorque_30</vt:lpstr>
      <vt:lpstr>MTPVTorque_31</vt:lpstr>
      <vt:lpstr>MTPVTorque_32</vt:lpstr>
      <vt:lpstr>MTPVTorque_33</vt:lpstr>
      <vt:lpstr>MTPVTorque_34</vt:lpstr>
      <vt:lpstr>MTPVTorque_35</vt:lpstr>
      <vt:lpstr>MTPVTorque_36</vt:lpstr>
      <vt:lpstr>MTPVTorque_37</vt:lpstr>
      <vt:lpstr>MTPVTorque_38</vt:lpstr>
      <vt:lpstr>MTPVTorque_39</vt:lpstr>
      <vt:lpstr>MTPVTorque_4</vt:lpstr>
      <vt:lpstr>MTPVTorque_40</vt:lpstr>
      <vt:lpstr>MTPVTorque_41</vt:lpstr>
      <vt:lpstr>MTPVTorque_42</vt:lpstr>
      <vt:lpstr>MTPVTorque_43</vt:lpstr>
      <vt:lpstr>MTPVTorque_44</vt:lpstr>
      <vt:lpstr>MTPVTorque_45</vt:lpstr>
      <vt:lpstr>MTPVTorque_46</vt:lpstr>
      <vt:lpstr>MTPVTorque_47</vt:lpstr>
      <vt:lpstr>MTPVTorque_48</vt:lpstr>
      <vt:lpstr>MTPVTorque_49</vt:lpstr>
      <vt:lpstr>MTPVTorque_5</vt:lpstr>
      <vt:lpstr>MTPVTorque_50</vt:lpstr>
      <vt:lpstr>MTPVTorque_51</vt:lpstr>
      <vt:lpstr>MTPVTorque_52</vt:lpstr>
      <vt:lpstr>MTPVTorque_53</vt:lpstr>
      <vt:lpstr>MTPVTorque_54</vt:lpstr>
      <vt:lpstr>MTPVTorque_55</vt:lpstr>
      <vt:lpstr>MTPVTorque_56</vt:lpstr>
      <vt:lpstr>MTPVTorque_57</vt:lpstr>
      <vt:lpstr>MTPVTorque_58</vt:lpstr>
      <vt:lpstr>MTPVTorque_59</vt:lpstr>
      <vt:lpstr>MTPVTorque_6</vt:lpstr>
      <vt:lpstr>MTPVTorque_60</vt:lpstr>
      <vt:lpstr>MTPVTorque_61</vt:lpstr>
      <vt:lpstr>MTPVTorque_62</vt:lpstr>
      <vt:lpstr>MTPVTorque_63</vt:lpstr>
      <vt:lpstr>MTPVTorque_64</vt:lpstr>
      <vt:lpstr>MTPVTorque_65</vt:lpstr>
      <vt:lpstr>MTPVTorque_66</vt:lpstr>
      <vt:lpstr>MTPVTorque_67</vt:lpstr>
      <vt:lpstr>MTPVTorque_68</vt:lpstr>
      <vt:lpstr>MTPVTorque_69</vt:lpstr>
      <vt:lpstr>MTPVTorque_7</vt:lpstr>
      <vt:lpstr>MTPVTorque_70</vt:lpstr>
      <vt:lpstr>MTPVTorque_71</vt:lpstr>
      <vt:lpstr>MTPVTorque_72</vt:lpstr>
      <vt:lpstr>MTPVTorque_73</vt:lpstr>
      <vt:lpstr>MTPVTorque_74</vt:lpstr>
      <vt:lpstr>MTPVTorque_75</vt:lpstr>
      <vt:lpstr>MTPVTorque_76</vt:lpstr>
      <vt:lpstr>MTPVTorque_77</vt:lpstr>
      <vt:lpstr>MTPVTorque_78</vt:lpstr>
      <vt:lpstr>MTPVTorque_79</vt:lpstr>
      <vt:lpstr>MTPVTorque_8</vt:lpstr>
      <vt:lpstr>MTPVTorque_80</vt:lpstr>
      <vt:lpstr>MTPVTorque_81</vt:lpstr>
      <vt:lpstr>MTPVTorque_82</vt:lpstr>
      <vt:lpstr>MTPVTorque_83</vt:lpstr>
      <vt:lpstr>MTPVTorque_84</vt:lpstr>
      <vt:lpstr>MTPVTorque_85</vt:lpstr>
      <vt:lpstr>MTPVTorque_86</vt:lpstr>
      <vt:lpstr>MTPVTorque_87</vt:lpstr>
      <vt:lpstr>MTPVTorque_88</vt:lpstr>
      <vt:lpstr>MTPVTorque_89</vt:lpstr>
      <vt:lpstr>MTPVTorque_9</vt:lpstr>
      <vt:lpstr>MTPVTorque_90</vt:lpstr>
      <vt:lpstr>MTPVTorque_91</vt:lpstr>
      <vt:lpstr>MTPVTorque_92</vt:lpstr>
      <vt:lpstr>MTPVTorque_93</vt:lpstr>
      <vt:lpstr>MTPVTorque_94</vt:lpstr>
      <vt:lpstr>MTPVTorque_95</vt:lpstr>
      <vt:lpstr>MTPVTorque_96</vt:lpstr>
      <vt:lpstr>MTPVTorque_97</vt:lpstr>
      <vt:lpstr>MTPVTorque_98</vt:lpstr>
      <vt:lpstr>MTPVTorque_99</vt:lpstr>
      <vt:lpstr>OBS_RESIS_ADAPT_CURRENT_THRES</vt:lpstr>
      <vt:lpstr>OBS_RESIS_ADAPT_SPEED_THRES</vt:lpstr>
      <vt:lpstr>OBSERVER_G_GAIN</vt:lpstr>
      <vt:lpstr>OBSERVER_G_INTEG_GAIN</vt:lpstr>
      <vt:lpstr>OBSERVER_MIN_FLUX_ZERO_SPEED</vt:lpstr>
      <vt:lpstr>OBSERVER_SPEED_PLL_KI</vt:lpstr>
      <vt:lpstr>OBSERVER_SPEED_PLL_KP</vt:lpstr>
      <vt:lpstr>OBSERVER_STARTING_THRESHOLD</vt:lpstr>
      <vt:lpstr>OBSERVER_TS</vt:lpstr>
      <vt:lpstr>OVERFLUX_FACTOR</vt:lpstr>
      <vt:lpstr>PHASE_ADVANCE_COEFF</vt:lpstr>
      <vt:lpstr>PI_VOLT_MARGIN</vt:lpstr>
      <vt:lpstr>POLE_PAIRS</vt:lpstr>
      <vt:lpstr>PWM_MODULATION_TS</vt:lpstr>
      <vt:lpstr>PWM_SPEED_THRESHOLD_PWM_COMP</vt:lpstr>
      <vt:lpstr>PWM_STARTING_TIME</vt:lpstr>
      <vt:lpstr>Q_CURR_CONTROL_KI</vt:lpstr>
      <vt:lpstr>Q_CURR_CONTROL_KP</vt:lpstr>
      <vt:lpstr>QUAD_CURR_POS_0</vt:lpstr>
      <vt:lpstr>QUAD_CURR_POS_1</vt:lpstr>
      <vt:lpstr>QUAD_CURR_POS_10</vt:lpstr>
      <vt:lpstr>QUAD_CURR_POS_11</vt:lpstr>
      <vt:lpstr>QUAD_CURR_POS_12</vt:lpstr>
      <vt:lpstr>QUAD_CURR_POS_13</vt:lpstr>
      <vt:lpstr>QUAD_CURR_POS_14</vt:lpstr>
      <vt:lpstr>QUAD_CURR_POS_15</vt:lpstr>
      <vt:lpstr>QUAD_CURR_POS_2</vt:lpstr>
      <vt:lpstr>QUAD_CURR_POS_3</vt:lpstr>
      <vt:lpstr>QUAD_CURR_POS_4</vt:lpstr>
      <vt:lpstr>QUAD_CURR_POS_5</vt:lpstr>
      <vt:lpstr>QUAD_CURR_POS_6</vt:lpstr>
      <vt:lpstr>QUAD_CURR_POS_7</vt:lpstr>
      <vt:lpstr>QUAD_CURR_POS_8</vt:lpstr>
      <vt:lpstr>QUAD_CURR_POS_9</vt:lpstr>
      <vt:lpstr>QUAD_IND_POS_0</vt:lpstr>
      <vt:lpstr>QUAD_IND_POS_1</vt:lpstr>
      <vt:lpstr>QUAD_IND_POS_10</vt:lpstr>
      <vt:lpstr>QUAD_IND_POS_11</vt:lpstr>
      <vt:lpstr>QUAD_IND_POS_12</vt:lpstr>
      <vt:lpstr>QUAD_IND_POS_13</vt:lpstr>
      <vt:lpstr>QUAD_IND_POS_14</vt:lpstr>
      <vt:lpstr>QUAD_IND_POS_15</vt:lpstr>
      <vt:lpstr>QUAD_IND_POS_2</vt:lpstr>
      <vt:lpstr>QUAD_IND_POS_3</vt:lpstr>
      <vt:lpstr>QUAD_IND_POS_4</vt:lpstr>
      <vt:lpstr>QUAD_IND_POS_5</vt:lpstr>
      <vt:lpstr>QUAD_IND_POS_6</vt:lpstr>
      <vt:lpstr>QUAD_IND_POS_7</vt:lpstr>
      <vt:lpstr>QUAD_IND_POS_8</vt:lpstr>
      <vt:lpstr>QUAD_IND_POS_9</vt:lpstr>
      <vt:lpstr>ROTOR_LAMBDAM</vt:lpstr>
      <vt:lpstr>SAMPLES_NUMBER</vt:lpstr>
      <vt:lpstr>SBPM_MIN_OVERFLUX_FACTOR</vt:lpstr>
      <vt:lpstr>SBPM_OVERFLUX_FACTOR</vt:lpstr>
      <vt:lpstr>SBPM_SPEED_OVERFULX_THRESHOLD</vt:lpstr>
      <vt:lpstr>SPEED_CONTROLLER_POSTSCALER</vt:lpstr>
      <vt:lpstr>SPEED_KI_REGION_0</vt:lpstr>
      <vt:lpstr>SPEED_KI_REGION_1</vt:lpstr>
      <vt:lpstr>SPEED_KI_REGION_2</vt:lpstr>
      <vt:lpstr>SPEED_KI_REGION_3</vt:lpstr>
      <vt:lpstr>SPEED_KI_REGION_4</vt:lpstr>
      <vt:lpstr>SPEED_KP_REGION_0</vt:lpstr>
      <vt:lpstr>SPEED_KP_REGION_1</vt:lpstr>
      <vt:lpstr>SPEED_KP_REGION_2</vt:lpstr>
      <vt:lpstr>SPEED_KP_REGION_3</vt:lpstr>
      <vt:lpstr>SPEED_KP_REGION_4</vt:lpstr>
      <vt:lpstr>SPEED_OVERFLUX_THRESHOLD</vt:lpstr>
      <vt:lpstr>SPEED_REF_DEFAULT_ACCEL</vt:lpstr>
      <vt:lpstr>SPEED_REF_MIN_SPEED_DEFAULT_ACCEL</vt:lpstr>
      <vt:lpstr>SPEED_THRESHOLD_MAX_PHASE_CURRENT</vt:lpstr>
      <vt:lpstr>SPEED_THRESHOLD_REGION_0</vt:lpstr>
      <vt:lpstr>SPEED_THRESHOLD_REGION_1</vt:lpstr>
      <vt:lpstr>SPEED_THRESHOLD_REGION_2</vt:lpstr>
      <vt:lpstr>SPEED_THRESHOLD_REGION_3</vt:lpstr>
      <vt:lpstr>SPEED_THRESHOLD_REGION_4</vt:lpstr>
      <vt:lpstr>SPEED_TIME_TO_SWITCH_REGION_0</vt:lpstr>
      <vt:lpstr>SPEED_TIME_TO_SWITCH_REGION_1</vt:lpstr>
      <vt:lpstr>SPEED_TIME_TO_SWITCH_REGION_2</vt:lpstr>
      <vt:lpstr>SPEED_TIME_TO_SWITCH_REGION_3</vt:lpstr>
      <vt:lpstr>SPEED_TIME_TO_SWITCH_REGION_4</vt:lpstr>
      <vt:lpstr>STATOR_INDUCTANCE_D</vt:lpstr>
      <vt:lpstr>STATOR_INDUCTANCE_Q</vt:lpstr>
      <vt:lpstr>STATOR_RESISTANCE</vt:lpstr>
      <vt:lpstr>TE_MAX</vt:lpstr>
      <vt:lpstr>TIME_DQ_FORCE_GAINS_STARTING</vt:lpstr>
      <vt:lpstr>TIME_FORCE_USE_DEFAULT_SPEED_GAINS</vt:lpstr>
      <vt:lpstr>TORQUE_ERROR_SAT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Veronica  Marin</dc:creator>
  <cp:lastModifiedBy>CRISE28</cp:lastModifiedBy>
  <dcterms:created xsi:type="dcterms:W3CDTF">2006-09-16T00:00:00Z</dcterms:created>
  <dcterms:modified xsi:type="dcterms:W3CDTF">2018-02-21T20:33:53Z</dcterms:modified>
</cp:coreProperties>
</file>