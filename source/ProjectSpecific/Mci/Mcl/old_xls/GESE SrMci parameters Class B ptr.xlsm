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Windy_Mcu_Nucleus_Plt_2_5_sBpm_Dev\source\ProjectSpecific\Mci\Mcl\"/>
    </mc:Choice>
  </mc:AlternateContent>
  <bookViews>
    <workbookView xWindow="0" yWindow="0" windowWidth="20490" windowHeight="7320" activeTab="3"/>
  </bookViews>
  <sheets>
    <sheet name="GUI forms" sheetId="20" r:id="rId1"/>
    <sheet name="Motor SR Table" sheetId="18" r:id="rId2"/>
    <sheet name="Displ0" sheetId="21" r:id="rId3"/>
    <sheet name="Displ1" sheetId="15" r:id="rId4"/>
  </sheets>
  <functionGroups builtInGroupCount="18"/>
  <externalReferences>
    <externalReference r:id="rId5"/>
    <externalReference r:id="rId6"/>
    <externalReference r:id="rId7"/>
    <externalReference r:id="rId8"/>
    <externalReference r:id="rId9"/>
  </externalReferences>
  <definedNames>
    <definedName name="_xlnm._FilterDatabase" localSheetId="2" hidden="1">Displ0!#REF!</definedName>
    <definedName name="ALGO_BUILD_FLUX_INCREMENT">'[1]Parameters definition'!$C$487</definedName>
    <definedName name="ALGO_BUILD_FLUX_MIN_CURRENT">'[1]Parameters definition'!$C$485</definedName>
    <definedName name="ALGO_BUILD_FLUX_RATIO_2_FORCE_FLUX">'[1]Parameters definition'!$C$486</definedName>
    <definedName name="ALGO_BUILD_FLUX_STARTING_TIME">'[1]Parameters definition'!$C$484</definedName>
    <definedName name="ALGO_BUILD_FLUX_TS">'[1]Parameters definition'!$C$483</definedName>
    <definedName name="ALGO_RES_EST_1ST_PLATEAU_TIME">'[1]Parameters definition'!$C$510</definedName>
    <definedName name="ALGO_RES_EST_2ND_PLATEAU_TIME">'[1]Parameters definition'!$C$511</definedName>
    <definedName name="ALGO_RES_EST_3RD_PLATEAU_TIME">'[1]Parameters definition'!$C$512</definedName>
    <definedName name="ALGO_RES_EST_BASE_TEMP">'[1]Parameters definition'!$C$534</definedName>
    <definedName name="ALGO_RES_EST_BASE_TEMP_COEFF">'[1]Parameters definition'!$C$535</definedName>
    <definedName name="ALGO_RES_EST_CURR_1ST_PLATEAU">'[1]Parameters definition'!$C$507</definedName>
    <definedName name="ALGO_RES_EST_CURR_2ND_PLATEAU">'[1]Parameters definition'!$C$508</definedName>
    <definedName name="ALGO_RES_EST_CURR_3RD_PLATEAU">'[1]Parameters definition'!$C$509</definedName>
    <definedName name="ALGO_RES_EST_HANDLER_TS">'[1]Parameters definition'!$C$524</definedName>
    <definedName name="ALGO_RES_EST_NR_OF_ESTIMATION_AFTER_RESET">'[1]Parameters definition'!$C$528</definedName>
    <definedName name="ALGO_RES_EST_NR_OF_ESTIMATION_IN_ROW_AFTER_SPIN">'[1]Parameters definition'!$C$530</definedName>
    <definedName name="ALGO_RES_EST_NUMBER_OF_SAMPLES">'[1]Parameters definition'!$C$517</definedName>
    <definedName name="ALGO_RES_EST_OSCILLATION_CHECK_TIME">'[1]Parameters definition'!$C$516</definedName>
    <definedName name="ALGO_RES_EST_OSCILLATION_SPEED_THRESHOLD">'[1]Parameters definition'!$C$521</definedName>
    <definedName name="ALGO_RES_EST_RS_FROM_BASE_TEMP">'[1]Parameters definition'!$C$532</definedName>
    <definedName name="ALGO_RES_EST_SPEED_TO_MEAS_AGAIN">'[1]Parameters definition'!$C$526</definedName>
    <definedName name="ALGO_RES_EST_STATOR_RESISTANCE">'[1]Parameters definition'!$C$518</definedName>
    <definedName name="ALGO_RES_EST_TEMP_COEFF">'[1]Parameters definition'!$C$533</definedName>
    <definedName name="ALGO_RES_EST_TIME_BETWEEN_MEAS_AFTER_RESET">'[1]Parameters definition'!$C$527</definedName>
    <definedName name="ALGO_RES_EST_TIME_BETWEEN_MEAS_NORMAL_OPERATION">'[1]Parameters definition'!$C$529</definedName>
    <definedName name="ALGO_RES_EST_TIMEOUT_1ST_PLATEAU">'[1]Parameters definition'!$C$519</definedName>
    <definedName name="ALGO_RES_EST_TIMEOUT_2ND_PLATEAU">'[1]Parameters definition'!$C$520</definedName>
    <definedName name="ALGO_RES_EST_TIMEOUT_THRESHOLD">'[1]Parameters definition'!$C$506</definedName>
    <definedName name="ALGO_RES_EST_TS">'[1]Parameters definition'!$C$523</definedName>
    <definedName name="ALGO_RES_EST_VOLTAGE_STEP_1ST_PLATEAU">'[1]Parameters definition'!$C$513</definedName>
    <definedName name="ALGO_RES_EST_VOLTAGE_STEP_2ND_PLATEAU">'[1]Parameters definition'!$C$514</definedName>
    <definedName name="ALGO_RES_EST_VOLTAGE_STEP_3RD_PLATEAU">'[1]Parameters definition'!$C$515</definedName>
    <definedName name="ALGO_RUNNING_DEBOUNCER_2_IGBTS_OFF">'[1]Parameters definition'!$C$493</definedName>
    <definedName name="ALGO_RUNNING_MIN_SPEED_2_IGBTS_OFF">'[1]Parameters definition'!$C$492</definedName>
    <definedName name="ALGO_RUNNING_MIN_SPEED_BEFORE_STOPPING">'[1]Parameters definition'!$C$491</definedName>
    <definedName name="ALGO_RUNNING_TIME_IGBTS_OFF_BELOW_MIN_SPEED">'[1]Parameters definition'!$C$494</definedName>
    <definedName name="AVG_FREQUENCY_TOTAL_CYCLES">'[2]Motor SR Table'!$C$9</definedName>
    <definedName name="BASE_CURRENT" localSheetId="2">'[3]Parameters definition'!$C$26</definedName>
    <definedName name="BASE_CURRENT">'[4]Motor Parameters List'!$G$1142</definedName>
    <definedName name="BASE_FLUX" localSheetId="2">'[3]Parameters definition'!$C$30</definedName>
    <definedName name="BASE_FLUX">'[1]Parameters definition'!$C$30</definedName>
    <definedName name="BASE_IND" localSheetId="2">'[3]Parameters definition'!$C$33</definedName>
    <definedName name="BASE_IND">'[1]Parameters definition'!$C$33</definedName>
    <definedName name="BASE_OMEGA" localSheetId="2">'[3]Parameters definition'!$C$35</definedName>
    <definedName name="BASE_OMEGA">'[1]Parameters definition'!$C$35</definedName>
    <definedName name="BASE_RADIAL">'[1]Parameters definition'!$C$28</definedName>
    <definedName name="BASE_SPEED_RPM" localSheetId="2">'[3]Parameters definition'!$C$36</definedName>
    <definedName name="BASE_SPEED_RPM">'[1]Parameters definition'!$C$36</definedName>
    <definedName name="BASE_TEMPERATURE">'[4]Motor Parameters List'!$G$1122</definedName>
    <definedName name="BASE_TIME" localSheetId="2">'[1]Parameters definition'!$C$37</definedName>
    <definedName name="BASE_TIME">'[4]Motor Parameters List'!$G$1140</definedName>
    <definedName name="BASE_TORQ" localSheetId="2">'[3]Parameters definition'!$C$31</definedName>
    <definedName name="BASE_TORQ">'[1]Parameters definition'!$C$31</definedName>
    <definedName name="BASE_VOLTAGE" localSheetId="2">'[3]Parameters definition'!$C$24</definedName>
    <definedName name="BASE_VOLTAGE">'[4]Motor Parameters List'!$G$1141</definedName>
    <definedName name="BASE_VOLTAGE_BUS" localSheetId="2">'[3]Parameters definition'!$C$25</definedName>
    <definedName name="BASE_VOLTAGE_BUS">'[1]Parameters definition'!$C$25</definedName>
    <definedName name="BASE_Z" localSheetId="2">'[3]Parameters definition'!$C$34</definedName>
    <definedName name="BASE_Z">'[1]Parameters definition'!$C$34</definedName>
    <definedName name="BELT_RATIO">'[2]Motor SR Table'!$C$8</definedName>
    <definedName name="BRAKING_CURRENT_AT_LOW_SPEED" localSheetId="2">'[3]Parameters definition'!$C$176</definedName>
    <definedName name="CROSSED_CURR_POS_0" localSheetId="2">'[3]Parameters definition'!$C$129</definedName>
    <definedName name="CROSSED_CURR_POS_0">'[1]Parameters definition'!$C$129</definedName>
    <definedName name="CROSSED_CURR_POS_1" localSheetId="2">'[3]Parameters definition'!$C$130</definedName>
    <definedName name="CROSSED_CURR_POS_1">'[1]Parameters definition'!$C$130</definedName>
    <definedName name="CROSSED_CURR_POS_2" localSheetId="2">'[3]Parameters definition'!$C$131</definedName>
    <definedName name="CROSSED_CURR_POS_2">'[1]Parameters definition'!$C$131</definedName>
    <definedName name="CROSSED_CURR_POS_3" localSheetId="2">'[3]Parameters definition'!$C$132</definedName>
    <definedName name="CROSSED_CURR_POS_3">'[1]Parameters definition'!$C$132</definedName>
    <definedName name="CROSSED_CURR_POS_4" localSheetId="2">'[3]Parameters definition'!$C$133</definedName>
    <definedName name="CROSSED_CURR_POS_4">'[1]Parameters definition'!$C$133</definedName>
    <definedName name="CROSSED_CURR_POS_5" localSheetId="2">'[3]Parameters definition'!$C$134</definedName>
    <definedName name="CROSSED_CURR_POS_5">'[1]Parameters definition'!$C$134</definedName>
    <definedName name="CROSSED_CURR_POS_6" localSheetId="2">'[3]Parameters definition'!$C$135</definedName>
    <definedName name="CROSSED_CURR_POS_6">'[1]Parameters definition'!$C$135</definedName>
    <definedName name="CROSSED_CURR_POS_7" localSheetId="2">'[3]Parameters definition'!$C$136</definedName>
    <definedName name="CROSSED_CURR_POS_7">'[1]Parameters definition'!$C$136</definedName>
    <definedName name="CROSSED_IND_POS_0" localSheetId="2">'[3]Parameters definition'!$C$121</definedName>
    <definedName name="CROSSED_IND_POS_0">'[1]Parameters definition'!$C$121</definedName>
    <definedName name="CROSSED_IND_POS_1" localSheetId="2">'[3]Parameters definition'!$C$122</definedName>
    <definedName name="CROSSED_IND_POS_1">'[1]Parameters definition'!$C$122</definedName>
    <definedName name="CROSSED_IND_POS_2" localSheetId="2">'[3]Parameters definition'!$C$123</definedName>
    <definedName name="CROSSED_IND_POS_2">'[1]Parameters definition'!$C$123</definedName>
    <definedName name="CROSSED_IND_POS_3" localSheetId="2">'[3]Parameters definition'!$C$124</definedName>
    <definedName name="CROSSED_IND_POS_3">'[1]Parameters definition'!$C$124</definedName>
    <definedName name="CROSSED_IND_POS_4" localSheetId="2">'[3]Parameters definition'!$C$125</definedName>
    <definedName name="CROSSED_IND_POS_4">'[1]Parameters definition'!$C$125</definedName>
    <definedName name="CROSSED_IND_POS_5" localSheetId="2">'[3]Parameters definition'!$C$126</definedName>
    <definedName name="CROSSED_IND_POS_5">'[1]Parameters definition'!$C$126</definedName>
    <definedName name="CROSSED_IND_POS_6" localSheetId="2">'[3]Parameters definition'!$C$127</definedName>
    <definedName name="CROSSED_IND_POS_6">'[1]Parameters definition'!$C$127</definedName>
    <definedName name="CROSSED_IND_POS_7" localSheetId="2">'[3]Parameters definition'!$C$128</definedName>
    <definedName name="CROSSED_IND_POS_7">'[1]Parameters definition'!$C$128</definedName>
    <definedName name="D_CURR_CONTROL_KI" localSheetId="2">'[3]Parameters definition'!$C$499</definedName>
    <definedName name="D_CURR_CONTROL_KI">'[1]Parameters definition'!$C$499</definedName>
    <definedName name="D_CURR_CONTROL_KP" localSheetId="2">'[3]Parameters definition'!$C$498</definedName>
    <definedName name="D_CURR_CONTROL_KP">'[1]Parameters definition'!$C$498</definedName>
    <definedName name="DC_BUS_MAX_VOLTAGE" localSheetId="2">'[3]Parameters definition'!$C$18</definedName>
    <definedName name="DC_BUS_MAX_VOLTAGE">'[1]Parameters definition'!$C$18</definedName>
    <definedName name="DIRECT_CURR_POS_0" localSheetId="2">'[3]Parameters definition'!$C$73</definedName>
    <definedName name="DIRECT_CURR_POS_0">'[1]Parameters definition'!$C$73</definedName>
    <definedName name="DIRECT_CURR_POS_1" localSheetId="2">'[3]Parameters definition'!$C$74</definedName>
    <definedName name="DIRECT_CURR_POS_1">'[1]Parameters definition'!$C$74</definedName>
    <definedName name="DIRECT_CURR_POS_10" localSheetId="2">'[3]Parameters definition'!$C$83</definedName>
    <definedName name="DIRECT_CURR_POS_10">'[1]Parameters definition'!$C$83</definedName>
    <definedName name="DIRECT_CURR_POS_11" localSheetId="2">'[3]Parameters definition'!$C$84</definedName>
    <definedName name="DIRECT_CURR_POS_11">'[1]Parameters definition'!$C$84</definedName>
    <definedName name="DIRECT_CURR_POS_12" localSheetId="2">'[3]Parameters definition'!$C$85</definedName>
    <definedName name="DIRECT_CURR_POS_12">'[1]Parameters definition'!$C$85</definedName>
    <definedName name="DIRECT_CURR_POS_13" localSheetId="2">'[3]Parameters definition'!$C$86</definedName>
    <definedName name="DIRECT_CURR_POS_13">'[1]Parameters definition'!$C$86</definedName>
    <definedName name="DIRECT_CURR_POS_14" localSheetId="2">'[3]Parameters definition'!$C$87</definedName>
    <definedName name="DIRECT_CURR_POS_14">'[1]Parameters definition'!$C$87</definedName>
    <definedName name="DIRECT_CURR_POS_15" localSheetId="2">'[3]Parameters definition'!$C$88</definedName>
    <definedName name="DIRECT_CURR_POS_15">'[1]Parameters definition'!$C$88</definedName>
    <definedName name="DIRECT_CURR_POS_2" localSheetId="2">'[3]Parameters definition'!$C$75</definedName>
    <definedName name="DIRECT_CURR_POS_2">'[1]Parameters definition'!$C$75</definedName>
    <definedName name="DIRECT_CURR_POS_3" localSheetId="2">'[3]Parameters definition'!$C$76</definedName>
    <definedName name="DIRECT_CURR_POS_3">'[1]Parameters definition'!$C$76</definedName>
    <definedName name="DIRECT_CURR_POS_4" localSheetId="2">'[3]Parameters definition'!$C$77</definedName>
    <definedName name="DIRECT_CURR_POS_4">'[1]Parameters definition'!$C$77</definedName>
    <definedName name="DIRECT_CURR_POS_5" localSheetId="2">'[3]Parameters definition'!$C$78</definedName>
    <definedName name="DIRECT_CURR_POS_5">'[1]Parameters definition'!$C$78</definedName>
    <definedName name="DIRECT_CURR_POS_6" localSheetId="2">'[3]Parameters definition'!$C$79</definedName>
    <definedName name="DIRECT_CURR_POS_6">'[1]Parameters definition'!$C$79</definedName>
    <definedName name="DIRECT_CURR_POS_7" localSheetId="2">'[3]Parameters definition'!$C$80</definedName>
    <definedName name="DIRECT_CURR_POS_7">'[1]Parameters definition'!$C$80</definedName>
    <definedName name="DIRECT_CURR_POS_8" localSheetId="2">'[3]Parameters definition'!$C$81</definedName>
    <definedName name="DIRECT_CURR_POS_8">'[1]Parameters definition'!$C$81</definedName>
    <definedName name="DIRECT_CURR_POS_9" localSheetId="2">'[3]Parameters definition'!$C$82</definedName>
    <definedName name="DIRECT_CURR_POS_9">'[1]Parameters definition'!$C$82</definedName>
    <definedName name="DIRECT_IND_POS_0" localSheetId="2">'[3]Parameters definition'!$C$57</definedName>
    <definedName name="DIRECT_IND_POS_0">'[1]Parameters definition'!$C$57</definedName>
    <definedName name="DIRECT_IND_POS_1" localSheetId="2">'[3]Parameters definition'!$C$58</definedName>
    <definedName name="DIRECT_IND_POS_1">'[1]Parameters definition'!$C$58</definedName>
    <definedName name="DIRECT_IND_POS_10" localSheetId="2">'[3]Parameters definition'!$C$67</definedName>
    <definedName name="DIRECT_IND_POS_10">'[1]Parameters definition'!$C$67</definedName>
    <definedName name="DIRECT_IND_POS_11" localSheetId="2">'[3]Parameters definition'!$C$68</definedName>
    <definedName name="DIRECT_IND_POS_11">'[1]Parameters definition'!$C$68</definedName>
    <definedName name="DIRECT_IND_POS_12" localSheetId="2">'[3]Parameters definition'!$C$69</definedName>
    <definedName name="DIRECT_IND_POS_12">'[1]Parameters definition'!$C$69</definedName>
    <definedName name="DIRECT_IND_POS_13" localSheetId="2">'[3]Parameters definition'!$C$70</definedName>
    <definedName name="DIRECT_IND_POS_13">'[1]Parameters definition'!$C$70</definedName>
    <definedName name="DIRECT_IND_POS_14" localSheetId="2">'[3]Parameters definition'!$C$71</definedName>
    <definedName name="DIRECT_IND_POS_14">'[1]Parameters definition'!$C$71</definedName>
    <definedName name="DIRECT_IND_POS_15" localSheetId="2">'[3]Parameters definition'!$C$72</definedName>
    <definedName name="DIRECT_IND_POS_15">'[1]Parameters definition'!$C$72</definedName>
    <definedName name="DIRECT_IND_POS_2" localSheetId="2">'[3]Parameters definition'!$C$59</definedName>
    <definedName name="DIRECT_IND_POS_2">'[1]Parameters definition'!$C$59</definedName>
    <definedName name="DIRECT_IND_POS_3" localSheetId="2">'[3]Parameters definition'!$C$60</definedName>
    <definedName name="DIRECT_IND_POS_3">'[1]Parameters definition'!$C$60</definedName>
    <definedName name="DIRECT_IND_POS_4" localSheetId="2">'[3]Parameters definition'!$C$61</definedName>
    <definedName name="DIRECT_IND_POS_4">'[1]Parameters definition'!$C$61</definedName>
    <definedName name="DIRECT_IND_POS_5" localSheetId="2">'[3]Parameters definition'!$C$62</definedName>
    <definedName name="DIRECT_IND_POS_5">'[1]Parameters definition'!$C$62</definedName>
    <definedName name="DIRECT_IND_POS_6" localSheetId="2">'[3]Parameters definition'!$C$63</definedName>
    <definedName name="DIRECT_IND_POS_6">'[1]Parameters definition'!$C$63</definedName>
    <definedName name="DIRECT_IND_POS_7" localSheetId="2">'[3]Parameters definition'!$C$64</definedName>
    <definedName name="DIRECT_IND_POS_7">'[1]Parameters definition'!$C$64</definedName>
    <definedName name="DIRECT_IND_POS_8" localSheetId="2">'[3]Parameters definition'!$C$65</definedName>
    <definedName name="DIRECT_IND_POS_8">'[1]Parameters definition'!$C$65</definedName>
    <definedName name="DIRECT_IND_POS_9" localSheetId="2">'[3]Parameters definition'!$C$66</definedName>
    <definedName name="DIRECT_IND_POS_9">'[1]Parameters definition'!$C$66</definedName>
    <definedName name="DQ_CONTROLLER_MAX_FLUX">'[1]Parameters definition'!$C$186</definedName>
    <definedName name="DQ_CONTROLLER_MAX_INPUT_VOLT_FACTOR">'[1]Parameters definition'!$C$184</definedName>
    <definedName name="DQ_CONTROLLER_OVER_FLUX_DECREMENT">'[1]Parameters definition'!$C$185</definedName>
    <definedName name="DQ_CONTROLLER_TS">'[1]Parameters definition'!$C$187</definedName>
    <definedName name="DQ_CURRENT_CONTROL_TS">'[1]Parameters definition'!$C$502</definedName>
    <definedName name="DQ_FLUX_KI_REGION_0">'[1]Parameters definition'!$C$197</definedName>
    <definedName name="DQ_FLUX_KI_REGION_1">'[1]Parameters definition'!$C$203</definedName>
    <definedName name="DQ_FLUX_KI_REGION_2">'[1]Parameters definition'!$C$209</definedName>
    <definedName name="DQ_FLUX_KP_REGION_0">'[1]Parameters definition'!$C$196</definedName>
    <definedName name="DQ_FLUX_KP_REGION_1">'[1]Parameters definition'!$C$202</definedName>
    <definedName name="DQ_FLUX_KP_REGION_2">'[1]Parameters definition'!$C$208</definedName>
    <definedName name="DQ_GAINS_SWTICHING_TIME_REGION_0">'[1]Parameters definition'!$C$199</definedName>
    <definedName name="DQ_GAINS_SWTICHING_TIME_REGION_1">'[1]Parameters definition'!$C$205</definedName>
    <definedName name="DQ_GAINS_SWTICHING_TIME_REGION_2">'[1]Parameters definition'!$C$211</definedName>
    <definedName name="DQ_SPEED_THRESHOLD_REGION_0">'[1]Parameters definition'!$C$198</definedName>
    <definedName name="DQ_SPEED_THRESHOLD_REGION_1">'[1]Parameters definition'!$C$204</definedName>
    <definedName name="DQ_SPEED_THRESHOLD_REGION_2">'[1]Parameters definition'!$C$210</definedName>
    <definedName name="DQ_STARTING_TIME">'[1]Parameters definition'!$C$183</definedName>
    <definedName name="DQ_TORQUE_KI_REGION_0">'[1]Parameters definition'!$C$195</definedName>
    <definedName name="DQ_TORQUE_KI_REGION_1">'[1]Parameters definition'!$C$201</definedName>
    <definedName name="DQ_TORQUE_KI_REGION_2">'[1]Parameters definition'!$C$207</definedName>
    <definedName name="DQ_TORQUE_KP_REGION_0">'[1]Parameters definition'!$C$194</definedName>
    <definedName name="DQ_TORQUE_KP_REGION_1">'[1]Parameters definition'!$C$200</definedName>
    <definedName name="DQ_TORQUE_KP_REGION_2">'[1]Parameters definition'!$C$206</definedName>
    <definedName name="FORCE_MAX_STARTING_TIME" localSheetId="2">'[3]Parameters definition'!$C$155</definedName>
    <definedName name="FORCE_MAX_STARTING_TORQUE" localSheetId="2">'[3]Parameters definition'!$C$154</definedName>
    <definedName name="HIGH_SPEED_THRESHOLD_RPM">'[2]Motor SR Table'!$C$7</definedName>
    <definedName name="List_Variable_Sizes" localSheetId="2">'[3]Data validation entries'!$F$8:$F$17</definedName>
    <definedName name="List_Variable_Sizes">'[5]Data validation entries'!$F$8:$F$17</definedName>
    <definedName name="LOAD_ANGLE_COS_MAX" localSheetId="2">'[3]Parameters definition'!$C$149</definedName>
    <definedName name="LOAD_ANGLE_KI" localSheetId="2">'[3]Parameters definition'!$C$151</definedName>
    <definedName name="LOAD_ANGLE_KP" localSheetId="2">'[3]Parameters definition'!$C$150</definedName>
    <definedName name="LS_INDUCTANCE" localSheetId="2">'[3]Parameters definition'!$C$13</definedName>
    <definedName name="Max_Available_Voltage_Factor">'[1]Parameters definition'!$C$3</definedName>
    <definedName name="MAX_PHASE_CURR" localSheetId="2">'[3]Parameters definition'!$C$19</definedName>
    <definedName name="MAX_PHASE_CURR">'[1]Parameters definition'!$C$19</definedName>
    <definedName name="MCL_INPUT_CALL_RATE_HZ">'[1]Parameters definition'!$C$4</definedName>
    <definedName name="OBS_RESIS_ADAPT_CURRENT_THRES" localSheetId="2">'[3]Parameters definition'!$C$43</definedName>
    <definedName name="OBS_RESIS_ADAPT_CURRENT_THRES">'[1]Parameters definition'!$C$43</definedName>
    <definedName name="OBS_RESIS_ADAPT_SPEED_THRES" localSheetId="2">'[3]Parameters definition'!$C$44</definedName>
    <definedName name="OBS_RESIS_ADAPT_SPEED_THRES">'[1]Parameters definition'!$C$44</definedName>
    <definedName name="OBSERVER_G_GAIN" localSheetId="2">'[3]Parameters definition'!$C$46</definedName>
    <definedName name="OBSERVER_G_GAIN">'[1]Parameters definition'!$C$46</definedName>
    <definedName name="OBSERVER_G_INTEG_GAIN" localSheetId="2">'[3]Parameters definition'!$C$42</definedName>
    <definedName name="OBSERVER_G_INTEG_GAIN">'[1]Parameters definition'!$C$42</definedName>
    <definedName name="OBSERVER_MIN_FLUX_ZERO_SPEED" localSheetId="2">'[3]Parameters definition'!$C$48</definedName>
    <definedName name="OBSERVER_MIN_FLUX_ZERO_SPEED">'[1]Parameters definition'!$C$48</definedName>
    <definedName name="OBSERVER_SPEED_PLL_KI" localSheetId="2">'[3]Parameters definition'!$C$53</definedName>
    <definedName name="OBSERVER_SPEED_PLL_KI">'[1]Parameters definition'!$C$53</definedName>
    <definedName name="OBSERVER_SPEED_PLL_KP" localSheetId="2">'[3]Parameters definition'!$C$52</definedName>
    <definedName name="OBSERVER_SPEED_PLL_KP">'[1]Parameters definition'!$C$52</definedName>
    <definedName name="OBSERVER_STARTING_THRESHOLD" localSheetId="2">'[3]Parameters definition'!$C$51</definedName>
    <definedName name="OBSERVER_STARTING_THRESHOLD">'[1]Parameters definition'!$C$51</definedName>
    <definedName name="OBSERVER_STARTING_TIME_THRESHOLD" localSheetId="2">'[3]Parameters definition'!#REF!</definedName>
    <definedName name="OBSERVER_STARTING_TIME_THRESHOLD">'[1]Parameters definition'!#REF!</definedName>
    <definedName name="OBSERVER_TS" localSheetId="2">'[3]Parameters definition'!$C$56</definedName>
    <definedName name="OBSERVER_TS">'[1]Parameters definition'!$C$56</definedName>
    <definedName name="POLE_PAIRS" localSheetId="2">'[3]Parameters definition'!$C$14</definedName>
    <definedName name="POLE_PAIRS">'[1]Parameters definition'!$C$14</definedName>
    <definedName name="Q_CURR_CONTROL_KI">'[1]Parameters definition'!$C$501</definedName>
    <definedName name="Q_CURR_CONTROL_KP">'[1]Parameters definition'!$C$500</definedName>
    <definedName name="QUAD_CURR_POS_0" localSheetId="2">'[3]Parameters definition'!$C$105</definedName>
    <definedName name="QUAD_CURR_POS_0">'[1]Parameters definition'!$C$105</definedName>
    <definedName name="QUAD_CURR_POS_1" localSheetId="2">'[3]Parameters definition'!$C$106</definedName>
    <definedName name="QUAD_CURR_POS_1">'[1]Parameters definition'!$C$106</definedName>
    <definedName name="QUAD_CURR_POS_10" localSheetId="2">'[3]Parameters definition'!$C$115</definedName>
    <definedName name="QUAD_CURR_POS_10">'[1]Parameters definition'!$C$115</definedName>
    <definedName name="QUAD_CURR_POS_11" localSheetId="2">'[3]Parameters definition'!$C$116</definedName>
    <definedName name="QUAD_CURR_POS_11">'[1]Parameters definition'!$C$116</definedName>
    <definedName name="QUAD_CURR_POS_12" localSheetId="2">'[3]Parameters definition'!$C$117</definedName>
    <definedName name="QUAD_CURR_POS_12">'[1]Parameters definition'!$C$117</definedName>
    <definedName name="QUAD_CURR_POS_13" localSheetId="2">'[3]Parameters definition'!$C$118</definedName>
    <definedName name="QUAD_CURR_POS_13">'[1]Parameters definition'!$C$118</definedName>
    <definedName name="QUAD_CURR_POS_14" localSheetId="2">'[3]Parameters definition'!$C$119</definedName>
    <definedName name="QUAD_CURR_POS_14">'[1]Parameters definition'!$C$119</definedName>
    <definedName name="QUAD_CURR_POS_15" localSheetId="2">'[3]Parameters definition'!$C$120</definedName>
    <definedName name="QUAD_CURR_POS_15">'[1]Parameters definition'!$C$120</definedName>
    <definedName name="QUAD_CURR_POS_2" localSheetId="2">'[3]Parameters definition'!$C$107</definedName>
    <definedName name="QUAD_CURR_POS_2">'[1]Parameters definition'!$C$107</definedName>
    <definedName name="QUAD_CURR_POS_3" localSheetId="2">'[3]Parameters definition'!$C$108</definedName>
    <definedName name="QUAD_CURR_POS_3">'[1]Parameters definition'!$C$108</definedName>
    <definedName name="QUAD_CURR_POS_4" localSheetId="2">'[3]Parameters definition'!$C$109</definedName>
    <definedName name="QUAD_CURR_POS_4">'[1]Parameters definition'!$C$109</definedName>
    <definedName name="QUAD_CURR_POS_5" localSheetId="2">'[3]Parameters definition'!$C$110</definedName>
    <definedName name="QUAD_CURR_POS_5">'[1]Parameters definition'!$C$110</definedName>
    <definedName name="QUAD_CURR_POS_6" localSheetId="2">'[3]Parameters definition'!$C$111</definedName>
    <definedName name="QUAD_CURR_POS_6">'[1]Parameters definition'!$C$111</definedName>
    <definedName name="QUAD_CURR_POS_7" localSheetId="2">'[3]Parameters definition'!$C$112</definedName>
    <definedName name="QUAD_CURR_POS_7">'[1]Parameters definition'!$C$112</definedName>
    <definedName name="QUAD_CURR_POS_8" localSheetId="2">'[3]Parameters definition'!$C$113</definedName>
    <definedName name="QUAD_CURR_POS_8">'[1]Parameters definition'!$C$113</definedName>
    <definedName name="QUAD_CURR_POS_9" localSheetId="2">'[3]Parameters definition'!$C$114</definedName>
    <definedName name="QUAD_CURR_POS_9">'[1]Parameters definition'!$C$114</definedName>
    <definedName name="QUAD_IND_POS_0" localSheetId="2">'[3]Parameters definition'!$C$89</definedName>
    <definedName name="QUAD_IND_POS_0">'[1]Parameters definition'!$C$89</definedName>
    <definedName name="QUAD_IND_POS_1" localSheetId="2">'[3]Parameters definition'!$C$90</definedName>
    <definedName name="QUAD_IND_POS_1">'[1]Parameters definition'!$C$90</definedName>
    <definedName name="QUAD_IND_POS_10" localSheetId="2">'[3]Parameters definition'!$C$99</definedName>
    <definedName name="QUAD_IND_POS_10">'[1]Parameters definition'!$C$99</definedName>
    <definedName name="QUAD_IND_POS_11" localSheetId="2">'[3]Parameters definition'!$C$100</definedName>
    <definedName name="QUAD_IND_POS_11">'[1]Parameters definition'!$C$100</definedName>
    <definedName name="QUAD_IND_POS_12" localSheetId="2">'[3]Parameters definition'!$C$101</definedName>
    <definedName name="QUAD_IND_POS_12">'[1]Parameters definition'!$C$101</definedName>
    <definedName name="QUAD_IND_POS_13" localSheetId="2">'[3]Parameters definition'!$C$102</definedName>
    <definedName name="QUAD_IND_POS_13">'[1]Parameters definition'!$C$102</definedName>
    <definedName name="QUAD_IND_POS_14" localSheetId="2">'[3]Parameters definition'!$C$103</definedName>
    <definedName name="QUAD_IND_POS_14">'[1]Parameters definition'!$C$103</definedName>
    <definedName name="QUAD_IND_POS_15" localSheetId="2">'[3]Parameters definition'!$C$104</definedName>
    <definedName name="QUAD_IND_POS_15">'[1]Parameters definition'!$C$104</definedName>
    <definedName name="QUAD_IND_POS_2" localSheetId="2">'[3]Parameters definition'!$C$91</definedName>
    <definedName name="QUAD_IND_POS_2">'[1]Parameters definition'!$C$91</definedName>
    <definedName name="QUAD_IND_POS_3" localSheetId="2">'[3]Parameters definition'!$C$92</definedName>
    <definedName name="QUAD_IND_POS_3">'[1]Parameters definition'!$C$92</definedName>
    <definedName name="QUAD_IND_POS_4" localSheetId="2">'[3]Parameters definition'!$C$93</definedName>
    <definedName name="QUAD_IND_POS_4">'[1]Parameters definition'!$C$93</definedName>
    <definedName name="QUAD_IND_POS_5" localSheetId="2">'[3]Parameters definition'!$C$94</definedName>
    <definedName name="QUAD_IND_POS_5">'[1]Parameters definition'!$C$94</definedName>
    <definedName name="QUAD_IND_POS_6" localSheetId="2">'[3]Parameters definition'!$C$95</definedName>
    <definedName name="QUAD_IND_POS_6">'[1]Parameters definition'!$C$95</definedName>
    <definedName name="QUAD_IND_POS_7" localSheetId="2">'[3]Parameters definition'!$C$96</definedName>
    <definedName name="QUAD_IND_POS_7">'[1]Parameters definition'!$C$96</definedName>
    <definedName name="QUAD_IND_POS_8" localSheetId="2">'[3]Parameters definition'!$C$97</definedName>
    <definedName name="QUAD_IND_POS_8">'[1]Parameters definition'!$C$97</definedName>
    <definedName name="QUAD_IND_POS_9" localSheetId="2">'[3]Parameters definition'!$C$98</definedName>
    <definedName name="QUAD_IND_POS_9">'[1]Parameters definition'!$C$98</definedName>
    <definedName name="ROTOR_LAMBDAM" localSheetId="2">'[3]Parameters definition'!$C$9</definedName>
    <definedName name="ROTOR_LAMBDAM">'[1]Parameters definition'!$C$9</definedName>
    <definedName name="SPEED_CONTROLLER_POSTSCALER" localSheetId="2">'[3]Parameters definition'!$C$140</definedName>
    <definedName name="SPEED_KI_REGION_0" localSheetId="2">'[3]Parameters definition'!$C$157</definedName>
    <definedName name="SPEED_KI_REGION_0">'[1]Parameters definition'!$C$157</definedName>
    <definedName name="SPEED_KI_REGION_1" localSheetId="2">'[3]Parameters definition'!$C$161</definedName>
    <definedName name="SPEED_KI_REGION_2" localSheetId="2">'[3]Parameters definition'!$C$165</definedName>
    <definedName name="SPEED_KI_REGION_3" localSheetId="2">'[3]Parameters definition'!$C$169</definedName>
    <definedName name="SPEED_KI_REGION_4" localSheetId="2">'[3]Parameters definition'!$C$173</definedName>
    <definedName name="SPEED_KP_REGION_0" localSheetId="2">'[3]Parameters definition'!$C$156</definedName>
    <definedName name="SPEED_KP_REGION_0">'[1]Parameters definition'!$C$156</definedName>
    <definedName name="SPEED_KP_REGION_1" localSheetId="2">'[3]Parameters definition'!$C$160</definedName>
    <definedName name="SPEED_KP_REGION_2" localSheetId="2">'[3]Parameters definition'!$C$164</definedName>
    <definedName name="SPEED_KP_REGION_3" localSheetId="2">'[3]Parameters definition'!$C$168</definedName>
    <definedName name="SPEED_KP_REGION_4" localSheetId="2">'[3]Parameters definition'!$C$172</definedName>
    <definedName name="SPEED_THRESHOLD_REGION_0" localSheetId="2">'[3]Parameters definition'!$C$158</definedName>
    <definedName name="SPEED_THRESHOLD_REGION_1" localSheetId="2">'[3]Parameters definition'!$C$162</definedName>
    <definedName name="SPEED_THRESHOLD_REGION_2" localSheetId="2">'[3]Parameters definition'!$C$166</definedName>
    <definedName name="SPEED_THRESHOLD_REGION_3" localSheetId="2">'[3]Parameters definition'!$C$170</definedName>
    <definedName name="SPEED_THRESHOLD_REGION_4" localSheetId="2">'[3]Parameters definition'!$C$174</definedName>
    <definedName name="SPEED_TIME_TO_SWITCH_REGION_0" localSheetId="2">'[3]Parameters definition'!$C$159</definedName>
    <definedName name="SPEED_TIME_TO_SWITCH_REGION_1" localSheetId="2">'[3]Parameters definition'!$C$163</definedName>
    <definedName name="SPEED_TIME_TO_SWITCH_REGION_2" localSheetId="2">'[3]Parameters definition'!$C$167</definedName>
    <definedName name="SPEED_TIME_TO_SWITCH_REGION_3" localSheetId="2">'[3]Parameters definition'!$C$171</definedName>
    <definedName name="SPEED_TIME_TO_SWITCH_REGION_4" localSheetId="2">'[3]Parameters definition'!$C$175</definedName>
    <definedName name="STATOR_INDUCTANCE_D" localSheetId="2">'[3]Parameters definition'!$C$11</definedName>
    <definedName name="STATOR_INDUCTANCE_D">'[1]Parameters definition'!$C$11</definedName>
    <definedName name="STATOR_RESISTANCE" localSheetId="2">'[3]Parameters definition'!$C$8</definedName>
    <definedName name="STATOR_RESISTANCE">'[1]Parameters definition'!$C$8</definedName>
    <definedName name="TE_MAX" localSheetId="2">'[3]Parameters definition'!$C$10</definedName>
    <definedName name="TIME_DQ_FORCE_GAINS_STARTING">'[1]Parameters definition'!$C$192</definedName>
    <definedName name="TIME_FORCE_USE_DEFAULT_SPEED_GAINS" localSheetId="2">'[3]Parameters definition'!$C$153</definedName>
  </definedNames>
  <calcPr calcId="152511"/>
</workbook>
</file>

<file path=xl/calcChain.xml><?xml version="1.0" encoding="utf-8"?>
<calcChain xmlns="http://schemas.openxmlformats.org/spreadsheetml/2006/main">
  <c r="F46" i="15" l="1"/>
  <c r="A45" i="15" l="1"/>
  <c r="G46" i="15" l="1"/>
  <c r="I47" i="15" s="1"/>
  <c r="I46" i="15" s="1"/>
  <c r="A48" i="15"/>
  <c r="D46" i="15"/>
  <c r="H46" i="15" l="1"/>
  <c r="F28" i="15"/>
  <c r="H47" i="15" l="1"/>
  <c r="G40" i="15"/>
  <c r="G28" i="15" l="1"/>
  <c r="F25" i="15"/>
  <c r="G25" i="15" s="1"/>
  <c r="F16" i="15"/>
  <c r="E8" i="21" l="1"/>
  <c r="B8" i="21"/>
  <c r="E7" i="21"/>
  <c r="E3" i="21" s="1"/>
  <c r="H6" i="21"/>
  <c r="A6" i="21"/>
  <c r="D7" i="15" l="1"/>
  <c r="A8" i="15" l="1"/>
  <c r="A9" i="15"/>
  <c r="A10" i="15"/>
  <c r="A14" i="15"/>
  <c r="A17" i="15"/>
  <c r="A18" i="15"/>
  <c r="A21" i="15"/>
  <c r="A24" i="15"/>
  <c r="A27" i="15"/>
  <c r="A30" i="15"/>
  <c r="A33" i="15"/>
  <c r="A36" i="15"/>
  <c r="A39" i="15"/>
  <c r="A42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11" i="15"/>
  <c r="D3" i="15" l="1"/>
  <c r="H8" i="15"/>
  <c r="H14" i="15"/>
  <c r="H17" i="15"/>
  <c r="H18" i="15"/>
  <c r="H21" i="15"/>
  <c r="H24" i="15"/>
  <c r="H27" i="15"/>
  <c r="H30" i="15"/>
  <c r="H33" i="15"/>
  <c r="H36" i="15"/>
  <c r="H39" i="15"/>
  <c r="H42" i="15"/>
  <c r="G22" i="15" l="1"/>
  <c r="I7" i="15"/>
  <c r="G43" i="15" l="1"/>
  <c r="G37" i="15"/>
  <c r="G34" i="15"/>
  <c r="G31" i="15"/>
  <c r="G19" i="15"/>
  <c r="I44" i="15"/>
  <c r="I20" i="15"/>
  <c r="I29" i="15"/>
  <c r="I26" i="15"/>
  <c r="I38" i="15"/>
  <c r="I32" i="15"/>
  <c r="I23" i="15"/>
  <c r="I41" i="15"/>
  <c r="I35" i="15"/>
  <c r="H23" i="15" l="1"/>
  <c r="H41" i="15"/>
  <c r="H32" i="15"/>
  <c r="H44" i="15"/>
  <c r="H35" i="15"/>
  <c r="H26" i="15"/>
  <c r="H38" i="15"/>
  <c r="H29" i="15"/>
  <c r="H20" i="15"/>
  <c r="I22" i="15"/>
  <c r="I37" i="15"/>
  <c r="I31" i="15"/>
  <c r="I19" i="15"/>
  <c r="I25" i="15"/>
  <c r="I28" i="15"/>
  <c r="I40" i="15"/>
  <c r="I43" i="15"/>
  <c r="I34" i="15"/>
  <c r="H25" i="15" l="1"/>
  <c r="H28" i="15"/>
  <c r="H43" i="15"/>
  <c r="H31" i="15"/>
  <c r="H22" i="15"/>
  <c r="H40" i="15"/>
  <c r="H37" i="15"/>
  <c r="H34" i="15"/>
  <c r="H19" i="15"/>
  <c r="G16" i="15"/>
  <c r="I16" i="15" s="1"/>
  <c r="F15" i="15"/>
  <c r="G15" i="15" s="1"/>
  <c r="I15" i="15" s="1"/>
  <c r="F13" i="15"/>
  <c r="I13" i="15" s="1"/>
  <c r="F12" i="15"/>
  <c r="I12" i="15" s="1"/>
  <c r="F11" i="15"/>
  <c r="G11" i="15" s="1"/>
  <c r="H15" i="15" l="1"/>
  <c r="H16" i="15"/>
  <c r="H12" i="15"/>
  <c r="H13" i="15"/>
  <c r="I11" i="15"/>
  <c r="H11" i="15" l="1"/>
  <c r="A11" i="15"/>
  <c r="A12" i="15" l="1"/>
  <c r="A13" i="15" s="1"/>
  <c r="A15" i="15" l="1"/>
  <c r="A16" i="15" l="1"/>
  <c r="A19" i="15" l="1"/>
  <c r="A20" i="15" s="1"/>
  <c r="A22" i="15" s="1"/>
  <c r="A23" i="15" l="1"/>
  <c r="A25" i="15" l="1"/>
  <c r="A26" i="15" s="1"/>
  <c r="A28" i="15" s="1"/>
  <c r="A29" i="15" s="1"/>
  <c r="A31" i="15" s="1"/>
  <c r="A32" i="15" s="1"/>
  <c r="A34" i="15" s="1"/>
  <c r="A35" i="15" l="1"/>
  <c r="A37" i="15" l="1"/>
  <c r="A38" i="15" l="1"/>
  <c r="A40" i="15" s="1"/>
  <c r="A41" i="15" s="1"/>
  <c r="A43" i="15" s="1"/>
  <c r="A44" i="15" s="1"/>
  <c r="A46" i="15" s="1"/>
  <c r="A47" i="15" l="1"/>
</calcChain>
</file>

<file path=xl/sharedStrings.xml><?xml version="1.0" encoding="utf-8"?>
<sst xmlns="http://schemas.openxmlformats.org/spreadsheetml/2006/main" count="170" uniqueCount="111">
  <si>
    <t>°C</t>
  </si>
  <si>
    <t>s</t>
  </si>
  <si>
    <t>Motor SR Params</t>
  </si>
  <si>
    <t>XXXX</t>
  </si>
  <si>
    <t>Motor Safety Table</t>
  </si>
  <si>
    <t>SafetyParamsCrc</t>
  </si>
  <si>
    <t>OH Period</t>
  </si>
  <si>
    <t>Room Temperature</t>
  </si>
  <si>
    <t>Init Value</t>
  </si>
  <si>
    <t>Low Temp Threshold</t>
  </si>
  <si>
    <t>High Temp Threshold</t>
  </si>
  <si>
    <t>Overheating</t>
  </si>
  <si>
    <t>OverHeating_Temp_Init</t>
  </si>
  <si>
    <t>OverHeating_Temp_Low</t>
  </si>
  <si>
    <t>OverHeating_Temp_High</t>
  </si>
  <si>
    <t>G Tumbling</t>
  </si>
  <si>
    <t>G Tumbling 1</t>
  </si>
  <si>
    <t>G Spinning</t>
  </si>
  <si>
    <t>Ohm</t>
  </si>
  <si>
    <t>Motor Thermal Conductance</t>
  </si>
  <si>
    <t>Joule Losses</t>
  </si>
  <si>
    <t>Iron Losses</t>
  </si>
  <si>
    <t>A1</t>
  </si>
  <si>
    <t>A2</t>
  </si>
  <si>
    <t>a1</t>
  </si>
  <si>
    <t>a2</t>
  </si>
  <si>
    <t>Spin Speed Threshold</t>
  </si>
  <si>
    <t>rpm</t>
  </si>
  <si>
    <t>W/Speed</t>
  </si>
  <si>
    <t>W/Speed^2</t>
  </si>
  <si>
    <t>OHMotor Initi Value =</t>
  </si>
  <si>
    <t>OHMotor Low Temp Thr =</t>
  </si>
  <si>
    <t>OHMotor HighTemp Thr =</t>
  </si>
  <si>
    <t>Motor Thermal Capacitance</t>
  </si>
  <si>
    <t>J/°C</t>
  </si>
  <si>
    <t>Ohm/ °C</t>
  </si>
  <si>
    <t>W/°C</t>
  </si>
  <si>
    <t>W/°C^2</t>
  </si>
  <si>
    <t>Tamb</t>
  </si>
  <si>
    <t>SSpeed</t>
  </si>
  <si>
    <t>Room Temperature =</t>
  </si>
  <si>
    <t>Cmot_Inv</t>
  </si>
  <si>
    <t>1 / Motor Thermal Capacitance =</t>
  </si>
  <si>
    <t>Dt</t>
  </si>
  <si>
    <t>OH Period =</t>
  </si>
  <si>
    <t>Rwind</t>
  </si>
  <si>
    <t>R winding=</t>
  </si>
  <si>
    <t>Alfa_Wind</t>
  </si>
  <si>
    <t>Gtumb</t>
  </si>
  <si>
    <t>Gtumb1</t>
  </si>
  <si>
    <t>G Tumbling=</t>
  </si>
  <si>
    <t>Gtspin</t>
  </si>
  <si>
    <t>G Spinning=</t>
  </si>
  <si>
    <t>Parameter</t>
  </si>
  <si>
    <t>Unit</t>
  </si>
  <si>
    <t>Typical Value</t>
  </si>
  <si>
    <t>Min</t>
  </si>
  <si>
    <t>Max</t>
  </si>
  <si>
    <t>Decimal places</t>
  </si>
  <si>
    <t xml:space="preserve">Put here the names of the GESE tables required by the displacement implementation  </t>
  </si>
  <si>
    <t>NAME</t>
  </si>
  <si>
    <t>Motor Safety Themal Model</t>
  </si>
  <si>
    <t>Alpha winding</t>
  </si>
  <si>
    <t>Motor Temperatures</t>
  </si>
  <si>
    <t>EXCEL FORMULA</t>
  </si>
  <si>
    <t>Name</t>
  </si>
  <si>
    <t>Formula</t>
  </si>
  <si>
    <t>Crc16 Calculated from Low Byte to High Byte</t>
  </si>
  <si>
    <t>Note</t>
  </si>
  <si>
    <t>Motor Table</t>
  </si>
  <si>
    <t>Board Configuration Table</t>
  </si>
  <si>
    <t>Motor SR Table</t>
  </si>
  <si>
    <t>Index</t>
  </si>
  <si>
    <t>Type</t>
  </si>
  <si>
    <t>Size bytes</t>
  </si>
  <si>
    <t>Decimal</t>
  </si>
  <si>
    <t>Settings file size [bytes]:</t>
  </si>
  <si>
    <t>sint16</t>
  </si>
  <si>
    <t>uint16</t>
  </si>
  <si>
    <t>Motor Safety Paramters - Parameters to Data Structure Conversion(template for word aligned data structures)</t>
  </si>
  <si>
    <t>float32</t>
  </si>
  <si>
    <t>16 bit (HEXA)</t>
  </si>
  <si>
    <t>Decimal (16 bit)</t>
  </si>
  <si>
    <t>Crc16__RangeProcess((uint8 *)(&amp;Motor_Sr_Params_SF[1]),0xFFFF,(52-2));</t>
  </si>
  <si>
    <t>Parameters to Settings File- Displacement Variant\Version</t>
  </si>
  <si>
    <t>Value</t>
  </si>
  <si>
    <t>Version</t>
  </si>
  <si>
    <t>Variant</t>
  </si>
  <si>
    <t>uint8</t>
  </si>
  <si>
    <t>-</t>
  </si>
  <si>
    <t>R winding@ Room Temp</t>
  </si>
  <si>
    <t xml:space="preserve">Note: evaluate a scientific notation </t>
  </si>
  <si>
    <t>Spin Speed Threshold*Pole Pairs/60 =</t>
  </si>
  <si>
    <t>A1*60/ Pole Pairs =</t>
  </si>
  <si>
    <t>A2*(60/Pole Pairs)^2 =</t>
  </si>
  <si>
    <t>Motor Parameters</t>
  </si>
  <si>
    <t>High speed threshold</t>
  </si>
  <si>
    <t>rpm @drum</t>
  </si>
  <si>
    <t>Total cycles to compute</t>
  </si>
  <si>
    <t>NA</t>
  </si>
  <si>
    <t>Avg_Fund_Period_Threshold_1</t>
  </si>
  <si>
    <t>Not implement on the table</t>
  </si>
  <si>
    <t>Speed Monitor</t>
  </si>
  <si>
    <t>These values shall be taken from external tables, they are needed to calculte safety parameters</t>
  </si>
  <si>
    <t>uint32</t>
  </si>
  <si>
    <t>Transmission Ratio</t>
  </si>
  <si>
    <t>adm</t>
  </si>
  <si>
    <t>Motor Poles Pairs</t>
  </si>
  <si>
    <t>Keep it from MotorTable</t>
  </si>
  <si>
    <t>Keep it from SettingTable</t>
  </si>
  <si>
    <t>(4000 *Total cycles to compute)/((High speed threshold * Trasmission Ratio *Pole Pairs)/60)=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</si>
</sst>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0.000000"/>
    <numFmt numFmtId="167" formatCode="0.000000000"/>
    <numFmt numFmtId="168" formatCode="0.00000"/>
  </numFmts>
  <fonts count="38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3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name val="Calibri"/>
      <family val="2"/>
      <scheme val="minor"/>
    </font>
    <font>
      <b/>
      <sz val="13"/>
      <color indexed="8"/>
      <name val="Calibri"/>
      <family val="2"/>
    </font>
    <font>
      <b/>
      <i/>
      <sz val="13"/>
      <name val="Calibri"/>
      <family val="2"/>
    </font>
    <font>
      <i/>
      <sz val="11"/>
      <color rgb="FF0070C0"/>
      <name val="Calibri"/>
      <family val="2"/>
      <scheme val="minor"/>
    </font>
    <font>
      <b/>
      <i/>
      <sz val="15"/>
      <name val="Calibri"/>
      <family val="2"/>
      <scheme val="minor"/>
    </font>
    <font>
      <sz val="15"/>
      <name val="Calibri"/>
      <family val="2"/>
      <scheme val="minor"/>
    </font>
    <font>
      <sz val="15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i/>
      <sz val="11"/>
      <color rgb="FF00B0F0"/>
      <name val="Calibri"/>
      <family val="2"/>
      <scheme val="minor"/>
    </font>
    <font>
      <i/>
      <sz val="11"/>
      <color rgb="FF000000"/>
      <name val="Calibri"/>
      <family val="2"/>
    </font>
    <font>
      <b/>
      <i/>
      <sz val="28"/>
      <color rgb="FFFF0000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5"/>
      <color rgb="FFFF0000"/>
      <name val="Calibri"/>
      <family val="2"/>
      <scheme val="minor"/>
    </font>
    <font>
      <sz val="9"/>
      <color theme="4"/>
      <name val="Calibri"/>
      <family val="2"/>
      <scheme val="minor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</font>
    <font>
      <b/>
      <sz val="11"/>
      <color theme="3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i/>
      <sz val="11"/>
      <name val="Calibri"/>
      <family val="2"/>
      <scheme val="minor"/>
    </font>
    <font>
      <b/>
      <sz val="2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4" fillId="0" borderId="1" xfId="0" applyFont="1" applyBorder="1" applyAlignment="1">
      <alignment horizontal="center"/>
    </xf>
    <xf numFmtId="0" fontId="10" fillId="0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/>
    <xf numFmtId="165" fontId="11" fillId="0" borderId="0" xfId="0" applyNumberFormat="1" applyFont="1" applyAlignment="1">
      <alignment horizontal="left"/>
    </xf>
    <xf numFmtId="0" fontId="0" fillId="0" borderId="0" xfId="0" applyFill="1" applyAlignment="1">
      <alignment wrapText="1"/>
    </xf>
    <xf numFmtId="1" fontId="0" fillId="0" borderId="0" xfId="0" applyNumberFormat="1" applyFill="1" applyAlignment="1">
      <alignment horizontal="center" wrapText="1"/>
    </xf>
    <xf numFmtId="0" fontId="6" fillId="0" borderId="0" xfId="0" applyFont="1" applyFill="1" applyAlignment="1">
      <alignment vertical="center" wrapText="1"/>
    </xf>
    <xf numFmtId="0" fontId="7" fillId="0" borderId="0" xfId="0" applyFont="1" applyFill="1" applyBorder="1" applyAlignment="1">
      <alignment horizontal="right"/>
    </xf>
    <xf numFmtId="0" fontId="5" fillId="0" borderId="0" xfId="0" applyFont="1" applyFill="1" applyBorder="1" applyAlignment="1"/>
    <xf numFmtId="0" fontId="0" fillId="0" borderId="0" xfId="0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7" fillId="0" borderId="0" xfId="0" applyFont="1" applyAlignment="1">
      <alignment horizontal="right"/>
    </xf>
    <xf numFmtId="1" fontId="5" fillId="4" borderId="0" xfId="0" applyNumberFormat="1" applyFont="1" applyFill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right"/>
    </xf>
    <xf numFmtId="0" fontId="0" fillId="0" borderId="0" xfId="0" applyFill="1" applyBorder="1" applyAlignment="1"/>
    <xf numFmtId="0" fontId="5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5" fillId="0" borderId="0" xfId="0" applyFont="1" applyFill="1" applyAlignment="1">
      <alignment wrapText="1"/>
    </xf>
    <xf numFmtId="0" fontId="5" fillId="0" borderId="0" xfId="0" applyFont="1" applyFill="1" applyAlignment="1"/>
    <xf numFmtId="0" fontId="0" fillId="0" borderId="0" xfId="0"/>
    <xf numFmtId="0" fontId="3" fillId="0" borderId="1" xfId="0" applyFont="1" applyBorder="1" applyAlignment="1">
      <alignment horizontal="center"/>
    </xf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7" fillId="0" borderId="0" xfId="0" applyFont="1" applyFill="1" applyAlignment="1">
      <alignment horizontal="right" wrapText="1"/>
    </xf>
    <xf numFmtId="0" fontId="5" fillId="3" borderId="0" xfId="0" applyFont="1" applyFill="1" applyAlignment="1">
      <alignment wrapText="1"/>
    </xf>
    <xf numFmtId="0" fontId="0" fillId="0" borderId="0" xfId="0" applyFill="1"/>
    <xf numFmtId="0" fontId="5" fillId="4" borderId="0" xfId="0" applyFont="1" applyFill="1" applyAlignment="1">
      <alignment horizontal="center"/>
    </xf>
    <xf numFmtId="0" fontId="7" fillId="0" borderId="0" xfId="0" applyFont="1" applyFill="1" applyAlignment="1">
      <alignment horizontal="right"/>
    </xf>
    <xf numFmtId="0" fontId="6" fillId="0" borderId="0" xfId="0" applyFont="1" applyFill="1" applyAlignment="1">
      <alignment horizontal="center" vertical="center" wrapText="1"/>
    </xf>
    <xf numFmtId="0" fontId="17" fillId="0" borderId="0" xfId="0" applyFont="1" applyFill="1" applyAlignment="1">
      <alignment horizontal="left" vertical="center" wrapText="1"/>
    </xf>
    <xf numFmtId="0" fontId="17" fillId="0" borderId="0" xfId="0" applyFont="1" applyFill="1" applyAlignment="1">
      <alignment horizontal="center" vertical="center" wrapText="1"/>
    </xf>
    <xf numFmtId="0" fontId="18" fillId="0" borderId="0" xfId="0" applyFont="1" applyFill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/>
    </xf>
    <xf numFmtId="0" fontId="19" fillId="0" borderId="0" xfId="0" applyFont="1" applyFill="1" applyAlignment="1">
      <alignment horizontal="center" vertical="center" wrapText="1"/>
    </xf>
    <xf numFmtId="0" fontId="20" fillId="0" borderId="0" xfId="0" applyFont="1" applyFill="1"/>
    <xf numFmtId="0" fontId="13" fillId="0" borderId="0" xfId="0" applyFont="1" applyFill="1" applyBorder="1" applyAlignment="1">
      <alignment horizontal="right"/>
    </xf>
    <xf numFmtId="1" fontId="0" fillId="0" borderId="0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5" fillId="0" borderId="0" xfId="0" applyFont="1" applyFill="1" applyBorder="1"/>
    <xf numFmtId="2" fontId="0" fillId="0" borderId="0" xfId="0" applyNumberFormat="1" applyFill="1" applyBorder="1" applyAlignment="1">
      <alignment horizontal="center"/>
    </xf>
    <xf numFmtId="2" fontId="5" fillId="0" borderId="0" xfId="0" applyNumberFormat="1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8" fillId="0" borderId="0" xfId="0" applyFont="1" applyFill="1" applyAlignment="1">
      <alignment vertical="center"/>
    </xf>
    <xf numFmtId="164" fontId="21" fillId="0" borderId="0" xfId="0" applyNumberFormat="1" applyFont="1" applyFill="1" applyAlignment="1">
      <alignment horizontal="center"/>
    </xf>
    <xf numFmtId="0" fontId="21" fillId="0" borderId="0" xfId="0" applyFont="1" applyFill="1" applyAlignment="1">
      <alignment horizontal="center"/>
    </xf>
    <xf numFmtId="1" fontId="16" fillId="0" borderId="1" xfId="0" quotePrefix="1" applyNumberFormat="1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166" fontId="0" fillId="0" borderId="0" xfId="0" applyNumberFormat="1" applyFill="1" applyAlignment="1">
      <alignment horizontal="center" wrapText="1"/>
    </xf>
    <xf numFmtId="167" fontId="0" fillId="0" borderId="0" xfId="0" applyNumberFormat="1" applyFill="1" applyAlignment="1">
      <alignment horizontal="center" wrapText="1"/>
    </xf>
    <xf numFmtId="2" fontId="16" fillId="0" borderId="1" xfId="0" quotePrefix="1" applyNumberFormat="1" applyFont="1" applyBorder="1" applyAlignment="1">
      <alignment horizontal="center"/>
    </xf>
    <xf numFmtId="0" fontId="8" fillId="0" borderId="0" xfId="0" applyFont="1" applyFill="1" applyBorder="1" applyAlignment="1">
      <alignment horizontal="center" vertical="center"/>
    </xf>
    <xf numFmtId="165" fontId="16" fillId="0" borderId="1" xfId="0" quotePrefix="1" applyNumberFormat="1" applyFont="1" applyBorder="1" applyAlignment="1">
      <alignment horizontal="center"/>
    </xf>
    <xf numFmtId="168" fontId="16" fillId="0" borderId="1" xfId="0" quotePrefix="1" applyNumberFormat="1" applyFont="1" applyBorder="1" applyAlignment="1">
      <alignment horizontal="center"/>
    </xf>
    <xf numFmtId="0" fontId="5" fillId="4" borderId="0" xfId="0" applyNumberFormat="1" applyFont="1" applyFill="1" applyAlignment="1">
      <alignment horizontal="center" wrapText="1"/>
    </xf>
    <xf numFmtId="0" fontId="0" fillId="0" borderId="0" xfId="0" applyNumberFormat="1" applyFill="1" applyAlignment="1">
      <alignment horizontal="center" wrapText="1"/>
    </xf>
    <xf numFmtId="0" fontId="6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10" borderId="1" xfId="0" applyFont="1" applyFill="1" applyBorder="1" applyAlignment="1">
      <alignment horizontal="center"/>
    </xf>
    <xf numFmtId="0" fontId="5" fillId="0" borderId="0" xfId="0" applyFont="1"/>
    <xf numFmtId="0" fontId="6" fillId="9" borderId="0" xfId="0" applyFont="1" applyFill="1" applyAlignment="1">
      <alignment horizontal="center" vertical="center" wrapText="1"/>
    </xf>
    <xf numFmtId="0" fontId="24" fillId="3" borderId="0" xfId="0" applyFont="1" applyFill="1" applyAlignment="1">
      <alignment horizontal="left" wrapText="1"/>
    </xf>
    <xf numFmtId="0" fontId="25" fillId="11" borderId="0" xfId="0" applyFont="1" applyFill="1" applyAlignment="1">
      <alignment horizontal="center"/>
    </xf>
    <xf numFmtId="1" fontId="25" fillId="11" borderId="0" xfId="0" applyNumberFormat="1" applyFont="1" applyFill="1" applyAlignment="1">
      <alignment horizontal="center"/>
    </xf>
    <xf numFmtId="0" fontId="25" fillId="11" borderId="0" xfId="0" applyNumberFormat="1" applyFont="1" applyFill="1" applyAlignment="1">
      <alignment horizontal="center" wrapText="1"/>
    </xf>
    <xf numFmtId="1" fontId="5" fillId="4" borderId="0" xfId="0" applyNumberFormat="1" applyFont="1" applyFill="1" applyAlignment="1">
      <alignment horizontal="center" wrapText="1"/>
    </xf>
    <xf numFmtId="0" fontId="7" fillId="0" borderId="0" xfId="0" applyFont="1"/>
    <xf numFmtId="0" fontId="6" fillId="0" borderId="0" xfId="0" applyFont="1" applyFill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 wrapText="1"/>
    </xf>
    <xf numFmtId="0" fontId="26" fillId="0" borderId="0" xfId="0" applyFont="1" applyFill="1" applyAlignment="1">
      <alignment horizontal="right" vertical="center" wrapText="1"/>
    </xf>
    <xf numFmtId="0" fontId="26" fillId="0" borderId="0" xfId="0" applyFont="1" applyFill="1" applyAlignment="1">
      <alignment vertical="center" wrapText="1"/>
    </xf>
    <xf numFmtId="0" fontId="23" fillId="0" borderId="0" xfId="0" applyFont="1" applyFill="1" applyAlignment="1">
      <alignment vertical="center" wrapText="1"/>
    </xf>
    <xf numFmtId="0" fontId="27" fillId="0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6" fillId="0" borderId="0" xfId="0" applyFont="1" applyFill="1" applyAlignment="1">
      <alignment horizontal="right" vertical="center" wrapText="1"/>
    </xf>
    <xf numFmtId="0" fontId="29" fillId="0" borderId="0" xfId="0" applyFont="1" applyFill="1"/>
    <xf numFmtId="0" fontId="29" fillId="0" borderId="0" xfId="0" applyFont="1" applyFill="1" applyAlignment="1">
      <alignment wrapText="1"/>
    </xf>
    <xf numFmtId="0" fontId="30" fillId="0" borderId="0" xfId="0" applyFont="1" applyFill="1" applyAlignment="1">
      <alignment horizontal="center" vertical="center" wrapText="1"/>
    </xf>
    <xf numFmtId="0" fontId="31" fillId="5" borderId="0" xfId="0" applyFont="1" applyFill="1" applyAlignment="1">
      <alignment horizontal="left" vertical="center"/>
    </xf>
    <xf numFmtId="0" fontId="9" fillId="5" borderId="0" xfId="0" applyFont="1" applyFill="1" applyAlignment="1">
      <alignment vertical="center"/>
    </xf>
    <xf numFmtId="0" fontId="0" fillId="0" borderId="0" xfId="0" quotePrefix="1"/>
    <xf numFmtId="0" fontId="0" fillId="0" borderId="0" xfId="0" applyAlignment="1">
      <alignment horizontal="center" wrapText="1"/>
    </xf>
    <xf numFmtId="0" fontId="16" fillId="0" borderId="1" xfId="0" quotePrefix="1" applyNumberFormat="1" applyFont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32" fillId="0" borderId="0" xfId="0" applyFont="1" applyFill="1"/>
    <xf numFmtId="0" fontId="33" fillId="0" borderId="2" xfId="0" applyFont="1" applyFill="1" applyBorder="1" applyAlignment="1">
      <alignment horizontal="left"/>
    </xf>
    <xf numFmtId="0" fontId="34" fillId="0" borderId="0" xfId="0" applyFont="1"/>
    <xf numFmtId="1" fontId="35" fillId="9" borderId="1" xfId="0" applyNumberFormat="1" applyFont="1" applyFill="1" applyBorder="1" applyAlignment="1">
      <alignment horizontal="center"/>
    </xf>
    <xf numFmtId="0" fontId="36" fillId="9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2" fontId="35" fillId="9" borderId="1" xfId="0" applyNumberFormat="1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 vertical="center"/>
    </xf>
    <xf numFmtId="167" fontId="16" fillId="0" borderId="1" xfId="0" quotePrefix="1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5" fillId="7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8" fillId="5" borderId="0" xfId="0" applyFont="1" applyFill="1" applyAlignment="1">
      <alignment horizontal="center" vertical="center" wrapText="1"/>
    </xf>
    <xf numFmtId="0" fontId="26" fillId="0" borderId="0" xfId="0" applyFont="1" applyFill="1" applyAlignment="1">
      <alignment horizontal="right" vertical="center"/>
    </xf>
    <xf numFmtId="0" fontId="23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161925</xdr:colOff>
      <xdr:row>1</xdr:row>
      <xdr:rowOff>38100</xdr:rowOff>
    </xdr:from>
    <xdr:to>
      <xdr:col>22</xdr:col>
      <xdr:colOff>38100</xdr:colOff>
      <xdr:row>32</xdr:row>
      <xdr:rowOff>76200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228600"/>
          <a:ext cx="5972175" cy="594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542925</xdr:colOff>
      <xdr:row>1</xdr:row>
      <xdr:rowOff>66675</xdr:rowOff>
    </xdr:from>
    <xdr:to>
      <xdr:col>14</xdr:col>
      <xdr:colOff>895350</xdr:colOff>
      <xdr:row>26</xdr:row>
      <xdr:rowOff>19050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34650" y="285750"/>
          <a:ext cx="6638925" cy="518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2905125</xdr:colOff>
          <xdr:row>1</xdr:row>
          <xdr:rowOff>28575</xdr:rowOff>
        </xdr:from>
        <xdr:to>
          <xdr:col>5</xdr:col>
          <xdr:colOff>2505075</xdr:colOff>
          <xdr:row>3</xdr:row>
          <xdr:rowOff>276225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</a:rPr>
                <a:t>Make MotorSr_prm.h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gi.fagnano/Downloads/430806-%20GESE%20Mci%20parameters%20Class%20A%20ptr%20-%20DTC%20Vari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gi.fagnano/Downloads/GESE%20SrMci%20parameters%20Class%20B%20ptr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ssio.beato/Lavoro/GESE/HA_DTC/415599-%20GESE%20DTC%20Mci%20parameters%20Class%20A%20-%20Speed%20controller%20parameter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ssio.beato/Lavoro/MCI2/Parametrization/Copy%20of%20Parameter_List_DD_TM2_VF_ClassA_and_ClassB_ETNA_release_0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gi.fagnano/Downloads/430806-%20GESE%20Mci%20parameters%20Class%20A%20ptr%20-%20DTC%20Variant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Instructions"/>
      <sheetName val="GUI forms"/>
      <sheetName val="Parameters definition"/>
      <sheetName val="Displ0"/>
      <sheetName val="Displ1"/>
      <sheetName val="Displ3"/>
      <sheetName val="Displ4"/>
      <sheetName val="Displ5"/>
      <sheetName val="Data validation entries"/>
      <sheetName val="Plan1"/>
    </sheetNames>
    <sheetDataSet>
      <sheetData sheetId="0"/>
      <sheetData sheetId="1"/>
      <sheetData sheetId="2">
        <row r="3">
          <cell r="C3">
            <v>97</v>
          </cell>
        </row>
        <row r="4">
          <cell r="C4">
            <v>8000</v>
          </cell>
        </row>
        <row r="8">
          <cell r="C8">
            <v>7.27</v>
          </cell>
        </row>
        <row r="9">
          <cell r="C9">
            <v>0.41639999999999999</v>
          </cell>
        </row>
        <row r="11">
          <cell r="C11">
            <v>79.3</v>
          </cell>
        </row>
        <row r="14">
          <cell r="C14">
            <v>12</v>
          </cell>
        </row>
        <row r="18">
          <cell r="C18">
            <v>443.40499999999997</v>
          </cell>
        </row>
        <row r="19">
          <cell r="C19">
            <v>7.5</v>
          </cell>
        </row>
        <row r="25">
          <cell r="C25">
            <v>443.40499999999997</v>
          </cell>
        </row>
        <row r="28">
          <cell r="C28">
            <v>3.1415926535897931</v>
          </cell>
        </row>
        <row r="30">
          <cell r="C30">
            <v>1.03115</v>
          </cell>
        </row>
        <row r="31">
          <cell r="C31">
            <v>176.04823949999999</v>
          </cell>
        </row>
        <row r="33">
          <cell r="C33">
            <v>108.71375856615711</v>
          </cell>
        </row>
        <row r="34">
          <cell r="C34">
            <v>26.989983775437643</v>
          </cell>
        </row>
        <row r="35">
          <cell r="C35">
            <v>248.26649479709647</v>
          </cell>
        </row>
        <row r="36">
          <cell r="C36">
            <v>197.5641992552811</v>
          </cell>
        </row>
        <row r="37">
          <cell r="C37">
            <v>1.2654114507708168E-2</v>
          </cell>
        </row>
        <row r="42">
          <cell r="C42">
            <v>0</v>
          </cell>
        </row>
        <row r="43">
          <cell r="C43">
            <v>0.7</v>
          </cell>
        </row>
        <row r="44">
          <cell r="C44">
            <v>80</v>
          </cell>
        </row>
        <row r="46">
          <cell r="C46">
            <v>40</v>
          </cell>
        </row>
        <row r="48">
          <cell r="C48">
            <v>0.01</v>
          </cell>
        </row>
        <row r="51">
          <cell r="C51">
            <v>0.5</v>
          </cell>
        </row>
        <row r="52">
          <cell r="C52">
            <v>50</v>
          </cell>
        </row>
        <row r="53">
          <cell r="C53">
            <v>400</v>
          </cell>
        </row>
        <row r="56">
          <cell r="C56">
            <v>1.25E-4</v>
          </cell>
        </row>
        <row r="57">
          <cell r="C57">
            <v>79.3</v>
          </cell>
        </row>
        <row r="58">
          <cell r="C58">
            <v>79.3</v>
          </cell>
        </row>
        <row r="59">
          <cell r="C59">
            <v>79.3</v>
          </cell>
        </row>
        <row r="60">
          <cell r="C60">
            <v>79.3</v>
          </cell>
        </row>
        <row r="61">
          <cell r="C61">
            <v>67.242999999999995</v>
          </cell>
        </row>
        <row r="62">
          <cell r="C62">
            <v>62.73</v>
          </cell>
        </row>
        <row r="63">
          <cell r="C63">
            <v>60.828699999999998</v>
          </cell>
        </row>
        <row r="64">
          <cell r="C64">
            <v>57.44</v>
          </cell>
        </row>
        <row r="65">
          <cell r="C65">
            <v>57.664999999999999</v>
          </cell>
        </row>
        <row r="66">
          <cell r="C66">
            <v>55</v>
          </cell>
        </row>
        <row r="67">
          <cell r="C67">
            <v>55</v>
          </cell>
        </row>
        <row r="68">
          <cell r="C68">
            <v>55</v>
          </cell>
        </row>
        <row r="69">
          <cell r="C69">
            <v>55</v>
          </cell>
        </row>
        <row r="70">
          <cell r="C70">
            <v>55</v>
          </cell>
        </row>
        <row r="71">
          <cell r="C71">
            <v>55</v>
          </cell>
        </row>
        <row r="72">
          <cell r="C72">
            <v>55</v>
          </cell>
        </row>
        <row r="73">
          <cell r="C73">
            <v>0</v>
          </cell>
        </row>
        <row r="74">
          <cell r="C74">
            <v>0.65</v>
          </cell>
        </row>
        <row r="75">
          <cell r="C75">
            <v>1.3</v>
          </cell>
        </row>
        <row r="76">
          <cell r="C76">
            <v>1.95</v>
          </cell>
        </row>
        <row r="77">
          <cell r="C77">
            <v>2.6</v>
          </cell>
        </row>
        <row r="78">
          <cell r="C78">
            <v>3.25</v>
          </cell>
        </row>
        <row r="79">
          <cell r="C79">
            <v>3.9</v>
          </cell>
        </row>
        <row r="80">
          <cell r="C80">
            <v>4.55</v>
          </cell>
        </row>
        <row r="81">
          <cell r="C81">
            <v>5.2</v>
          </cell>
        </row>
        <row r="82">
          <cell r="C82">
            <v>5.85</v>
          </cell>
        </row>
        <row r="83">
          <cell r="C83">
            <v>6.5</v>
          </cell>
        </row>
        <row r="84">
          <cell r="C84">
            <v>7.15</v>
          </cell>
        </row>
        <row r="85">
          <cell r="C85">
            <v>7.15</v>
          </cell>
        </row>
        <row r="86">
          <cell r="C86">
            <v>7.15</v>
          </cell>
        </row>
        <row r="87">
          <cell r="C87">
            <v>7.15</v>
          </cell>
        </row>
        <row r="88">
          <cell r="C88">
            <v>7.15</v>
          </cell>
        </row>
        <row r="89">
          <cell r="C89">
            <v>74.599999999999994</v>
          </cell>
        </row>
        <row r="90">
          <cell r="C90">
            <v>72</v>
          </cell>
        </row>
        <row r="91">
          <cell r="C91">
            <v>69</v>
          </cell>
        </row>
        <row r="92">
          <cell r="C92">
            <v>66</v>
          </cell>
        </row>
        <row r="93">
          <cell r="C93">
            <v>63</v>
          </cell>
        </row>
        <row r="94">
          <cell r="C94">
            <v>59</v>
          </cell>
        </row>
        <row r="95">
          <cell r="C95">
            <v>57</v>
          </cell>
        </row>
        <row r="96">
          <cell r="C96">
            <v>55</v>
          </cell>
        </row>
        <row r="97">
          <cell r="C97">
            <v>53</v>
          </cell>
        </row>
        <row r="98">
          <cell r="C98">
            <v>51</v>
          </cell>
        </row>
        <row r="99">
          <cell r="C99">
            <v>49</v>
          </cell>
        </row>
        <row r="100">
          <cell r="C100">
            <v>47</v>
          </cell>
        </row>
        <row r="101">
          <cell r="C101">
            <v>47</v>
          </cell>
        </row>
        <row r="102">
          <cell r="C102">
            <v>47</v>
          </cell>
        </row>
        <row r="103">
          <cell r="C103">
            <v>47</v>
          </cell>
        </row>
        <row r="104">
          <cell r="C104">
            <v>47</v>
          </cell>
        </row>
        <row r="105">
          <cell r="C105">
            <v>0</v>
          </cell>
        </row>
        <row r="106">
          <cell r="C106">
            <v>0.65</v>
          </cell>
        </row>
        <row r="107">
          <cell r="C107">
            <v>1.3</v>
          </cell>
        </row>
        <row r="108">
          <cell r="C108">
            <v>1.95</v>
          </cell>
        </row>
        <row r="109">
          <cell r="C109">
            <v>2.6</v>
          </cell>
        </row>
        <row r="110">
          <cell r="C110">
            <v>3.25</v>
          </cell>
        </row>
        <row r="111">
          <cell r="C111">
            <v>3.9</v>
          </cell>
        </row>
        <row r="112">
          <cell r="C112">
            <v>4.55</v>
          </cell>
        </row>
        <row r="113">
          <cell r="C113">
            <v>5.2</v>
          </cell>
        </row>
        <row r="114">
          <cell r="C114">
            <v>5.85</v>
          </cell>
        </row>
        <row r="115">
          <cell r="C115">
            <v>6.5</v>
          </cell>
        </row>
        <row r="116">
          <cell r="C116">
            <v>7.15</v>
          </cell>
        </row>
        <row r="117">
          <cell r="C117">
            <v>7.15</v>
          </cell>
        </row>
        <row r="118">
          <cell r="C118">
            <v>7.15</v>
          </cell>
        </row>
        <row r="119">
          <cell r="C119">
            <v>7.15</v>
          </cell>
        </row>
        <row r="120">
          <cell r="C120">
            <v>7.15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56">
          <cell r="C156">
            <v>0.5</v>
          </cell>
        </row>
        <row r="157">
          <cell r="C157">
            <v>1.625</v>
          </cell>
        </row>
        <row r="183">
          <cell r="C183">
            <v>1</v>
          </cell>
        </row>
        <row r="184">
          <cell r="C184">
            <v>95</v>
          </cell>
        </row>
        <row r="185">
          <cell r="C185">
            <v>1.5734100341796876E-4</v>
          </cell>
        </row>
        <row r="186">
          <cell r="C186">
            <v>95</v>
          </cell>
        </row>
        <row r="187">
          <cell r="C187">
            <v>1.25E-4</v>
          </cell>
        </row>
        <row r="192">
          <cell r="C192">
            <v>1</v>
          </cell>
        </row>
        <row r="194">
          <cell r="C194">
            <v>17.844999999999999</v>
          </cell>
        </row>
        <row r="195">
          <cell r="C195">
            <v>1040.308</v>
          </cell>
        </row>
        <row r="196">
          <cell r="C196">
            <v>1634.2966666666669</v>
          </cell>
        </row>
        <row r="197">
          <cell r="C197">
            <v>725000</v>
          </cell>
        </row>
        <row r="198">
          <cell r="C198">
            <v>200</v>
          </cell>
        </row>
        <row r="199">
          <cell r="C199">
            <v>2</v>
          </cell>
        </row>
        <row r="200">
          <cell r="C200">
            <v>35.69</v>
          </cell>
        </row>
        <row r="201">
          <cell r="C201">
            <v>2600.77</v>
          </cell>
        </row>
        <row r="202">
          <cell r="C202">
            <v>4902.8900000000003</v>
          </cell>
        </row>
        <row r="203">
          <cell r="C203">
            <v>1450000</v>
          </cell>
        </row>
        <row r="204">
          <cell r="C204">
            <v>800</v>
          </cell>
        </row>
        <row r="205">
          <cell r="C205">
            <v>3</v>
          </cell>
        </row>
        <row r="206">
          <cell r="C206">
            <v>35.69</v>
          </cell>
        </row>
        <row r="207">
          <cell r="C207">
            <v>2600.77</v>
          </cell>
        </row>
        <row r="208">
          <cell r="C208">
            <v>4902.8900000000003</v>
          </cell>
        </row>
        <row r="209">
          <cell r="C209">
            <v>1450000</v>
          </cell>
        </row>
        <row r="210">
          <cell r="C210">
            <v>1500</v>
          </cell>
        </row>
        <row r="211">
          <cell r="C211">
            <v>3</v>
          </cell>
        </row>
        <row r="483">
          <cell r="C483">
            <v>1.25E-4</v>
          </cell>
        </row>
        <row r="484">
          <cell r="C484">
            <v>1</v>
          </cell>
        </row>
        <row r="485">
          <cell r="C485">
            <v>0.75</v>
          </cell>
        </row>
        <row r="486">
          <cell r="C486">
            <v>120</v>
          </cell>
        </row>
        <row r="487">
          <cell r="C487">
            <v>1.574E-4</v>
          </cell>
        </row>
        <row r="491">
          <cell r="C491">
            <v>20</v>
          </cell>
        </row>
        <row r="492">
          <cell r="C492">
            <v>60</v>
          </cell>
        </row>
        <row r="493">
          <cell r="C493">
            <v>5</v>
          </cell>
        </row>
        <row r="494">
          <cell r="C494">
            <v>1.8</v>
          </cell>
        </row>
        <row r="498">
          <cell r="C498">
            <v>5410</v>
          </cell>
        </row>
        <row r="499">
          <cell r="C499">
            <v>3.4000000000000002E-2</v>
          </cell>
        </row>
        <row r="500">
          <cell r="C500">
            <v>5410</v>
          </cell>
        </row>
        <row r="501">
          <cell r="C501">
            <v>3.4000000000000002E-2</v>
          </cell>
        </row>
        <row r="502">
          <cell r="C502">
            <v>1.25E-4</v>
          </cell>
        </row>
        <row r="506">
          <cell r="C506">
            <v>5</v>
          </cell>
        </row>
        <row r="507">
          <cell r="C507">
            <v>2.5</v>
          </cell>
        </row>
        <row r="508">
          <cell r="C508">
            <v>4.5</v>
          </cell>
        </row>
        <row r="509">
          <cell r="C509">
            <v>1</v>
          </cell>
        </row>
        <row r="510">
          <cell r="C510">
            <v>0.7</v>
          </cell>
        </row>
        <row r="511">
          <cell r="C511">
            <v>0.7</v>
          </cell>
        </row>
        <row r="512">
          <cell r="C512">
            <v>0.4</v>
          </cell>
        </row>
        <row r="513">
          <cell r="C513">
            <v>7.8125E-2</v>
          </cell>
        </row>
        <row r="514">
          <cell r="C514">
            <v>7.8125E-2</v>
          </cell>
        </row>
        <row r="515">
          <cell r="C515">
            <v>7.8125E-2</v>
          </cell>
        </row>
        <row r="516">
          <cell r="C516">
            <v>0.1</v>
          </cell>
        </row>
        <row r="517">
          <cell r="C517">
            <v>300</v>
          </cell>
        </row>
        <row r="518">
          <cell r="C518">
            <v>7.27</v>
          </cell>
        </row>
        <row r="519">
          <cell r="C519">
            <v>3</v>
          </cell>
        </row>
        <row r="520">
          <cell r="C520">
            <v>3.5</v>
          </cell>
        </row>
        <row r="521">
          <cell r="C521">
            <v>0.3</v>
          </cell>
        </row>
        <row r="523">
          <cell r="C523">
            <v>1E-3</v>
          </cell>
        </row>
        <row r="524">
          <cell r="C524">
            <v>1.25E-4</v>
          </cell>
        </row>
        <row r="526">
          <cell r="C526">
            <v>150</v>
          </cell>
        </row>
        <row r="527">
          <cell r="C527">
            <v>1</v>
          </cell>
        </row>
        <row r="528">
          <cell r="C528">
            <v>2</v>
          </cell>
        </row>
        <row r="529">
          <cell r="C529">
            <v>5</v>
          </cell>
        </row>
        <row r="530">
          <cell r="C530">
            <v>3</v>
          </cell>
        </row>
        <row r="532">
          <cell r="C532">
            <v>7.15</v>
          </cell>
        </row>
        <row r="533">
          <cell r="C533">
            <v>248.1389578163772</v>
          </cell>
        </row>
        <row r="534">
          <cell r="C534">
            <v>24</v>
          </cell>
        </row>
        <row r="535">
          <cell r="C535">
            <v>250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 forms"/>
      <sheetName val="Motor SR Table"/>
      <sheetName val="Displ0"/>
      <sheetName val="Displ1"/>
    </sheetNames>
    <sheetDataSet>
      <sheetData sheetId="0"/>
      <sheetData sheetId="1">
        <row r="7">
          <cell r="C7">
            <v>60</v>
          </cell>
        </row>
        <row r="8">
          <cell r="C8">
            <v>1</v>
          </cell>
        </row>
        <row r="9">
          <cell r="C9">
            <v>3</v>
          </cell>
        </row>
      </sheetData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Instructions"/>
      <sheetName val="GUI forms"/>
      <sheetName val="Parameters definition"/>
      <sheetName val="Parameters to Data Structure"/>
      <sheetName val="Data validation entries"/>
      <sheetName val="Plan1"/>
      <sheetName val="415599- GESE DTC Mci parameters"/>
    </sheetNames>
    <sheetDataSet>
      <sheetData sheetId="0" refreshError="1"/>
      <sheetData sheetId="1" refreshError="1"/>
      <sheetData sheetId="2">
        <row r="8">
          <cell r="C8">
            <v>7.27</v>
          </cell>
        </row>
        <row r="9">
          <cell r="C9">
            <v>0.41639999999999999</v>
          </cell>
        </row>
        <row r="10">
          <cell r="C10">
            <v>60</v>
          </cell>
        </row>
        <row r="11">
          <cell r="C11">
            <v>79.3</v>
          </cell>
        </row>
        <row r="13">
          <cell r="C13">
            <v>79.3</v>
          </cell>
        </row>
        <row r="14">
          <cell r="C14">
            <v>12</v>
          </cell>
        </row>
        <row r="18">
          <cell r="C18">
            <v>443.40499999999997</v>
          </cell>
        </row>
        <row r="19">
          <cell r="C19">
            <v>7.5</v>
          </cell>
        </row>
        <row r="24">
          <cell r="C24">
            <v>255.99999611002602</v>
          </cell>
        </row>
        <row r="25">
          <cell r="C25">
            <v>443.40499999999997</v>
          </cell>
        </row>
        <row r="26">
          <cell r="C26">
            <v>9.4849999999999994</v>
          </cell>
        </row>
        <row r="30">
          <cell r="C30">
            <v>1.03115</v>
          </cell>
        </row>
        <row r="31">
          <cell r="C31">
            <v>176.04823949999999</v>
          </cell>
        </row>
        <row r="33">
          <cell r="C33">
            <v>108.71375856615711</v>
          </cell>
        </row>
        <row r="34">
          <cell r="C34">
            <v>26.989983775437643</v>
          </cell>
        </row>
        <row r="35">
          <cell r="C35">
            <v>248.26649479709647</v>
          </cell>
        </row>
        <row r="36">
          <cell r="C36">
            <v>197.5641992552811</v>
          </cell>
        </row>
        <row r="42">
          <cell r="C42">
            <v>0</v>
          </cell>
        </row>
        <row r="43">
          <cell r="C43">
            <v>0.7</v>
          </cell>
        </row>
        <row r="44">
          <cell r="C44">
            <v>80</v>
          </cell>
        </row>
        <row r="46">
          <cell r="C46">
            <v>40</v>
          </cell>
        </row>
        <row r="48">
          <cell r="C48">
            <v>0.01</v>
          </cell>
        </row>
        <row r="51">
          <cell r="C51">
            <v>0.5</v>
          </cell>
        </row>
        <row r="52">
          <cell r="C52">
            <v>50</v>
          </cell>
        </row>
        <row r="53">
          <cell r="C53">
            <v>400</v>
          </cell>
        </row>
        <row r="56">
          <cell r="C56">
            <v>1.25E-4</v>
          </cell>
        </row>
        <row r="57">
          <cell r="C57">
            <v>79.3</v>
          </cell>
        </row>
        <row r="58">
          <cell r="C58">
            <v>79.3</v>
          </cell>
        </row>
        <row r="59">
          <cell r="C59">
            <v>79.3</v>
          </cell>
        </row>
        <row r="60">
          <cell r="C60">
            <v>79.3</v>
          </cell>
        </row>
        <row r="61">
          <cell r="C61">
            <v>67.242999999999995</v>
          </cell>
        </row>
        <row r="62">
          <cell r="C62">
            <v>62.73</v>
          </cell>
        </row>
        <row r="63">
          <cell r="C63">
            <v>60.828699999999998</v>
          </cell>
        </row>
        <row r="64">
          <cell r="C64">
            <v>57.44</v>
          </cell>
        </row>
        <row r="65">
          <cell r="C65">
            <v>57.664999999999999</v>
          </cell>
        </row>
        <row r="66">
          <cell r="C66">
            <v>55</v>
          </cell>
        </row>
        <row r="67">
          <cell r="C67">
            <v>55</v>
          </cell>
        </row>
        <row r="68">
          <cell r="C68">
            <v>55</v>
          </cell>
        </row>
        <row r="69">
          <cell r="C69">
            <v>55</v>
          </cell>
        </row>
        <row r="70">
          <cell r="C70">
            <v>55</v>
          </cell>
        </row>
        <row r="71">
          <cell r="C71">
            <v>55</v>
          </cell>
        </row>
        <row r="72">
          <cell r="C72">
            <v>55</v>
          </cell>
        </row>
        <row r="73">
          <cell r="C73">
            <v>0</v>
          </cell>
        </row>
        <row r="74">
          <cell r="C74">
            <v>0.65</v>
          </cell>
        </row>
        <row r="75">
          <cell r="C75">
            <v>1.3</v>
          </cell>
        </row>
        <row r="76">
          <cell r="C76">
            <v>1.95</v>
          </cell>
        </row>
        <row r="77">
          <cell r="C77">
            <v>2.6</v>
          </cell>
        </row>
        <row r="78">
          <cell r="C78">
            <v>3.25</v>
          </cell>
        </row>
        <row r="79">
          <cell r="C79">
            <v>3.9</v>
          </cell>
        </row>
        <row r="80">
          <cell r="C80">
            <v>4.55</v>
          </cell>
        </row>
        <row r="81">
          <cell r="C81">
            <v>5.2</v>
          </cell>
        </row>
        <row r="82">
          <cell r="C82">
            <v>5.85</v>
          </cell>
        </row>
        <row r="83">
          <cell r="C83">
            <v>6.5</v>
          </cell>
        </row>
        <row r="84">
          <cell r="C84">
            <v>7.15</v>
          </cell>
        </row>
        <row r="85">
          <cell r="C85">
            <v>7.15</v>
          </cell>
        </row>
        <row r="86">
          <cell r="C86">
            <v>7.15</v>
          </cell>
        </row>
        <row r="87">
          <cell r="C87">
            <v>7.15</v>
          </cell>
        </row>
        <row r="88">
          <cell r="C88">
            <v>7.15</v>
          </cell>
        </row>
        <row r="89">
          <cell r="C89">
            <v>74.599999999999994</v>
          </cell>
        </row>
        <row r="90">
          <cell r="C90">
            <v>72</v>
          </cell>
        </row>
        <row r="91">
          <cell r="C91">
            <v>69</v>
          </cell>
        </row>
        <row r="92">
          <cell r="C92">
            <v>66</v>
          </cell>
        </row>
        <row r="93">
          <cell r="C93">
            <v>63</v>
          </cell>
        </row>
        <row r="94">
          <cell r="C94">
            <v>59</v>
          </cell>
        </row>
        <row r="95">
          <cell r="C95">
            <v>57</v>
          </cell>
        </row>
        <row r="96">
          <cell r="C96">
            <v>55</v>
          </cell>
        </row>
        <row r="97">
          <cell r="C97">
            <v>53</v>
          </cell>
        </row>
        <row r="98">
          <cell r="C98">
            <v>51</v>
          </cell>
        </row>
        <row r="99">
          <cell r="C99">
            <v>49</v>
          </cell>
        </row>
        <row r="100">
          <cell r="C100">
            <v>47</v>
          </cell>
        </row>
        <row r="101">
          <cell r="C101">
            <v>47</v>
          </cell>
        </row>
        <row r="102">
          <cell r="C102">
            <v>47</v>
          </cell>
        </row>
        <row r="103">
          <cell r="C103">
            <v>47</v>
          </cell>
        </row>
        <row r="104">
          <cell r="C104">
            <v>47</v>
          </cell>
        </row>
        <row r="105">
          <cell r="C105">
            <v>0</v>
          </cell>
        </row>
        <row r="106">
          <cell r="C106">
            <v>0.65</v>
          </cell>
        </row>
        <row r="107">
          <cell r="C107">
            <v>1.3</v>
          </cell>
        </row>
        <row r="108">
          <cell r="C108">
            <v>1.95</v>
          </cell>
        </row>
        <row r="109">
          <cell r="C109">
            <v>2.6</v>
          </cell>
        </row>
        <row r="110">
          <cell r="C110">
            <v>3.25</v>
          </cell>
        </row>
        <row r="111">
          <cell r="C111">
            <v>3.9</v>
          </cell>
        </row>
        <row r="112">
          <cell r="C112">
            <v>4.55</v>
          </cell>
        </row>
        <row r="113">
          <cell r="C113">
            <v>5.2</v>
          </cell>
        </row>
        <row r="114">
          <cell r="C114">
            <v>5.85</v>
          </cell>
        </row>
        <row r="115">
          <cell r="C115">
            <v>6.5</v>
          </cell>
        </row>
        <row r="116">
          <cell r="C116">
            <v>7.15</v>
          </cell>
        </row>
        <row r="117">
          <cell r="C117">
            <v>7.15</v>
          </cell>
        </row>
        <row r="118">
          <cell r="C118">
            <v>7.15</v>
          </cell>
        </row>
        <row r="119">
          <cell r="C119">
            <v>7.15</v>
          </cell>
        </row>
        <row r="120">
          <cell r="C120">
            <v>7.15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40">
          <cell r="C140">
            <v>0</v>
          </cell>
        </row>
        <row r="149">
          <cell r="C149">
            <v>8.715574274765836E-2</v>
          </cell>
        </row>
        <row r="150">
          <cell r="C150">
            <v>0</v>
          </cell>
        </row>
        <row r="151">
          <cell r="C151">
            <v>0</v>
          </cell>
        </row>
        <row r="153">
          <cell r="C153">
            <v>0.5</v>
          </cell>
        </row>
        <row r="154">
          <cell r="C154">
            <v>15.2</v>
          </cell>
        </row>
        <row r="155">
          <cell r="C155">
            <v>1</v>
          </cell>
        </row>
        <row r="156">
          <cell r="C156">
            <v>0.5</v>
          </cell>
        </row>
        <row r="157">
          <cell r="C157">
            <v>1.625</v>
          </cell>
        </row>
        <row r="158">
          <cell r="C158">
            <v>200</v>
          </cell>
        </row>
        <row r="159">
          <cell r="C159">
            <v>2</v>
          </cell>
        </row>
        <row r="160">
          <cell r="C160">
            <v>0.1</v>
          </cell>
        </row>
        <row r="161">
          <cell r="C161">
            <v>0.32500000000000001</v>
          </cell>
        </row>
        <row r="162">
          <cell r="C162">
            <v>1500</v>
          </cell>
        </row>
        <row r="163">
          <cell r="C163">
            <v>2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2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2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2</v>
          </cell>
        </row>
        <row r="176">
          <cell r="C176">
            <v>3.5</v>
          </cell>
        </row>
        <row r="498">
          <cell r="C498">
            <v>5410</v>
          </cell>
        </row>
        <row r="499">
          <cell r="C499">
            <v>3.4000000000000002E-2</v>
          </cell>
        </row>
      </sheetData>
      <sheetData sheetId="3"/>
      <sheetData sheetId="4">
        <row r="8">
          <cell r="F8" t="str">
            <v>sint8</v>
          </cell>
        </row>
        <row r="9">
          <cell r="F9" t="str">
            <v>sint16</v>
          </cell>
        </row>
        <row r="10">
          <cell r="F10" t="str">
            <v>sint32</v>
          </cell>
        </row>
        <row r="11">
          <cell r="F11" t="str">
            <v>sint64</v>
          </cell>
        </row>
        <row r="12">
          <cell r="F12" t="str">
            <v>uint8</v>
          </cell>
        </row>
        <row r="13">
          <cell r="F13" t="str">
            <v>uint16</v>
          </cell>
        </row>
        <row r="14">
          <cell r="F14" t="str">
            <v>uint32</v>
          </cell>
        </row>
        <row r="15">
          <cell r="F15" t="str">
            <v>uint64</v>
          </cell>
        </row>
        <row r="16">
          <cell r="F16" t="str">
            <v>float32</v>
          </cell>
        </row>
        <row r="17">
          <cell r="F17" t="str">
            <v>double64</v>
          </cell>
        </row>
      </sheetData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 List (Class A- ETNA)"/>
      <sheetName val="JANUS DD Mcl Params "/>
      <sheetName val="Motor Parameters List"/>
      <sheetName val="Motor Class B"/>
      <sheetName val="Plan4"/>
      <sheetName val="Param_Of_Motors"/>
      <sheetName val="IpmTemp Etna"/>
      <sheetName val="Dt etna"/>
      <sheetName val="draft mtpa lut"/>
      <sheetName val="draft lut ld"/>
      <sheetName val="draft lut lq"/>
      <sheetName val="draft lut ldq"/>
      <sheetName val="Test Plan"/>
      <sheetName val="Defines to be tested"/>
      <sheetName val="Plan3"/>
    </sheetNames>
    <sheetDataSet>
      <sheetData sheetId="0"/>
      <sheetData sheetId="1"/>
      <sheetData sheetId="2">
        <row r="1122">
          <cell r="G1122">
            <v>200</v>
          </cell>
        </row>
        <row r="1140">
          <cell r="G1140">
            <v>6.5668013106286649E-3</v>
          </cell>
        </row>
        <row r="1141">
          <cell r="G1141">
            <v>288</v>
          </cell>
        </row>
        <row r="1142">
          <cell r="G1142">
            <v>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 Instructions"/>
      <sheetName val="GUI forms"/>
      <sheetName val="Parameters definition"/>
      <sheetName val="Displ0"/>
      <sheetName val="Displ1"/>
      <sheetName val="Displ3"/>
      <sheetName val="Displ4"/>
      <sheetName val="Displ5"/>
      <sheetName val="Data validation entries"/>
      <sheetName val="Plan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F8" t="str">
            <v>sint8</v>
          </cell>
        </row>
        <row r="9">
          <cell r="F9" t="str">
            <v>sint16</v>
          </cell>
        </row>
        <row r="10">
          <cell r="F10" t="str">
            <v>sint32</v>
          </cell>
        </row>
        <row r="11">
          <cell r="F11" t="str">
            <v>sint64</v>
          </cell>
        </row>
        <row r="12">
          <cell r="F12" t="str">
            <v>uint8</v>
          </cell>
        </row>
        <row r="13">
          <cell r="F13" t="str">
            <v>uint16</v>
          </cell>
        </row>
        <row r="14">
          <cell r="F14" t="str">
            <v>uint32</v>
          </cell>
        </row>
        <row r="15">
          <cell r="F15" t="str">
            <v>uint64</v>
          </cell>
        </row>
        <row r="16">
          <cell r="F16" t="str">
            <v>float32</v>
          </cell>
        </row>
        <row r="17">
          <cell r="F17" t="str">
            <v>double64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C8"/>
  <sheetViews>
    <sheetView workbookViewId="0">
      <selection activeCell="Y9" sqref="Y9"/>
    </sheetView>
  </sheetViews>
  <sheetFormatPr defaultRowHeight="15" x14ac:dyDescent="0.25"/>
  <cols>
    <col min="1" max="16384" width="9.140625" style="26"/>
  </cols>
  <sheetData>
    <row r="3" spans="3:3" x14ac:dyDescent="0.25">
      <c r="C3" s="26" t="s">
        <v>59</v>
      </c>
    </row>
    <row r="5" spans="3:3" x14ac:dyDescent="0.25">
      <c r="C5" s="67" t="s">
        <v>60</v>
      </c>
    </row>
    <row r="6" spans="3:3" x14ac:dyDescent="0.25">
      <c r="C6" s="26" t="s">
        <v>70</v>
      </c>
    </row>
    <row r="7" spans="3:3" x14ac:dyDescent="0.25">
      <c r="C7" s="26" t="s">
        <v>69</v>
      </c>
    </row>
    <row r="8" spans="3:3" x14ac:dyDescent="0.25">
      <c r="C8" s="26" t="s">
        <v>71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5"/>
  <sheetViews>
    <sheetView zoomScaleNormal="100" workbookViewId="0">
      <selection activeCell="B24" sqref="B24"/>
    </sheetView>
  </sheetViews>
  <sheetFormatPr defaultRowHeight="15" x14ac:dyDescent="0.25"/>
  <cols>
    <col min="1" max="1" width="35.28515625" style="26" bestFit="1" customWidth="1"/>
    <col min="2" max="2" width="20.140625" style="26" customWidth="1"/>
    <col min="3" max="3" width="22.85546875" style="26" customWidth="1"/>
    <col min="4" max="4" width="18.140625" style="26" customWidth="1"/>
    <col min="5" max="5" width="17.7109375" style="26" customWidth="1"/>
    <col min="6" max="6" width="17.42578125" style="26" customWidth="1"/>
    <col min="7" max="7" width="18.28515625" style="26" customWidth="1"/>
    <col min="8" max="8" width="9.140625" style="26"/>
    <col min="9" max="9" width="17.28515625" style="26" customWidth="1"/>
    <col min="10" max="10" width="16.140625" style="26" customWidth="1"/>
    <col min="11" max="11" width="9.140625" style="26"/>
    <col min="12" max="12" width="22.140625" style="26" customWidth="1"/>
    <col min="13" max="13" width="9.140625" style="26"/>
    <col min="14" max="14" width="11.28515625" style="26" customWidth="1"/>
    <col min="15" max="15" width="13.85546875" style="26" customWidth="1"/>
    <col min="16" max="16" width="7.28515625" style="26" customWidth="1"/>
    <col min="17" max="17" width="17.28515625" style="26" customWidth="1"/>
    <col min="18" max="18" width="20.5703125" style="26" bestFit="1" customWidth="1"/>
    <col min="19" max="21" width="9.140625" style="26"/>
    <col min="22" max="22" width="16.7109375" style="26" bestFit="1" customWidth="1"/>
    <col min="23" max="23" width="19.5703125" style="26" bestFit="1" customWidth="1"/>
    <col min="24" max="16384" width="9.140625" style="26"/>
  </cols>
  <sheetData>
    <row r="1" spans="1:7" ht="17.25" x14ac:dyDescent="0.3">
      <c r="A1" s="105" t="s">
        <v>4</v>
      </c>
      <c r="B1" s="105"/>
      <c r="C1" s="105"/>
      <c r="D1" s="105"/>
      <c r="E1" s="105"/>
      <c r="F1" s="105"/>
    </row>
    <row r="2" spans="1:7" ht="17.25" x14ac:dyDescent="0.3">
      <c r="A2" s="103" t="s">
        <v>102</v>
      </c>
      <c r="B2" s="104"/>
      <c r="C2" s="104"/>
      <c r="D2" s="104"/>
      <c r="E2" s="104"/>
      <c r="F2" s="104"/>
    </row>
    <row r="3" spans="1:7" x14ac:dyDescent="0.25">
      <c r="A3" s="66" t="s">
        <v>53</v>
      </c>
      <c r="B3" s="66" t="s">
        <v>54</v>
      </c>
      <c r="C3" s="66" t="s">
        <v>55</v>
      </c>
      <c r="D3" s="66" t="s">
        <v>56</v>
      </c>
      <c r="E3" s="66" t="s">
        <v>57</v>
      </c>
      <c r="F3" s="66" t="s">
        <v>58</v>
      </c>
    </row>
    <row r="4" spans="1:7" x14ac:dyDescent="0.25">
      <c r="A4" s="29" t="s">
        <v>96</v>
      </c>
      <c r="B4" s="29" t="s">
        <v>97</v>
      </c>
      <c r="C4" s="91">
        <v>60</v>
      </c>
      <c r="D4" s="29">
        <v>0</v>
      </c>
      <c r="E4" s="29">
        <v>255</v>
      </c>
      <c r="F4" s="29">
        <v>5</v>
      </c>
    </row>
    <row r="5" spans="1:7" x14ac:dyDescent="0.25">
      <c r="A5" s="29" t="s">
        <v>98</v>
      </c>
      <c r="B5" s="29" t="s">
        <v>99</v>
      </c>
      <c r="C5" s="91">
        <v>20</v>
      </c>
      <c r="D5" s="29">
        <v>0</v>
      </c>
      <c r="E5" s="29">
        <v>255</v>
      </c>
      <c r="F5" s="29">
        <v>0</v>
      </c>
    </row>
    <row r="6" spans="1:7" ht="17.25" x14ac:dyDescent="0.3">
      <c r="A6" s="105" t="s">
        <v>61</v>
      </c>
      <c r="B6" s="105"/>
      <c r="C6" s="105"/>
      <c r="D6" s="105"/>
      <c r="E6" s="105"/>
      <c r="F6" s="105"/>
    </row>
    <row r="7" spans="1:7" ht="17.25" x14ac:dyDescent="0.3">
      <c r="A7" s="103" t="s">
        <v>63</v>
      </c>
      <c r="B7" s="104"/>
      <c r="C7" s="104"/>
      <c r="D7" s="104"/>
      <c r="E7" s="104"/>
      <c r="F7" s="104"/>
    </row>
    <row r="8" spans="1:7" x14ac:dyDescent="0.25">
      <c r="A8" s="66" t="s">
        <v>53</v>
      </c>
      <c r="B8" s="66" t="s">
        <v>54</v>
      </c>
      <c r="C8" s="66" t="s">
        <v>55</v>
      </c>
      <c r="D8" s="66" t="s">
        <v>56</v>
      </c>
      <c r="E8" s="66" t="s">
        <v>57</v>
      </c>
      <c r="F8" s="66" t="s">
        <v>58</v>
      </c>
    </row>
    <row r="9" spans="1:7" ht="15.75" x14ac:dyDescent="0.25">
      <c r="A9" s="27" t="s">
        <v>6</v>
      </c>
      <c r="B9" s="1" t="s">
        <v>1</v>
      </c>
      <c r="C9" s="54">
        <v>1</v>
      </c>
      <c r="D9" s="27">
        <v>1</v>
      </c>
      <c r="E9" s="27">
        <v>100</v>
      </c>
      <c r="F9" s="1">
        <v>0</v>
      </c>
    </row>
    <row r="10" spans="1:7" ht="15.75" x14ac:dyDescent="0.25">
      <c r="A10" s="27" t="s">
        <v>8</v>
      </c>
      <c r="B10" s="1" t="s">
        <v>0</v>
      </c>
      <c r="C10" s="54">
        <v>35</v>
      </c>
      <c r="D10" s="27">
        <v>0</v>
      </c>
      <c r="E10" s="27">
        <v>100</v>
      </c>
      <c r="F10" s="1">
        <v>0</v>
      </c>
    </row>
    <row r="11" spans="1:7" ht="15.75" x14ac:dyDescent="0.25">
      <c r="A11" s="27" t="s">
        <v>9</v>
      </c>
      <c r="B11" s="1" t="s">
        <v>0</v>
      </c>
      <c r="C11" s="54">
        <v>110</v>
      </c>
      <c r="D11" s="27">
        <v>0</v>
      </c>
      <c r="E11" s="27">
        <v>200</v>
      </c>
      <c r="F11" s="1">
        <v>0</v>
      </c>
    </row>
    <row r="12" spans="1:7" ht="15.75" x14ac:dyDescent="0.25">
      <c r="A12" s="27" t="s">
        <v>10</v>
      </c>
      <c r="B12" s="1" t="s">
        <v>0</v>
      </c>
      <c r="C12" s="54">
        <v>140</v>
      </c>
      <c r="D12" s="27">
        <v>0</v>
      </c>
      <c r="E12" s="27">
        <v>200</v>
      </c>
      <c r="F12" s="55">
        <v>0</v>
      </c>
    </row>
    <row r="13" spans="1:7" ht="30" customHeight="1" x14ac:dyDescent="0.25">
      <c r="A13" s="27" t="s">
        <v>7</v>
      </c>
      <c r="B13" s="1" t="s">
        <v>0</v>
      </c>
      <c r="C13" s="54">
        <v>25</v>
      </c>
      <c r="D13" s="27">
        <v>0</v>
      </c>
      <c r="E13" s="27">
        <v>200</v>
      </c>
      <c r="F13" s="1">
        <v>0</v>
      </c>
      <c r="G13" s="90" t="s">
        <v>91</v>
      </c>
    </row>
    <row r="14" spans="1:7" ht="15.75" x14ac:dyDescent="0.25">
      <c r="A14" s="30" t="s">
        <v>33</v>
      </c>
      <c r="B14" s="55" t="s">
        <v>34</v>
      </c>
      <c r="C14" s="54">
        <v>1284</v>
      </c>
      <c r="D14" s="30">
        <v>0</v>
      </c>
      <c r="E14" s="30">
        <v>10000</v>
      </c>
      <c r="F14" s="1">
        <v>0</v>
      </c>
    </row>
    <row r="15" spans="1:7" ht="17.25" x14ac:dyDescent="0.3">
      <c r="A15" s="103" t="s">
        <v>21</v>
      </c>
      <c r="B15" s="104"/>
      <c r="C15" s="104"/>
      <c r="D15" s="104"/>
      <c r="E15" s="104"/>
      <c r="F15" s="104"/>
    </row>
    <row r="16" spans="1:7" x14ac:dyDescent="0.25">
      <c r="A16" s="66" t="s">
        <v>53</v>
      </c>
      <c r="B16" s="66" t="s">
        <v>54</v>
      </c>
      <c r="C16" s="66" t="s">
        <v>55</v>
      </c>
      <c r="D16" s="66" t="s">
        <v>56</v>
      </c>
      <c r="E16" s="66" t="s">
        <v>57</v>
      </c>
      <c r="F16" s="66" t="s">
        <v>58</v>
      </c>
    </row>
    <row r="17" spans="1:12" ht="15.75" x14ac:dyDescent="0.25">
      <c r="A17" s="30" t="s">
        <v>24</v>
      </c>
      <c r="B17" s="55" t="s">
        <v>28</v>
      </c>
      <c r="C17" s="102">
        <v>3.70966E-3</v>
      </c>
      <c r="D17" s="30">
        <v>0</v>
      </c>
      <c r="E17" s="27">
        <v>5000</v>
      </c>
      <c r="F17" s="1">
        <v>2</v>
      </c>
    </row>
    <row r="18" spans="1:12" ht="15.75" x14ac:dyDescent="0.25">
      <c r="A18" s="30" t="s">
        <v>25</v>
      </c>
      <c r="B18" s="55" t="s">
        <v>29</v>
      </c>
      <c r="C18" s="54">
        <v>1.18432E-7</v>
      </c>
      <c r="D18" s="30">
        <v>0</v>
      </c>
      <c r="E18" s="27">
        <v>5000</v>
      </c>
      <c r="F18" s="1">
        <v>5</v>
      </c>
    </row>
    <row r="19" spans="1:12" ht="17.25" x14ac:dyDescent="0.3">
      <c r="A19" s="103" t="s">
        <v>20</v>
      </c>
      <c r="B19" s="104"/>
      <c r="C19" s="104"/>
      <c r="D19" s="104"/>
      <c r="E19" s="104"/>
      <c r="F19" s="104"/>
    </row>
    <row r="20" spans="1:12" x14ac:dyDescent="0.25">
      <c r="A20" s="66" t="s">
        <v>53</v>
      </c>
      <c r="B20" s="66" t="s">
        <v>54</v>
      </c>
      <c r="C20" s="66" t="s">
        <v>55</v>
      </c>
      <c r="D20" s="66" t="s">
        <v>56</v>
      </c>
      <c r="E20" s="66" t="s">
        <v>57</v>
      </c>
      <c r="F20" s="66" t="s">
        <v>58</v>
      </c>
    </row>
    <row r="21" spans="1:12" ht="15.75" x14ac:dyDescent="0.25">
      <c r="A21" s="30" t="s">
        <v>90</v>
      </c>
      <c r="B21" s="55" t="s">
        <v>18</v>
      </c>
      <c r="C21" s="58">
        <v>2.87</v>
      </c>
      <c r="D21" s="30">
        <v>0</v>
      </c>
      <c r="E21" s="30">
        <v>1000</v>
      </c>
      <c r="F21" s="1">
        <v>2</v>
      </c>
    </row>
    <row r="22" spans="1:12" ht="15.75" x14ac:dyDescent="0.25">
      <c r="A22" s="30" t="s">
        <v>62</v>
      </c>
      <c r="B22" s="55" t="s">
        <v>35</v>
      </c>
      <c r="C22" s="60">
        <v>4.3080000000000002E-3</v>
      </c>
      <c r="D22" s="30">
        <v>0</v>
      </c>
      <c r="E22" s="30">
        <v>1</v>
      </c>
      <c r="F22" s="1">
        <v>4</v>
      </c>
    </row>
    <row r="23" spans="1:12" ht="17.25" x14ac:dyDescent="0.3">
      <c r="A23" s="103" t="s">
        <v>19</v>
      </c>
      <c r="B23" s="104"/>
      <c r="C23" s="104"/>
      <c r="D23" s="104"/>
      <c r="E23" s="104"/>
      <c r="F23" s="104"/>
    </row>
    <row r="24" spans="1:12" x14ac:dyDescent="0.25">
      <c r="A24" s="66" t="s">
        <v>53</v>
      </c>
      <c r="B24" s="66" t="s">
        <v>54</v>
      </c>
      <c r="C24" s="66" t="s">
        <v>55</v>
      </c>
      <c r="D24" s="66" t="s">
        <v>56</v>
      </c>
      <c r="E24" s="66" t="s">
        <v>57</v>
      </c>
      <c r="F24" s="66" t="s">
        <v>58</v>
      </c>
    </row>
    <row r="25" spans="1:12" ht="15.75" x14ac:dyDescent="0.25">
      <c r="A25" s="30" t="s">
        <v>26</v>
      </c>
      <c r="B25" s="55" t="s">
        <v>27</v>
      </c>
      <c r="C25" s="54">
        <v>8000</v>
      </c>
      <c r="D25" s="30">
        <v>0</v>
      </c>
      <c r="E25" s="30">
        <v>20000</v>
      </c>
      <c r="F25" s="1">
        <v>0</v>
      </c>
      <c r="I25" s="67"/>
    </row>
    <row r="26" spans="1:12" ht="15.75" x14ac:dyDescent="0.25">
      <c r="A26" s="30" t="s">
        <v>15</v>
      </c>
      <c r="B26" s="55" t="s">
        <v>36</v>
      </c>
      <c r="C26" s="60">
        <v>0.52</v>
      </c>
      <c r="D26" s="30">
        <v>1</v>
      </c>
      <c r="E26" s="27">
        <v>5000</v>
      </c>
      <c r="F26" s="1">
        <v>4</v>
      </c>
    </row>
    <row r="27" spans="1:12" ht="15.75" x14ac:dyDescent="0.25">
      <c r="A27" s="30" t="s">
        <v>16</v>
      </c>
      <c r="B27" s="55" t="s">
        <v>37</v>
      </c>
      <c r="C27" s="61">
        <v>1.1999999999999999E-3</v>
      </c>
      <c r="D27" s="30">
        <v>0</v>
      </c>
      <c r="E27" s="30">
        <v>1000</v>
      </c>
      <c r="F27" s="1">
        <v>5</v>
      </c>
    </row>
    <row r="28" spans="1:12" ht="15.75" x14ac:dyDescent="0.25">
      <c r="A28" s="30" t="s">
        <v>17</v>
      </c>
      <c r="B28" s="55" t="s">
        <v>36</v>
      </c>
      <c r="C28" s="60">
        <v>1.7</v>
      </c>
      <c r="D28" s="30">
        <v>1</v>
      </c>
      <c r="E28" s="27">
        <v>5000</v>
      </c>
      <c r="F28" s="1">
        <v>4</v>
      </c>
    </row>
    <row r="32" spans="1:12" ht="17.25" x14ac:dyDescent="0.3">
      <c r="A32" s="106" t="s">
        <v>95</v>
      </c>
      <c r="B32" s="106"/>
      <c r="C32" s="106"/>
      <c r="D32" s="106"/>
      <c r="E32" s="106"/>
      <c r="F32" s="106"/>
      <c r="G32" s="94" t="s">
        <v>101</v>
      </c>
      <c r="H32" s="94"/>
      <c r="I32" s="94"/>
      <c r="J32" s="94"/>
      <c r="K32" s="94"/>
      <c r="L32" s="94"/>
    </row>
    <row r="33" spans="1:12" x14ac:dyDescent="0.25">
      <c r="A33" s="92" t="s">
        <v>53</v>
      </c>
      <c r="B33" s="92" t="s">
        <v>54</v>
      </c>
      <c r="C33" s="92" t="s">
        <v>55</v>
      </c>
      <c r="D33" s="92" t="s">
        <v>56</v>
      </c>
      <c r="E33" s="92" t="s">
        <v>57</v>
      </c>
      <c r="F33" s="92" t="s">
        <v>58</v>
      </c>
      <c r="G33" s="95" t="s">
        <v>103</v>
      </c>
      <c r="H33" s="94"/>
      <c r="I33" s="94"/>
      <c r="J33" s="94"/>
      <c r="K33" s="94"/>
      <c r="L33" s="94"/>
    </row>
    <row r="34" spans="1:12" x14ac:dyDescent="0.25">
      <c r="A34" s="93" t="s">
        <v>107</v>
      </c>
      <c r="B34" s="93" t="s">
        <v>106</v>
      </c>
      <c r="C34" s="97">
        <v>4</v>
      </c>
      <c r="D34" s="98">
        <v>0</v>
      </c>
      <c r="E34" s="99">
        <v>20</v>
      </c>
      <c r="F34" s="99">
        <v>0</v>
      </c>
      <c r="G34" s="96" t="s">
        <v>108</v>
      </c>
    </row>
    <row r="35" spans="1:12" x14ac:dyDescent="0.25">
      <c r="A35" s="99" t="s">
        <v>105</v>
      </c>
      <c r="B35" s="99" t="s">
        <v>106</v>
      </c>
      <c r="C35" s="100">
        <v>11.7</v>
      </c>
      <c r="D35" s="99">
        <v>0</v>
      </c>
      <c r="E35" s="101">
        <v>100</v>
      </c>
      <c r="F35" s="99">
        <v>2</v>
      </c>
      <c r="G35" s="96" t="s">
        <v>109</v>
      </c>
    </row>
  </sheetData>
  <mergeCells count="8">
    <mergeCell ref="A23:F23"/>
    <mergeCell ref="A7:F7"/>
    <mergeCell ref="A1:F1"/>
    <mergeCell ref="A32:F32"/>
    <mergeCell ref="A6:F6"/>
    <mergeCell ref="A15:F15"/>
    <mergeCell ref="A19:F19"/>
    <mergeCell ref="A2:F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H8" sqref="H8"/>
    </sheetView>
  </sheetViews>
  <sheetFormatPr defaultRowHeight="15" x14ac:dyDescent="0.25"/>
  <cols>
    <col min="1" max="1" width="10.28515625" style="33" bestFit="1" customWidth="1"/>
    <col min="2" max="2" width="6" style="26" hidden="1" customWidth="1"/>
    <col min="3" max="3" width="68.42578125" style="5" customWidth="1"/>
    <col min="4" max="4" width="8" style="26" bestFit="1" customWidth="1"/>
    <col min="5" max="5" width="14.28515625" style="26" customWidth="1"/>
    <col min="6" max="6" width="92.7109375" style="26" customWidth="1"/>
    <col min="7" max="7" width="12.140625" style="26" customWidth="1"/>
    <col min="8" max="8" width="11.7109375" style="26" bestFit="1" customWidth="1"/>
    <col min="9" max="10" width="23.5703125" style="82" customWidth="1"/>
    <col min="11" max="11" width="20.42578125" style="82" customWidth="1"/>
    <col min="12" max="26" width="9.140625" style="82"/>
    <col min="27" max="16384" width="9.140625" style="26"/>
  </cols>
  <sheetData>
    <row r="1" spans="1:26" ht="28.5" customHeight="1" x14ac:dyDescent="0.25">
      <c r="C1" s="107" t="s">
        <v>84</v>
      </c>
      <c r="D1" s="107"/>
      <c r="E1" s="107"/>
      <c r="F1" s="107"/>
      <c r="G1" s="107"/>
      <c r="H1" s="107"/>
      <c r="I1" s="107"/>
      <c r="J1" s="11"/>
      <c r="K1" s="11"/>
      <c r="L1" s="11"/>
      <c r="M1" s="11"/>
      <c r="N1" s="11"/>
      <c r="O1" s="11"/>
      <c r="P1" s="11"/>
      <c r="Q1" s="11"/>
    </row>
    <row r="2" spans="1:26" s="33" customFormat="1" ht="12.75" customHeight="1" x14ac:dyDescent="0.25">
      <c r="C2" s="83"/>
      <c r="D2" s="75"/>
      <c r="E2" s="75"/>
      <c r="F2" s="75"/>
      <c r="G2" s="75"/>
      <c r="H2" s="75"/>
      <c r="I2" s="9"/>
      <c r="J2" s="75"/>
      <c r="K2" s="75"/>
      <c r="L2" s="75"/>
      <c r="M2" s="75"/>
      <c r="N2" s="75"/>
      <c r="O2" s="75"/>
      <c r="P2" s="75"/>
      <c r="Q2" s="75"/>
      <c r="R2" s="9"/>
      <c r="S2" s="9"/>
      <c r="T2" s="9"/>
      <c r="U2" s="9"/>
      <c r="V2" s="9"/>
      <c r="W2" s="9"/>
      <c r="X2" s="9"/>
      <c r="Y2" s="9"/>
      <c r="Z2" s="9"/>
    </row>
    <row r="3" spans="1:26" s="33" customFormat="1" ht="19.5" customHeight="1" x14ac:dyDescent="0.3">
      <c r="A3" s="84"/>
      <c r="B3" s="84"/>
      <c r="C3" s="108" t="s">
        <v>76</v>
      </c>
      <c r="D3" s="108"/>
      <c r="E3" s="77">
        <f>SUM(E6:E1542)</f>
        <v>2</v>
      </c>
      <c r="F3" s="77"/>
      <c r="G3" s="77"/>
      <c r="H3" s="77"/>
      <c r="I3" s="85"/>
      <c r="J3" s="75"/>
      <c r="K3" s="75"/>
      <c r="L3" s="75"/>
      <c r="M3" s="75"/>
      <c r="N3" s="75"/>
      <c r="O3" s="75"/>
      <c r="P3" s="75"/>
      <c r="Q3" s="75"/>
      <c r="R3" s="9"/>
      <c r="S3" s="9"/>
      <c r="T3" s="9"/>
      <c r="U3" s="9"/>
      <c r="V3" s="9"/>
      <c r="W3" s="9"/>
      <c r="X3" s="9"/>
      <c r="Y3" s="9"/>
      <c r="Z3" s="9"/>
    </row>
    <row r="4" spans="1:26" s="33" customFormat="1" ht="12.75" customHeight="1" x14ac:dyDescent="0.3">
      <c r="A4" s="84"/>
      <c r="B4" s="84"/>
      <c r="C4" s="78"/>
      <c r="D4" s="77"/>
      <c r="E4" s="77"/>
      <c r="F4" s="86"/>
      <c r="G4" s="79"/>
      <c r="H4" s="79"/>
      <c r="I4" s="79"/>
      <c r="J4" s="75"/>
      <c r="K4" s="75"/>
      <c r="L4" s="75"/>
      <c r="M4" s="75"/>
      <c r="N4" s="75"/>
      <c r="O4" s="75"/>
      <c r="P4" s="75"/>
      <c r="Q4" s="75"/>
      <c r="R4" s="9"/>
      <c r="S4" s="9"/>
      <c r="T4" s="9"/>
      <c r="U4" s="9"/>
      <c r="V4" s="9"/>
      <c r="W4" s="9"/>
      <c r="X4" s="9"/>
      <c r="Y4" s="9"/>
      <c r="Z4" s="9"/>
    </row>
    <row r="5" spans="1:26" s="33" customFormat="1" ht="18.75" customHeight="1" x14ac:dyDescent="0.3">
      <c r="A5" s="77" t="s">
        <v>72</v>
      </c>
      <c r="B5" s="84"/>
      <c r="C5" s="78" t="s">
        <v>65</v>
      </c>
      <c r="D5" s="77" t="s">
        <v>73</v>
      </c>
      <c r="E5" s="77" t="s">
        <v>74</v>
      </c>
      <c r="F5" s="77" t="s">
        <v>66</v>
      </c>
      <c r="G5" s="79"/>
      <c r="H5" s="79" t="s">
        <v>85</v>
      </c>
      <c r="I5" s="79"/>
      <c r="J5" s="79"/>
      <c r="K5" s="75"/>
      <c r="L5" s="75"/>
      <c r="M5" s="75"/>
      <c r="N5" s="75"/>
      <c r="O5" s="75"/>
      <c r="P5" s="75"/>
      <c r="Q5" s="75"/>
      <c r="R5" s="9"/>
      <c r="S5" s="9"/>
      <c r="T5" s="9"/>
      <c r="U5" s="9"/>
      <c r="V5" s="9"/>
      <c r="W5" s="9"/>
      <c r="X5" s="9"/>
      <c r="Y5" s="9"/>
      <c r="Z5" s="9"/>
    </row>
    <row r="6" spans="1:26" s="33" customFormat="1" ht="20.25" customHeight="1" x14ac:dyDescent="0.25">
      <c r="A6" s="16" t="str">
        <f t="shared" ref="A6" si="0">IF(B6&lt;&gt;B5,B6,"")</f>
        <v/>
      </c>
      <c r="C6" s="87" t="s">
        <v>86</v>
      </c>
      <c r="D6" s="88"/>
      <c r="E6" s="88"/>
      <c r="F6" s="88"/>
      <c r="G6" s="88"/>
      <c r="H6" s="88" t="str">
        <f>IF(G6&lt;&gt;"",DEC2HEX(G6,4),"")</f>
        <v/>
      </c>
      <c r="I6" s="88"/>
      <c r="J6" s="88"/>
      <c r="K6" s="75"/>
      <c r="L6" s="75"/>
      <c r="M6" s="75"/>
      <c r="N6" s="75"/>
      <c r="O6" s="75"/>
      <c r="P6" s="75"/>
      <c r="Q6" s="75"/>
      <c r="R6" s="9"/>
      <c r="S6" s="9"/>
      <c r="T6" s="9"/>
      <c r="U6" s="9"/>
      <c r="V6" s="9"/>
      <c r="W6" s="9"/>
      <c r="X6" s="9"/>
      <c r="Y6" s="9"/>
      <c r="Z6" s="9"/>
    </row>
    <row r="7" spans="1:26" ht="15" customHeight="1" x14ac:dyDescent="0.25">
      <c r="A7" s="16">
        <v>0</v>
      </c>
      <c r="B7" s="33">
        <v>0</v>
      </c>
      <c r="C7" s="3" t="s">
        <v>87</v>
      </c>
      <c r="D7" s="26" t="s">
        <v>88</v>
      </c>
      <c r="E7" s="26">
        <f t="shared" ref="E7:E8" si="1">IF(OR(D7="sint64",D7="uint64",D7="double64"), 8, IF(OR(D7="sint32",D7="uint32",D7="float32"),4,IF(OR(D7="sint16",D7="uint16"),2,  IF(OR(D7="sint8",D7="uint8"),1,""))))</f>
        <v>1</v>
      </c>
      <c r="F7" s="89" t="s">
        <v>89</v>
      </c>
      <c r="H7" s="82">
        <v>1</v>
      </c>
      <c r="I7" s="33"/>
    </row>
    <row r="8" spans="1:26" ht="15" customHeight="1" x14ac:dyDescent="0.25">
      <c r="A8" s="16">
        <v>1</v>
      </c>
      <c r="B8" s="33">
        <f t="shared" ref="B8" si="2">IF(H8&lt;&gt;"",B7+1,B7)</f>
        <v>1</v>
      </c>
      <c r="C8" s="3" t="s">
        <v>86</v>
      </c>
      <c r="D8" s="26" t="s">
        <v>88</v>
      </c>
      <c r="E8" s="26">
        <f t="shared" si="1"/>
        <v>1</v>
      </c>
      <c r="F8" s="89" t="s">
        <v>89</v>
      </c>
      <c r="H8" s="82">
        <v>1</v>
      </c>
      <c r="I8" s="33"/>
    </row>
    <row r="9" spans="1:26" ht="15" customHeight="1" x14ac:dyDescent="0.25">
      <c r="A9" s="16"/>
      <c r="B9" s="33"/>
      <c r="C9" s="3"/>
      <c r="F9" s="89"/>
      <c r="H9" s="82"/>
      <c r="I9" s="33"/>
    </row>
    <row r="10" spans="1:26" ht="15" customHeight="1" x14ac:dyDescent="0.25">
      <c r="A10" s="16"/>
      <c r="B10" s="33"/>
      <c r="C10" s="3"/>
      <c r="F10" s="89"/>
      <c r="H10" s="82"/>
      <c r="I10" s="33"/>
    </row>
    <row r="11" spans="1:26" ht="15" customHeight="1" x14ac:dyDescent="0.25">
      <c r="A11" s="16"/>
      <c r="B11" s="33"/>
      <c r="C11" s="3"/>
      <c r="F11" s="89"/>
      <c r="H11" s="82"/>
      <c r="I11" s="33"/>
    </row>
    <row r="12" spans="1:26" ht="15" customHeight="1" x14ac:dyDescent="0.25">
      <c r="A12" s="16"/>
      <c r="B12" s="33"/>
      <c r="C12" s="3"/>
      <c r="F12" s="89"/>
      <c r="H12" s="82"/>
      <c r="I12" s="33"/>
    </row>
    <row r="13" spans="1:26" ht="15" customHeight="1" x14ac:dyDescent="0.25">
      <c r="A13" s="16"/>
      <c r="B13" s="33"/>
      <c r="C13" s="3"/>
      <c r="F13" s="89"/>
      <c r="H13" s="82"/>
      <c r="I13" s="33"/>
    </row>
    <row r="14" spans="1:26" ht="15" customHeight="1" x14ac:dyDescent="0.25">
      <c r="A14" s="16"/>
      <c r="B14" s="33"/>
      <c r="C14" s="3"/>
      <c r="F14" s="89"/>
      <c r="H14" s="82"/>
      <c r="I14" s="33"/>
    </row>
    <row r="15" spans="1:26" ht="15" customHeight="1" x14ac:dyDescent="0.25">
      <c r="A15" s="16"/>
      <c r="B15" s="33"/>
      <c r="C15" s="3"/>
      <c r="F15" s="89"/>
      <c r="H15" s="82"/>
      <c r="I15" s="33"/>
    </row>
    <row r="16" spans="1:26" ht="15" customHeight="1" x14ac:dyDescent="0.25">
      <c r="A16" s="16"/>
      <c r="B16" s="33"/>
      <c r="C16" s="3"/>
      <c r="F16" s="89"/>
      <c r="H16" s="82"/>
      <c r="I16" s="33"/>
    </row>
    <row r="17" spans="1:9" ht="15" customHeight="1" x14ac:dyDescent="0.25">
      <c r="A17" s="16"/>
      <c r="B17" s="33"/>
      <c r="C17" s="3"/>
      <c r="F17" s="89"/>
      <c r="H17" s="82"/>
      <c r="I17" s="33"/>
    </row>
    <row r="18" spans="1:9" ht="15" customHeight="1" x14ac:dyDescent="0.25">
      <c r="A18" s="16"/>
      <c r="B18" s="33"/>
      <c r="C18" s="3"/>
      <c r="F18" s="89"/>
      <c r="H18" s="82"/>
      <c r="I18" s="33"/>
    </row>
    <row r="19" spans="1:9" ht="15" customHeight="1" x14ac:dyDescent="0.25">
      <c r="A19" s="16"/>
      <c r="B19" s="33"/>
      <c r="C19" s="3"/>
      <c r="F19" s="89"/>
      <c r="H19" s="82"/>
      <c r="I19" s="33"/>
    </row>
    <row r="20" spans="1:9" ht="15" customHeight="1" x14ac:dyDescent="0.25">
      <c r="A20" s="16"/>
      <c r="B20" s="33"/>
      <c r="C20" s="3"/>
      <c r="F20" s="89"/>
      <c r="H20" s="82"/>
      <c r="I20" s="33"/>
    </row>
    <row r="21" spans="1:9" ht="15" customHeight="1" x14ac:dyDescent="0.25">
      <c r="A21" s="16"/>
      <c r="B21" s="33"/>
      <c r="C21" s="3"/>
      <c r="F21" s="89"/>
      <c r="H21" s="82"/>
      <c r="I21" s="33"/>
    </row>
    <row r="22" spans="1:9" ht="15" customHeight="1" x14ac:dyDescent="0.25">
      <c r="A22" s="16"/>
      <c r="B22" s="33"/>
      <c r="C22" s="3"/>
      <c r="F22" s="89"/>
      <c r="H22" s="82"/>
      <c r="I22" s="33"/>
    </row>
    <row r="23" spans="1:9" ht="15" customHeight="1" x14ac:dyDescent="0.25">
      <c r="A23" s="16"/>
      <c r="B23" s="33"/>
      <c r="C23" s="3"/>
      <c r="F23" s="89"/>
      <c r="H23" s="82"/>
      <c r="I23" s="33"/>
    </row>
    <row r="24" spans="1:9" ht="15" customHeight="1" x14ac:dyDescent="0.25">
      <c r="A24" s="16"/>
      <c r="B24" s="33"/>
      <c r="C24" s="3"/>
      <c r="F24" s="89"/>
      <c r="H24" s="82"/>
      <c r="I24" s="33"/>
    </row>
    <row r="25" spans="1:9" ht="15" customHeight="1" x14ac:dyDescent="0.25">
      <c r="A25" s="16"/>
      <c r="B25" s="33"/>
      <c r="C25" s="3"/>
      <c r="F25" s="89"/>
      <c r="H25" s="82"/>
      <c r="I25" s="33"/>
    </row>
    <row r="26" spans="1:9" ht="15" customHeight="1" x14ac:dyDescent="0.25">
      <c r="A26" s="16"/>
      <c r="B26" s="33"/>
      <c r="C26" s="3"/>
      <c r="F26" s="89"/>
      <c r="H26" s="82"/>
      <c r="I26" s="33"/>
    </row>
    <row r="27" spans="1:9" ht="15" customHeight="1" x14ac:dyDescent="0.25">
      <c r="A27" s="16"/>
      <c r="B27" s="33"/>
      <c r="C27" s="3"/>
      <c r="F27" s="89"/>
      <c r="H27" s="82"/>
      <c r="I27" s="33"/>
    </row>
    <row r="28" spans="1:9" ht="15" customHeight="1" x14ac:dyDescent="0.25">
      <c r="A28" s="16"/>
      <c r="B28" s="33"/>
      <c r="C28" s="3"/>
      <c r="F28" s="89"/>
      <c r="H28" s="82"/>
      <c r="I28" s="33"/>
    </row>
    <row r="29" spans="1:9" ht="15" customHeight="1" x14ac:dyDescent="0.25">
      <c r="A29" s="16"/>
      <c r="B29" s="33"/>
      <c r="C29" s="3"/>
      <c r="F29" s="89"/>
      <c r="H29" s="82"/>
      <c r="I29" s="33"/>
    </row>
    <row r="30" spans="1:9" ht="15" customHeight="1" x14ac:dyDescent="0.25">
      <c r="A30" s="16"/>
      <c r="B30" s="33"/>
      <c r="C30" s="3"/>
      <c r="F30" s="89"/>
      <c r="H30" s="82"/>
      <c r="I30" s="33"/>
    </row>
    <row r="31" spans="1:9" ht="15" customHeight="1" x14ac:dyDescent="0.25">
      <c r="A31" s="16"/>
      <c r="B31" s="33"/>
      <c r="C31" s="3"/>
      <c r="F31" s="89"/>
      <c r="H31" s="82"/>
      <c r="I31" s="33"/>
    </row>
    <row r="32" spans="1:9" ht="15" customHeight="1" x14ac:dyDescent="0.25">
      <c r="A32" s="16"/>
      <c r="B32" s="33"/>
      <c r="C32" s="3"/>
      <c r="F32" s="89"/>
      <c r="H32" s="82"/>
      <c r="I32" s="33"/>
    </row>
    <row r="33" spans="1:9" ht="15" customHeight="1" x14ac:dyDescent="0.25">
      <c r="A33" s="16"/>
      <c r="B33" s="33"/>
      <c r="C33" s="3"/>
      <c r="F33" s="89"/>
      <c r="H33" s="82"/>
      <c r="I33" s="33"/>
    </row>
    <row r="34" spans="1:9" ht="15" customHeight="1" x14ac:dyDescent="0.25">
      <c r="A34" s="16"/>
      <c r="B34" s="33"/>
      <c r="C34" s="3"/>
      <c r="F34" s="89"/>
      <c r="H34" s="82"/>
      <c r="I34" s="33"/>
    </row>
    <row r="35" spans="1:9" ht="15" customHeight="1" x14ac:dyDescent="0.25">
      <c r="A35" s="16"/>
      <c r="B35" s="33"/>
      <c r="C35" s="3"/>
      <c r="F35" s="89"/>
      <c r="H35" s="82"/>
      <c r="I35" s="33"/>
    </row>
    <row r="36" spans="1:9" ht="15" customHeight="1" x14ac:dyDescent="0.25">
      <c r="A36" s="16"/>
      <c r="B36" s="33"/>
      <c r="C36" s="3"/>
      <c r="F36" s="89"/>
      <c r="H36" s="82"/>
      <c r="I36" s="33"/>
    </row>
    <row r="37" spans="1:9" ht="15" customHeight="1" x14ac:dyDescent="0.25">
      <c r="A37" s="16"/>
      <c r="B37" s="33"/>
      <c r="C37" s="3"/>
      <c r="F37" s="89"/>
      <c r="H37" s="82"/>
      <c r="I37" s="33"/>
    </row>
    <row r="38" spans="1:9" ht="15" customHeight="1" x14ac:dyDescent="0.25">
      <c r="A38" s="16"/>
      <c r="B38" s="33"/>
      <c r="C38" s="3"/>
      <c r="F38" s="89"/>
      <c r="H38" s="82"/>
      <c r="I38" s="33"/>
    </row>
    <row r="39" spans="1:9" ht="15" customHeight="1" x14ac:dyDescent="0.25">
      <c r="A39" s="16"/>
      <c r="B39" s="33"/>
      <c r="C39" s="3"/>
      <c r="F39" s="89"/>
      <c r="H39" s="82"/>
      <c r="I39" s="33"/>
    </row>
    <row r="40" spans="1:9" ht="15" customHeight="1" x14ac:dyDescent="0.25">
      <c r="A40" s="16"/>
      <c r="B40" s="33"/>
      <c r="C40" s="3"/>
      <c r="F40" s="89"/>
      <c r="H40" s="82"/>
      <c r="I40" s="33"/>
    </row>
    <row r="41" spans="1:9" ht="15" customHeight="1" x14ac:dyDescent="0.25">
      <c r="A41" s="16"/>
      <c r="B41" s="33"/>
      <c r="C41" s="3"/>
      <c r="F41" s="89"/>
      <c r="H41" s="82"/>
      <c r="I41" s="33"/>
    </row>
    <row r="42" spans="1:9" ht="15" customHeight="1" x14ac:dyDescent="0.25">
      <c r="A42" s="16"/>
      <c r="B42" s="33"/>
      <c r="C42" s="3"/>
      <c r="F42" s="89"/>
      <c r="H42" s="82"/>
      <c r="I42" s="33"/>
    </row>
    <row r="43" spans="1:9" ht="15" customHeight="1" x14ac:dyDescent="0.25">
      <c r="A43" s="16"/>
      <c r="B43" s="33"/>
      <c r="C43" s="3"/>
      <c r="F43" s="89"/>
      <c r="H43" s="82"/>
      <c r="I43" s="33"/>
    </row>
    <row r="44" spans="1:9" ht="15" customHeight="1" x14ac:dyDescent="0.25">
      <c r="A44" s="16"/>
      <c r="B44" s="33"/>
      <c r="C44" s="3"/>
      <c r="F44" s="89"/>
      <c r="H44" s="82"/>
      <c r="I44" s="33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236"/>
  <sheetViews>
    <sheetView tabSelected="1" zoomScale="70" zoomScaleNormal="70" workbookViewId="0">
      <pane ySplit="5" topLeftCell="A12" activePane="bottomLeft" state="frozen"/>
      <selection pane="bottomLeft" activeCell="G31" sqref="G31"/>
    </sheetView>
  </sheetViews>
  <sheetFormatPr defaultRowHeight="15" x14ac:dyDescent="0.25"/>
  <cols>
    <col min="1" max="1" width="9.140625" style="26"/>
    <col min="2" max="2" width="39.140625" style="26" customWidth="1"/>
    <col min="3" max="3" width="16.140625" style="26" customWidth="1"/>
    <col min="4" max="4" width="14.85546875" style="26" customWidth="1"/>
    <col min="5" max="5" width="55.42578125" style="26" customWidth="1"/>
    <col min="6" max="6" width="55.85546875" style="26" customWidth="1"/>
    <col min="7" max="7" width="27.5703125" style="26" customWidth="1"/>
    <col min="8" max="8" width="42.7109375" style="26" customWidth="1"/>
    <col min="9" max="9" width="27.5703125" style="26" customWidth="1"/>
    <col min="10" max="10" width="45.85546875" style="26" customWidth="1"/>
    <col min="11" max="11" width="37.5703125" style="26" customWidth="1"/>
    <col min="12" max="12" width="11.28515625" style="26" customWidth="1"/>
    <col min="13" max="16384" width="9.140625" style="26"/>
  </cols>
  <sheetData>
    <row r="1" spans="1:24" ht="37.5" customHeight="1" x14ac:dyDescent="0.25">
      <c r="B1" s="109" t="s">
        <v>79</v>
      </c>
      <c r="C1" s="109"/>
      <c r="D1" s="109"/>
      <c r="E1" s="109"/>
      <c r="F1" s="109"/>
      <c r="G1" s="109"/>
      <c r="H1" s="109"/>
      <c r="I1" s="109"/>
      <c r="J1" s="80"/>
      <c r="K1" s="80"/>
      <c r="L1" s="11"/>
      <c r="M1" s="11"/>
      <c r="N1" s="11"/>
      <c r="O1" s="11"/>
      <c r="P1" s="11"/>
      <c r="Q1" s="11"/>
      <c r="R1" s="11"/>
      <c r="S1" s="33"/>
    </row>
    <row r="2" spans="1:24" ht="29.25" customHeight="1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33"/>
    </row>
    <row r="3" spans="1:24" ht="25.5" customHeight="1" x14ac:dyDescent="0.25">
      <c r="B3" s="108" t="s">
        <v>76</v>
      </c>
      <c r="C3" s="108"/>
      <c r="D3" s="77">
        <f>SUM(D7:D1611)</f>
        <v>52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33"/>
    </row>
    <row r="4" spans="1:24" s="33" customFormat="1" ht="23.25" x14ac:dyDescent="0.25">
      <c r="B4" s="64"/>
      <c r="C4" s="75"/>
      <c r="D4" s="75"/>
      <c r="E4" s="64"/>
      <c r="F4" s="64"/>
      <c r="G4" s="64" t="s">
        <v>64</v>
      </c>
      <c r="H4" s="64" t="s">
        <v>64</v>
      </c>
      <c r="J4" s="64"/>
      <c r="K4" s="64"/>
      <c r="L4" s="64"/>
      <c r="M4" s="64"/>
      <c r="N4" s="64"/>
      <c r="O4" s="64"/>
      <c r="P4" s="64"/>
      <c r="Q4" s="64"/>
      <c r="R4" s="64"/>
    </row>
    <row r="5" spans="1:24" s="33" customFormat="1" ht="44.25" customHeight="1" x14ac:dyDescent="0.25">
      <c r="A5" s="77" t="s">
        <v>72</v>
      </c>
      <c r="B5" s="78" t="s">
        <v>65</v>
      </c>
      <c r="C5" s="77" t="s">
        <v>73</v>
      </c>
      <c r="D5" s="77" t="s">
        <v>74</v>
      </c>
      <c r="E5" s="77" t="s">
        <v>66</v>
      </c>
      <c r="F5" s="79" t="s">
        <v>68</v>
      </c>
      <c r="G5" s="79" t="s">
        <v>75</v>
      </c>
      <c r="H5" s="79" t="s">
        <v>81</v>
      </c>
      <c r="I5" s="79" t="s">
        <v>82</v>
      </c>
      <c r="K5" s="75"/>
      <c r="L5" s="75"/>
      <c r="M5" s="75"/>
      <c r="N5" s="75"/>
      <c r="O5" s="75"/>
      <c r="P5" s="9"/>
      <c r="Q5" s="9"/>
      <c r="R5" s="9"/>
      <c r="S5" s="9"/>
      <c r="T5" s="9"/>
      <c r="U5" s="9"/>
      <c r="V5" s="9"/>
      <c r="W5" s="9"/>
      <c r="X5" s="9"/>
    </row>
    <row r="6" spans="1:24" s="33" customFormat="1" ht="19.5" customHeight="1" x14ac:dyDescent="0.25">
      <c r="B6" s="110" t="s">
        <v>2</v>
      </c>
      <c r="C6" s="110"/>
      <c r="D6" s="110"/>
      <c r="E6" s="110"/>
      <c r="F6" s="110"/>
      <c r="G6" s="110"/>
      <c r="H6" s="110"/>
      <c r="I6" s="110"/>
      <c r="J6" s="2"/>
      <c r="K6" s="37"/>
      <c r="L6" s="38"/>
      <c r="M6" s="2"/>
      <c r="N6" s="2"/>
      <c r="O6" s="2"/>
      <c r="P6" s="2"/>
      <c r="Q6" s="2"/>
      <c r="R6" s="2"/>
    </row>
    <row r="7" spans="1:24" s="33" customFormat="1" ht="54.75" customHeight="1" x14ac:dyDescent="0.3">
      <c r="A7" s="33">
        <v>0</v>
      </c>
      <c r="B7" s="17" t="s">
        <v>5</v>
      </c>
      <c r="C7" s="26" t="s">
        <v>78</v>
      </c>
      <c r="D7" s="26">
        <f>IF(OR(C7="sint64",C7="uint64",C7="double64"), 8, IF(OR(C7="sint32",C7="uint32",C7="float32"),4,IF(OR(C7="sint16",C7="uint16"),2,  IF(OR(C7="sint8",C7="uint8"),1,""))))</f>
        <v>2</v>
      </c>
      <c r="E7" s="69" t="s">
        <v>67</v>
      </c>
      <c r="F7" s="81" t="s">
        <v>83</v>
      </c>
      <c r="G7" s="34">
        <v>0</v>
      </c>
      <c r="H7" s="68" t="s">
        <v>3</v>
      </c>
      <c r="I7" s="70">
        <f>G7</f>
        <v>0</v>
      </c>
      <c r="J7" s="39"/>
      <c r="K7" s="37"/>
      <c r="L7" s="38"/>
      <c r="M7" s="2"/>
      <c r="N7" s="36"/>
      <c r="O7" s="36"/>
      <c r="P7" s="36"/>
      <c r="Q7" s="36"/>
      <c r="R7" s="36"/>
    </row>
    <row r="8" spans="1:24" s="33" customFormat="1" ht="23.25" x14ac:dyDescent="0.25">
      <c r="A8" s="33" t="str">
        <f>IF(I8&lt;&gt;"",MAX(A$1:A7)+1,"")</f>
        <v/>
      </c>
      <c r="B8" s="17"/>
      <c r="C8" s="17"/>
      <c r="D8" s="17"/>
      <c r="E8" s="25"/>
      <c r="F8" s="16"/>
      <c r="G8" s="18"/>
      <c r="H8" s="68" t="str">
        <f>IF(I8&lt;&gt;"",DEC2HEX(I8,4),"")</f>
        <v/>
      </c>
      <c r="I8" s="71"/>
      <c r="J8" s="2"/>
      <c r="K8" s="2"/>
      <c r="L8" s="26"/>
      <c r="M8" s="2"/>
      <c r="N8" s="2"/>
      <c r="O8" s="2"/>
      <c r="P8" s="2"/>
      <c r="Q8" s="2"/>
      <c r="R8" s="2"/>
    </row>
    <row r="9" spans="1:24" s="33" customFormat="1" ht="23.25" customHeight="1" x14ac:dyDescent="0.25">
      <c r="A9" s="33" t="str">
        <f>IF(I9&lt;&gt;"",MAX(A$1:A8)+1,"")</f>
        <v/>
      </c>
      <c r="B9" s="111" t="s">
        <v>11</v>
      </c>
      <c r="C9" s="111"/>
      <c r="D9" s="111"/>
      <c r="E9" s="111"/>
      <c r="F9" s="111"/>
      <c r="G9" s="111"/>
      <c r="H9" s="111"/>
      <c r="I9" s="111"/>
      <c r="J9" s="41"/>
      <c r="K9" s="2"/>
      <c r="L9" s="26"/>
      <c r="M9" s="2"/>
      <c r="N9" s="2"/>
      <c r="O9" s="2"/>
      <c r="P9" s="2"/>
      <c r="Q9" s="2"/>
      <c r="R9" s="2"/>
    </row>
    <row r="10" spans="1:24" s="33" customFormat="1" ht="23.25" customHeight="1" x14ac:dyDescent="0.25">
      <c r="A10" s="33" t="str">
        <f>IF(I10&lt;&gt;"",MAX(A$1:A9)+1,"")</f>
        <v/>
      </c>
      <c r="B10" s="111"/>
      <c r="C10" s="111"/>
      <c r="D10" s="111"/>
      <c r="E10" s="111"/>
      <c r="F10" s="111"/>
      <c r="G10" s="111"/>
      <c r="H10" s="111"/>
      <c r="I10" s="111"/>
      <c r="J10" s="2"/>
      <c r="K10" s="2"/>
      <c r="L10" s="26"/>
      <c r="M10" s="2"/>
      <c r="N10" s="2"/>
      <c r="O10" s="2"/>
      <c r="P10" s="2"/>
      <c r="Q10" s="2"/>
      <c r="R10" s="2"/>
    </row>
    <row r="11" spans="1:24" s="33" customFormat="1" ht="31.5" x14ac:dyDescent="0.5">
      <c r="A11" s="33">
        <f>IF(I11&lt;&gt;"",MAX(A$1:A10)+1,"")</f>
        <v>1</v>
      </c>
      <c r="B11" s="31" t="s">
        <v>12</v>
      </c>
      <c r="C11" s="26" t="s">
        <v>77</v>
      </c>
      <c r="D11" s="26">
        <f>IF(OR(C11="sint64",C11="uint64",C11="double64"), 8, IF(OR(C11="sint32",C11="uint32",C11="float32"),4,IF(OR(C11="sint16",C11="uint16"),2,  IF(OR(C11="sint8",C11="uint8"),1,""))))</f>
        <v>2</v>
      </c>
      <c r="E11" s="32" t="s">
        <v>30</v>
      </c>
      <c r="F11" s="63">
        <f>'Motor SR Table'!C10</f>
        <v>35</v>
      </c>
      <c r="G11" s="62">
        <f>ROUND(F11,0)</f>
        <v>35</v>
      </c>
      <c r="H11" s="68" t="str">
        <f t="shared" ref="H11:H47" si="0">IF(I11&lt;&gt;"",DEC2HEX(I11,4),"")</f>
        <v>0023</v>
      </c>
      <c r="I11" s="70">
        <f>G11</f>
        <v>35</v>
      </c>
      <c r="J11" s="42"/>
      <c r="K11" s="2"/>
      <c r="L11" s="26"/>
      <c r="M11" s="2"/>
      <c r="N11" s="2"/>
      <c r="O11" s="2"/>
      <c r="P11" s="2"/>
      <c r="Q11" s="2"/>
      <c r="R11" s="2"/>
    </row>
    <row r="12" spans="1:24" s="33" customFormat="1" ht="31.5" x14ac:dyDescent="0.5">
      <c r="A12" s="33">
        <f>IF(I12&lt;&gt;"",MAX(A$1:A11)+1,"")</f>
        <v>2</v>
      </c>
      <c r="B12" s="31" t="s">
        <v>13</v>
      </c>
      <c r="C12" s="26" t="s">
        <v>77</v>
      </c>
      <c r="D12" s="26">
        <f t="shared" ref="D12:D43" si="1">IF(OR(C12="sint64",C12="uint64",C12="double64"), 8, IF(OR(C12="sint32",C12="uint32",C12="float32"),4,IF(OR(C12="sint16",C12="uint16"),2,  IF(OR(C12="sint8",C12="uint8"),1,""))))</f>
        <v>2</v>
      </c>
      <c r="E12" s="32" t="s">
        <v>31</v>
      </c>
      <c r="F12" s="63">
        <f>'Motor SR Table'!C11</f>
        <v>110</v>
      </c>
      <c r="G12" s="62">
        <v>90</v>
      </c>
      <c r="H12" s="68" t="str">
        <f t="shared" si="0"/>
        <v>005A</v>
      </c>
      <c r="I12" s="70">
        <f>G12</f>
        <v>90</v>
      </c>
      <c r="J12" s="42"/>
      <c r="K12" s="2"/>
      <c r="L12" s="26"/>
      <c r="M12" s="2"/>
      <c r="N12" s="2"/>
      <c r="O12" s="2"/>
      <c r="P12" s="2"/>
      <c r="Q12" s="2"/>
      <c r="R12" s="2"/>
    </row>
    <row r="13" spans="1:24" s="33" customFormat="1" ht="23.25" x14ac:dyDescent="0.25">
      <c r="A13" s="33">
        <f>IF(I13&lt;&gt;"",MAX(A$1:A12)+1,"")</f>
        <v>3</v>
      </c>
      <c r="B13" s="31" t="s">
        <v>14</v>
      </c>
      <c r="C13" s="26" t="s">
        <v>77</v>
      </c>
      <c r="D13" s="26">
        <f t="shared" si="1"/>
        <v>2</v>
      </c>
      <c r="E13" s="32" t="s">
        <v>32</v>
      </c>
      <c r="F13" s="63">
        <f>'Motor SR Table'!C12</f>
        <v>140</v>
      </c>
      <c r="G13" s="62">
        <v>130</v>
      </c>
      <c r="H13" s="68" t="str">
        <f t="shared" si="0"/>
        <v>0082</v>
      </c>
      <c r="I13" s="70">
        <f>G13</f>
        <v>130</v>
      </c>
      <c r="J13" s="16"/>
      <c r="K13" s="16"/>
      <c r="L13" s="16"/>
      <c r="M13" s="16"/>
      <c r="N13" s="52"/>
      <c r="O13" s="16"/>
      <c r="P13" s="2"/>
      <c r="Q13" s="2"/>
      <c r="R13" s="2"/>
    </row>
    <row r="14" spans="1:24" s="33" customFormat="1" ht="23.25" x14ac:dyDescent="0.25">
      <c r="A14" s="33" t="str">
        <f>IF(I14&lt;&gt;"",MAX(A$1:A13)+1,"")</f>
        <v/>
      </c>
      <c r="B14" s="31"/>
      <c r="C14" s="31"/>
      <c r="D14" s="26" t="str">
        <f t="shared" si="1"/>
        <v/>
      </c>
      <c r="E14" s="24"/>
      <c r="F14" s="56"/>
      <c r="G14" s="62"/>
      <c r="H14" s="68" t="str">
        <f t="shared" si="0"/>
        <v/>
      </c>
      <c r="I14" s="72"/>
      <c r="J14" s="16"/>
      <c r="K14" s="16"/>
      <c r="L14" s="16"/>
      <c r="M14" s="16"/>
      <c r="N14" s="52"/>
      <c r="O14" s="16"/>
      <c r="P14" s="2"/>
      <c r="Q14" s="2"/>
      <c r="R14" s="2"/>
    </row>
    <row r="15" spans="1:24" s="33" customFormat="1" ht="23.25" x14ac:dyDescent="0.25">
      <c r="A15" s="33">
        <f>IF(I15&lt;&gt;"",MAX(A$1:A14)+1,"")</f>
        <v>4</v>
      </c>
      <c r="B15" s="31" t="s">
        <v>38</v>
      </c>
      <c r="C15" s="26" t="s">
        <v>77</v>
      </c>
      <c r="D15" s="26">
        <f t="shared" si="1"/>
        <v>2</v>
      </c>
      <c r="E15" s="32" t="s">
        <v>40</v>
      </c>
      <c r="F15" s="63">
        <f>'Motor SR Table'!C13</f>
        <v>25</v>
      </c>
      <c r="G15" s="62">
        <f>ROUND(F15,0)</f>
        <v>25</v>
      </c>
      <c r="H15" s="68" t="str">
        <f t="shared" si="0"/>
        <v>0019</v>
      </c>
      <c r="I15" s="70">
        <f>G15</f>
        <v>25</v>
      </c>
      <c r="J15" s="16"/>
      <c r="K15" s="16"/>
      <c r="L15" s="16"/>
      <c r="M15" s="16"/>
      <c r="N15" s="53"/>
      <c r="O15" s="16"/>
      <c r="P15" s="2"/>
      <c r="Q15" s="2"/>
      <c r="R15" s="2"/>
    </row>
    <row r="16" spans="1:24" s="33" customFormat="1" ht="23.25" x14ac:dyDescent="0.25">
      <c r="A16" s="33">
        <f>IF(I16&lt;&gt;"",MAX(A$1:A15)+1,"")</f>
        <v>5</v>
      </c>
      <c r="B16" s="31" t="s">
        <v>39</v>
      </c>
      <c r="C16" s="26" t="s">
        <v>77</v>
      </c>
      <c r="D16" s="26">
        <f t="shared" si="1"/>
        <v>2</v>
      </c>
      <c r="E16" s="32" t="s">
        <v>92</v>
      </c>
      <c r="F16" s="10">
        <f>'Motor SR Table'!C25*'Motor SR Table'!C34/60</f>
        <v>533.33333333333337</v>
      </c>
      <c r="G16" s="62">
        <f>ROUND(F16,0)</f>
        <v>533</v>
      </c>
      <c r="H16" s="68" t="str">
        <f t="shared" si="0"/>
        <v>0215</v>
      </c>
      <c r="I16" s="70">
        <f>G16</f>
        <v>533</v>
      </c>
      <c r="J16" s="16"/>
      <c r="K16" s="16"/>
      <c r="L16" s="16"/>
      <c r="M16" s="16"/>
      <c r="N16" s="53"/>
      <c r="O16" s="16"/>
      <c r="P16" s="2"/>
      <c r="Q16" s="2"/>
      <c r="R16" s="2"/>
    </row>
    <row r="17" spans="1:18" s="33" customFormat="1" ht="23.25" x14ac:dyDescent="0.25">
      <c r="A17" s="33" t="str">
        <f>IF(I17&lt;&gt;"",MAX(A$1:A16)+1,"")</f>
        <v/>
      </c>
      <c r="B17" s="31"/>
      <c r="C17" s="31"/>
      <c r="D17" s="26" t="str">
        <f t="shared" si="1"/>
        <v/>
      </c>
      <c r="E17" s="24"/>
      <c r="F17" s="10"/>
      <c r="G17" s="62"/>
      <c r="H17" s="68" t="str">
        <f t="shared" si="0"/>
        <v/>
      </c>
      <c r="I17" s="72"/>
      <c r="J17" s="16"/>
      <c r="K17" s="16"/>
      <c r="L17" s="16"/>
      <c r="M17" s="16"/>
      <c r="N17" s="53"/>
      <c r="O17" s="16"/>
      <c r="P17" s="2"/>
      <c r="Q17" s="2"/>
      <c r="R17" s="2"/>
    </row>
    <row r="18" spans="1:18" s="33" customFormat="1" ht="24" customHeight="1" x14ac:dyDescent="0.25">
      <c r="A18" s="33" t="str">
        <f>IF(I18&lt;&gt;"",MAX(A$1:A17)+1,"")</f>
        <v/>
      </c>
      <c r="D18" s="26" t="str">
        <f t="shared" si="1"/>
        <v/>
      </c>
      <c r="G18" s="62"/>
      <c r="H18" s="68" t="str">
        <f t="shared" si="0"/>
        <v/>
      </c>
      <c r="I18" s="72"/>
      <c r="J18" s="16"/>
      <c r="K18" s="16"/>
      <c r="L18" s="16"/>
      <c r="M18" s="16"/>
      <c r="N18" s="53"/>
      <c r="O18" s="16"/>
      <c r="P18" s="2"/>
      <c r="Q18" s="2"/>
      <c r="R18" s="2"/>
    </row>
    <row r="19" spans="1:18" s="33" customFormat="1" ht="31.5" x14ac:dyDescent="0.5">
      <c r="A19" s="33">
        <f>IF(I19&lt;&gt;"",MAX(A$1:A18)+1,"")</f>
        <v>6</v>
      </c>
      <c r="B19" s="31" t="s">
        <v>41</v>
      </c>
      <c r="C19" s="26" t="s">
        <v>80</v>
      </c>
      <c r="D19" s="26">
        <f t="shared" si="1"/>
        <v>4</v>
      </c>
      <c r="E19" s="32" t="s">
        <v>42</v>
      </c>
      <c r="F19" s="65"/>
      <c r="G19" s="62">
        <f xml:space="preserve"> 1/'Motor SR Table'!C14</f>
        <v>7.7881619937694702E-4</v>
      </c>
      <c r="H19" s="68" t="str">
        <f t="shared" si="0"/>
        <v>2978</v>
      </c>
      <c r="I19" s="70">
        <f>HEX2DEC(FLOAT2HEX(G19))-I20*2^16</f>
        <v>10616</v>
      </c>
      <c r="J19" s="42"/>
      <c r="K19" s="2"/>
      <c r="L19" s="26"/>
      <c r="M19" s="2"/>
      <c r="N19" s="2"/>
      <c r="O19" s="2"/>
      <c r="P19" s="2"/>
      <c r="Q19" s="2"/>
      <c r="R19" s="2"/>
    </row>
    <row r="20" spans="1:18" ht="23.25" customHeight="1" x14ac:dyDescent="0.25">
      <c r="A20" s="33">
        <f>IF(I20&lt;&gt;"",MAX(A$1:A19)+1,"")</f>
        <v>7</v>
      </c>
      <c r="B20" s="31"/>
      <c r="C20" s="31"/>
      <c r="D20" s="26" t="str">
        <f t="shared" si="1"/>
        <v/>
      </c>
      <c r="E20" s="25"/>
      <c r="F20" s="57"/>
      <c r="G20" s="18"/>
      <c r="H20" s="68" t="str">
        <f t="shared" si="0"/>
        <v>3A4C</v>
      </c>
      <c r="I20" s="70">
        <f>TRUNC(HEX2DEC(FLOAT2HEX(G19))/2^16)</f>
        <v>14924</v>
      </c>
    </row>
    <row r="21" spans="1:18" ht="23.25" x14ac:dyDescent="0.25">
      <c r="A21" s="33" t="str">
        <f>IF(I21&lt;&gt;"",MAX(A$1:A20)+1,"")</f>
        <v/>
      </c>
      <c r="D21" s="26" t="str">
        <f t="shared" si="1"/>
        <v/>
      </c>
      <c r="F21" s="65"/>
      <c r="G21" s="62"/>
      <c r="H21" s="68" t="str">
        <f t="shared" si="0"/>
        <v/>
      </c>
      <c r="I21" s="72"/>
      <c r="J21" s="28"/>
      <c r="K21" s="43"/>
      <c r="L21" s="13"/>
      <c r="M21" s="44"/>
      <c r="N21" s="28"/>
      <c r="O21" s="28"/>
    </row>
    <row r="22" spans="1:18" ht="23.25" x14ac:dyDescent="0.25">
      <c r="A22" s="33">
        <f>IF(I22&lt;&gt;"",MAX(A$1:A21)+1,"")</f>
        <v>8</v>
      </c>
      <c r="B22" s="31" t="s">
        <v>43</v>
      </c>
      <c r="C22" s="26" t="s">
        <v>80</v>
      </c>
      <c r="D22" s="26">
        <f t="shared" si="1"/>
        <v>4</v>
      </c>
      <c r="E22" s="32" t="s">
        <v>44</v>
      </c>
      <c r="F22" s="65"/>
      <c r="G22" s="73">
        <f>'Motor SR Table'!C9</f>
        <v>1</v>
      </c>
      <c r="H22" s="68" t="str">
        <f t="shared" si="0"/>
        <v>0000</v>
      </c>
      <c r="I22" s="70">
        <f>HEX2DEC(FLOAT2HEX(G22))-I23*2^16</f>
        <v>0</v>
      </c>
      <c r="J22" s="6"/>
      <c r="K22" s="8"/>
      <c r="L22" s="7"/>
    </row>
    <row r="23" spans="1:18" ht="23.25" x14ac:dyDescent="0.25">
      <c r="A23" s="33">
        <f>IF(I23&lt;&gt;"",MAX(A$1:A22)+1,"")</f>
        <v>9</v>
      </c>
      <c r="B23" s="31"/>
      <c r="C23" s="31"/>
      <c r="D23" s="26" t="str">
        <f t="shared" si="1"/>
        <v/>
      </c>
      <c r="E23" s="25"/>
      <c r="F23" s="57"/>
      <c r="G23" s="18"/>
      <c r="H23" s="68" t="str">
        <f t="shared" si="0"/>
        <v>3F80</v>
      </c>
      <c r="I23" s="70">
        <f>TRUNC(HEX2DEC(FLOAT2HEX(G22))/2^16)</f>
        <v>16256</v>
      </c>
    </row>
    <row r="24" spans="1:18" ht="23.25" x14ac:dyDescent="0.25">
      <c r="A24" s="33" t="str">
        <f>IF(I24&lt;&gt;"",MAX(A$1:A23)+1,"")</f>
        <v/>
      </c>
      <c r="B24" s="74"/>
      <c r="C24" s="74"/>
      <c r="D24" s="26" t="str">
        <f t="shared" si="1"/>
        <v/>
      </c>
      <c r="F24" s="65"/>
      <c r="G24" s="62"/>
      <c r="H24" s="68" t="str">
        <f t="shared" si="0"/>
        <v/>
      </c>
      <c r="I24" s="72"/>
      <c r="J24" s="28"/>
      <c r="K24" s="43"/>
      <c r="L24" s="13"/>
      <c r="M24" s="44"/>
      <c r="N24" s="28"/>
      <c r="O24" s="28"/>
    </row>
    <row r="25" spans="1:18" ht="23.25" x14ac:dyDescent="0.25">
      <c r="A25" s="33">
        <f>IF(I25&lt;&gt;"",MAX(A$1:A24)+1,"")</f>
        <v>10</v>
      </c>
      <c r="B25" s="31" t="s">
        <v>22</v>
      </c>
      <c r="C25" s="26" t="s">
        <v>80</v>
      </c>
      <c r="D25" s="26">
        <f t="shared" si="1"/>
        <v>4</v>
      </c>
      <c r="E25" s="32" t="s">
        <v>93</v>
      </c>
      <c r="F25" s="65">
        <f>'Motor SR Table'!C17*60/'Motor SR Table'!C34</f>
        <v>5.5644899999999997E-2</v>
      </c>
      <c r="G25" s="73">
        <f>F25</f>
        <v>5.5644899999999997E-2</v>
      </c>
      <c r="H25" s="68" t="str">
        <f t="shared" si="0"/>
        <v>EBE8</v>
      </c>
      <c r="I25" s="70">
        <f>HEX2DEC(FLOAT2HEX(G25))-I26*2^16</f>
        <v>60392</v>
      </c>
      <c r="J25" s="6"/>
      <c r="K25" s="8"/>
      <c r="L25" s="7"/>
    </row>
    <row r="26" spans="1:18" ht="23.25" x14ac:dyDescent="0.25">
      <c r="A26" s="33">
        <f>IF(I26&lt;&gt;"",MAX(A$1:A25)+1,"")</f>
        <v>11</v>
      </c>
      <c r="B26" s="31"/>
      <c r="C26" s="31"/>
      <c r="D26" s="26" t="str">
        <f t="shared" si="1"/>
        <v/>
      </c>
      <c r="E26" s="25"/>
      <c r="F26" s="57"/>
      <c r="G26" s="18"/>
      <c r="H26" s="68" t="str">
        <f t="shared" si="0"/>
        <v>3D63</v>
      </c>
      <c r="I26" s="70">
        <f>TRUNC(HEX2DEC(FLOAT2HEX(G25))/2^16)</f>
        <v>15715</v>
      </c>
    </row>
    <row r="27" spans="1:18" ht="23.25" x14ac:dyDescent="0.25">
      <c r="A27" s="33" t="str">
        <f>IF(I27&lt;&gt;"",MAX(A$1:A26)+1,"")</f>
        <v/>
      </c>
      <c r="B27" s="74"/>
      <c r="C27" s="74"/>
      <c r="D27" s="26" t="str">
        <f t="shared" si="1"/>
        <v/>
      </c>
      <c r="F27" s="65"/>
      <c r="G27" s="62"/>
      <c r="H27" s="68" t="str">
        <f t="shared" si="0"/>
        <v/>
      </c>
      <c r="I27" s="72"/>
    </row>
    <row r="28" spans="1:18" ht="23.25" x14ac:dyDescent="0.25">
      <c r="A28" s="33">
        <f>IF(I28&lt;&gt;"",MAX(A$1:A27)+1,"")</f>
        <v>12</v>
      </c>
      <c r="B28" s="31" t="s">
        <v>23</v>
      </c>
      <c r="C28" s="26" t="s">
        <v>80</v>
      </c>
      <c r="D28" s="26">
        <f t="shared" si="1"/>
        <v>4</v>
      </c>
      <c r="E28" s="32" t="s">
        <v>94</v>
      </c>
      <c r="F28" s="65">
        <f>'Motor SR Table'!C18*(60/'Motor SR Table'!C34)^2</f>
        <v>2.6647199999999998E-5</v>
      </c>
      <c r="G28" s="73">
        <f>F28</f>
        <v>2.6647199999999998E-5</v>
      </c>
      <c r="H28" s="68" t="str">
        <f t="shared" si="0"/>
        <v>886D</v>
      </c>
      <c r="I28" s="70">
        <f>HEX2DEC(FLOAT2HEX(G28))-I29*2^16</f>
        <v>34925</v>
      </c>
    </row>
    <row r="29" spans="1:18" ht="23.25" x14ac:dyDescent="0.25">
      <c r="A29" s="33">
        <f>IF(I29&lt;&gt;"",MAX(A$1:A28)+1,"")</f>
        <v>13</v>
      </c>
      <c r="B29" s="31"/>
      <c r="C29" s="31"/>
      <c r="D29" s="26" t="str">
        <f t="shared" si="1"/>
        <v/>
      </c>
      <c r="E29" s="25"/>
      <c r="F29" s="57"/>
      <c r="G29" s="18"/>
      <c r="H29" s="68" t="str">
        <f t="shared" si="0"/>
        <v>37DF</v>
      </c>
      <c r="I29" s="70">
        <f>TRUNC(HEX2DEC(FLOAT2HEX(G28))/2^16)</f>
        <v>14303</v>
      </c>
    </row>
    <row r="30" spans="1:18" ht="23.25" x14ac:dyDescent="0.25">
      <c r="A30" s="33" t="str">
        <f>IF(I30&lt;&gt;"",MAX(A$1:A29)+1,"")</f>
        <v/>
      </c>
      <c r="B30" s="31"/>
      <c r="C30" s="31"/>
      <c r="D30" s="26" t="str">
        <f t="shared" si="1"/>
        <v/>
      </c>
      <c r="E30" s="24"/>
      <c r="F30" s="10"/>
      <c r="G30" s="62"/>
      <c r="H30" s="68" t="str">
        <f t="shared" si="0"/>
        <v/>
      </c>
      <c r="I30" s="72"/>
    </row>
    <row r="31" spans="1:18" ht="23.25" x14ac:dyDescent="0.25">
      <c r="A31" s="33">
        <f>IF(I31&lt;&gt;"",MAX(A$1:A30)+1,"")</f>
        <v>14</v>
      </c>
      <c r="B31" s="31" t="s">
        <v>45</v>
      </c>
      <c r="C31" s="26" t="s">
        <v>80</v>
      </c>
      <c r="D31" s="26">
        <f t="shared" si="1"/>
        <v>4</v>
      </c>
      <c r="E31" s="32" t="s">
        <v>46</v>
      </c>
      <c r="F31" s="65"/>
      <c r="G31" s="62">
        <f>'Motor SR Table'!C21</f>
        <v>2.87</v>
      </c>
      <c r="H31" s="68" t="str">
        <f t="shared" si="0"/>
        <v>AE14</v>
      </c>
      <c r="I31" s="70">
        <f>HEX2DEC(FLOAT2HEX(G31))-I32*2^16</f>
        <v>44564</v>
      </c>
    </row>
    <row r="32" spans="1:18" ht="23.25" x14ac:dyDescent="0.25">
      <c r="A32" s="33">
        <f>IF(I32&lt;&gt;"",MAX(A$1:A31)+1,"")</f>
        <v>15</v>
      </c>
      <c r="B32" s="31"/>
      <c r="C32" s="31"/>
      <c r="D32" s="26" t="str">
        <f t="shared" si="1"/>
        <v/>
      </c>
      <c r="E32" s="25"/>
      <c r="F32" s="57"/>
      <c r="G32" s="18"/>
      <c r="H32" s="68" t="str">
        <f t="shared" si="0"/>
        <v>4037</v>
      </c>
      <c r="I32" s="70">
        <f>TRUNC(HEX2DEC(FLOAT2HEX(G31))/2^16)</f>
        <v>16439</v>
      </c>
    </row>
    <row r="33" spans="1:11" ht="23.25" x14ac:dyDescent="0.25">
      <c r="A33" s="33" t="str">
        <f>IF(I33&lt;&gt;"",MAX(A$1:A32)+1,"")</f>
        <v/>
      </c>
      <c r="B33" s="74"/>
      <c r="C33" s="74"/>
      <c r="D33" s="26" t="str">
        <f t="shared" si="1"/>
        <v/>
      </c>
      <c r="F33" s="65"/>
      <c r="G33" s="62"/>
      <c r="H33" s="68" t="str">
        <f t="shared" si="0"/>
        <v/>
      </c>
      <c r="I33" s="72"/>
    </row>
    <row r="34" spans="1:11" ht="23.25" x14ac:dyDescent="0.25">
      <c r="A34" s="33">
        <f>IF(I34&lt;&gt;"",MAX(A$1:A33)+1,"")</f>
        <v>16</v>
      </c>
      <c r="B34" s="31" t="s">
        <v>47</v>
      </c>
      <c r="C34" s="26" t="s">
        <v>80</v>
      </c>
      <c r="D34" s="26">
        <f t="shared" si="1"/>
        <v>4</v>
      </c>
      <c r="E34" s="32" t="s">
        <v>46</v>
      </c>
      <c r="F34" s="65"/>
      <c r="G34" s="62">
        <f>'Motor SR Table'!C22</f>
        <v>4.3080000000000002E-3</v>
      </c>
      <c r="H34" s="68" t="str">
        <f t="shared" si="0"/>
        <v>2A20</v>
      </c>
      <c r="I34" s="70">
        <f>HEX2DEC(FLOAT2HEX(G34))-I35*2^16</f>
        <v>10784</v>
      </c>
      <c r="J34" s="5"/>
      <c r="K34" s="3"/>
    </row>
    <row r="35" spans="1:11" ht="23.25" x14ac:dyDescent="0.25">
      <c r="A35" s="33">
        <f>IF(I35&lt;&gt;"",MAX(A$1:A34)+1,"")</f>
        <v>17</v>
      </c>
      <c r="B35" s="31"/>
      <c r="C35" s="31"/>
      <c r="D35" s="26" t="str">
        <f t="shared" si="1"/>
        <v/>
      </c>
      <c r="E35" s="25"/>
      <c r="F35" s="57"/>
      <c r="G35" s="18"/>
      <c r="H35" s="68" t="str">
        <f t="shared" si="0"/>
        <v>3B8D</v>
      </c>
      <c r="I35" s="70">
        <f>TRUNC(HEX2DEC(FLOAT2HEX(G34))/2^16)</f>
        <v>15245</v>
      </c>
    </row>
    <row r="36" spans="1:11" ht="23.25" x14ac:dyDescent="0.25">
      <c r="A36" s="33" t="str">
        <f>IF(I36&lt;&gt;"",MAX(A$1:A35)+1,"")</f>
        <v/>
      </c>
      <c r="B36" s="31"/>
      <c r="C36" s="31"/>
      <c r="D36" s="26" t="str">
        <f t="shared" si="1"/>
        <v/>
      </c>
      <c r="E36" s="24"/>
      <c r="F36" s="10"/>
      <c r="G36" s="62"/>
      <c r="H36" s="68" t="str">
        <f t="shared" si="0"/>
        <v/>
      </c>
      <c r="I36" s="72"/>
    </row>
    <row r="37" spans="1:11" ht="23.25" x14ac:dyDescent="0.25">
      <c r="A37" s="33">
        <f>IF(I37&lt;&gt;"",MAX(A$1:A36)+1,"")</f>
        <v>18</v>
      </c>
      <c r="B37" s="31" t="s">
        <v>48</v>
      </c>
      <c r="C37" s="26" t="s">
        <v>80</v>
      </c>
      <c r="D37" s="26">
        <f t="shared" si="1"/>
        <v>4</v>
      </c>
      <c r="E37" s="32" t="s">
        <v>50</v>
      </c>
      <c r="F37" s="65"/>
      <c r="G37" s="62">
        <f>'Motor SR Table'!C26</f>
        <v>0.52</v>
      </c>
      <c r="H37" s="68" t="str">
        <f t="shared" si="0"/>
        <v>1EB8</v>
      </c>
      <c r="I37" s="70">
        <f>HEX2DEC(FLOAT2HEX(G37))-I38*2^16</f>
        <v>7864</v>
      </c>
    </row>
    <row r="38" spans="1:11" ht="23.25" x14ac:dyDescent="0.25">
      <c r="A38" s="33">
        <f>IF(I38&lt;&gt;"",MAX(A$1:A37)+1,"")</f>
        <v>19</v>
      </c>
      <c r="B38" s="31"/>
      <c r="C38" s="31"/>
      <c r="D38" s="26" t="str">
        <f t="shared" si="1"/>
        <v/>
      </c>
      <c r="E38" s="25"/>
      <c r="F38" s="57"/>
      <c r="G38" s="18"/>
      <c r="H38" s="68" t="str">
        <f t="shared" si="0"/>
        <v>3F05</v>
      </c>
      <c r="I38" s="70">
        <f>TRUNC(HEX2DEC(FLOAT2HEX(G37))/2^16)</f>
        <v>16133</v>
      </c>
    </row>
    <row r="39" spans="1:11" ht="23.25" x14ac:dyDescent="0.25">
      <c r="A39" s="33" t="str">
        <f>IF(I39&lt;&gt;"",MAX(A$1:A38)+1,"")</f>
        <v/>
      </c>
      <c r="B39" s="74"/>
      <c r="C39" s="74"/>
      <c r="D39" s="26" t="str">
        <f t="shared" si="1"/>
        <v/>
      </c>
      <c r="F39" s="65"/>
      <c r="G39" s="62"/>
      <c r="H39" s="68" t="str">
        <f t="shared" si="0"/>
        <v/>
      </c>
      <c r="I39" s="72"/>
    </row>
    <row r="40" spans="1:11" ht="23.25" x14ac:dyDescent="0.25">
      <c r="A40" s="33">
        <f>IF(I40&lt;&gt;"",MAX(A$1:A39)+1,"")</f>
        <v>20</v>
      </c>
      <c r="B40" s="31" t="s">
        <v>49</v>
      </c>
      <c r="C40" s="26" t="s">
        <v>80</v>
      </c>
      <c r="D40" s="26">
        <f t="shared" si="1"/>
        <v>4</v>
      </c>
      <c r="E40" s="32" t="s">
        <v>50</v>
      </c>
      <c r="F40" s="65"/>
      <c r="G40" s="62">
        <f>'Motor SR Table'!C27</f>
        <v>1.1999999999999999E-3</v>
      </c>
      <c r="H40" s="68" t="str">
        <f t="shared" si="0"/>
        <v>4952</v>
      </c>
      <c r="I40" s="70">
        <f>HEX2DEC(FLOAT2HEX(G40))-I41*2^16</f>
        <v>18770</v>
      </c>
    </row>
    <row r="41" spans="1:11" ht="23.25" x14ac:dyDescent="0.25">
      <c r="A41" s="33">
        <f>IF(I41&lt;&gt;"",MAX(A$1:A40)+1,"")</f>
        <v>21</v>
      </c>
      <c r="B41" s="31"/>
      <c r="C41" s="31"/>
      <c r="D41" s="26" t="str">
        <f t="shared" si="1"/>
        <v/>
      </c>
      <c r="E41" s="25"/>
      <c r="F41" s="57"/>
      <c r="G41" s="18"/>
      <c r="H41" s="68" t="str">
        <f t="shared" si="0"/>
        <v>3A9D</v>
      </c>
      <c r="I41" s="70">
        <f>TRUNC(HEX2DEC(FLOAT2HEX(G40))/2^16)</f>
        <v>15005</v>
      </c>
    </row>
    <row r="42" spans="1:11" ht="23.25" x14ac:dyDescent="0.25">
      <c r="A42" s="33" t="str">
        <f>IF(I42&lt;&gt;"",MAX(A$1:A41)+1,"")</f>
        <v/>
      </c>
      <c r="B42" s="74"/>
      <c r="C42" s="74"/>
      <c r="D42" s="26" t="str">
        <f t="shared" si="1"/>
        <v/>
      </c>
      <c r="F42" s="65"/>
      <c r="G42" s="62"/>
      <c r="H42" s="68" t="str">
        <f t="shared" si="0"/>
        <v/>
      </c>
      <c r="I42" s="72"/>
    </row>
    <row r="43" spans="1:11" ht="23.25" x14ac:dyDescent="0.25">
      <c r="A43" s="33">
        <f>IF(I43&lt;&gt;"",MAX(A$1:A42)+1,"")</f>
        <v>22</v>
      </c>
      <c r="B43" s="31" t="s">
        <v>51</v>
      </c>
      <c r="C43" s="26" t="s">
        <v>80</v>
      </c>
      <c r="D43" s="26">
        <f t="shared" si="1"/>
        <v>4</v>
      </c>
      <c r="E43" s="32" t="s">
        <v>52</v>
      </c>
      <c r="F43" s="65"/>
      <c r="G43" s="62">
        <f>'Motor SR Table'!C28</f>
        <v>1.7</v>
      </c>
      <c r="H43" s="68" t="str">
        <f t="shared" si="0"/>
        <v>999A</v>
      </c>
      <c r="I43" s="70">
        <f>HEX2DEC(FLOAT2HEX(G43))-I44*2^16</f>
        <v>39322</v>
      </c>
    </row>
    <row r="44" spans="1:11" ht="23.25" x14ac:dyDescent="0.25">
      <c r="A44" s="33">
        <f>IF(I44&lt;&gt;"",MAX(A$1:A43)+1,"")</f>
        <v>23</v>
      </c>
      <c r="B44" s="31"/>
      <c r="C44" s="31"/>
      <c r="D44" s="31"/>
      <c r="E44" s="25"/>
      <c r="F44" s="57"/>
      <c r="G44" s="18"/>
      <c r="H44" s="68" t="str">
        <f t="shared" si="0"/>
        <v>3FD9</v>
      </c>
      <c r="I44" s="70">
        <f>TRUNC(HEX2DEC(FLOAT2HEX(G43))/2^16)</f>
        <v>16345</v>
      </c>
    </row>
    <row r="45" spans="1:11" ht="23.25" x14ac:dyDescent="0.25">
      <c r="A45" s="33" t="str">
        <f>IF(I45&lt;&gt;"",MAX(A$1:A44)+1,"")</f>
        <v/>
      </c>
      <c r="G45" s="62"/>
      <c r="H45" s="68"/>
      <c r="I45" s="70"/>
    </row>
    <row r="46" spans="1:11" ht="30" x14ac:dyDescent="0.25">
      <c r="A46" s="33">
        <f>IF(I46&lt;&gt;"",MAX(A$1:A45)+1,"")</f>
        <v>24</v>
      </c>
      <c r="B46" s="12" t="s">
        <v>100</v>
      </c>
      <c r="C46" s="26" t="s">
        <v>104</v>
      </c>
      <c r="D46" s="26">
        <f t="shared" ref="D46" si="2">IF(OR(C46="sint64",C46="uint64",C46="double64"), 8, IF(OR(C46="sint32",C46="uint32",C46="float32"),4,IF(OR(C46="sint16",C46="uint16"),2,  IF(OR(C46="sint8",C46="uint8"),1,""))))</f>
        <v>4</v>
      </c>
      <c r="E46" s="32" t="s">
        <v>110</v>
      </c>
      <c r="F46" s="65">
        <f>ROUND((4000*'Motor SR Table'!C5)/(('Motor SR Table'!C4 * 'Motor SR Table'!C35 *'Motor SR Table'!C34)/60),0)</f>
        <v>1709</v>
      </c>
      <c r="G46" s="73">
        <f>F46</f>
        <v>1709</v>
      </c>
      <c r="H46" s="68" t="str">
        <f t="shared" si="0"/>
        <v>06AD</v>
      </c>
      <c r="I46" s="70">
        <f>F46-I47</f>
        <v>1709</v>
      </c>
    </row>
    <row r="47" spans="1:11" ht="23.25" x14ac:dyDescent="0.25">
      <c r="A47" s="33">
        <f>IF(I47&lt;&gt;"",MAX(A$1:A46)+1,"")</f>
        <v>25</v>
      </c>
      <c r="B47" s="12"/>
      <c r="C47" s="12"/>
      <c r="D47" s="12"/>
      <c r="E47" s="13"/>
      <c r="F47" s="14"/>
      <c r="G47" s="62"/>
      <c r="H47" s="68" t="str">
        <f t="shared" si="0"/>
        <v>0000</v>
      </c>
      <c r="I47" s="70">
        <f>TRUNC(G46/2^16)</f>
        <v>0</v>
      </c>
    </row>
    <row r="48" spans="1:11" x14ac:dyDescent="0.25">
      <c r="A48" s="33" t="str">
        <f>IF(I48&lt;&gt;"",MAX(A$1:A47)+1,"")</f>
        <v/>
      </c>
      <c r="B48" s="12"/>
      <c r="C48" s="12"/>
      <c r="D48" s="12"/>
      <c r="E48" s="13"/>
      <c r="F48" s="14"/>
      <c r="G48" s="22"/>
      <c r="I48" s="22"/>
    </row>
    <row r="49" spans="2:9" x14ac:dyDescent="0.25">
      <c r="B49" s="12"/>
      <c r="C49" s="12"/>
      <c r="D49" s="12"/>
      <c r="E49" s="13"/>
      <c r="F49" s="14"/>
      <c r="G49" s="28"/>
      <c r="I49" s="28"/>
    </row>
    <row r="50" spans="2:9" x14ac:dyDescent="0.25">
      <c r="B50" s="12"/>
      <c r="C50" s="12"/>
      <c r="D50" s="12"/>
      <c r="E50" s="21"/>
      <c r="F50" s="14"/>
      <c r="G50" s="22"/>
      <c r="I50" s="22"/>
    </row>
    <row r="51" spans="2:9" x14ac:dyDescent="0.25">
      <c r="B51" s="12"/>
      <c r="C51" s="12"/>
      <c r="D51" s="12"/>
      <c r="E51" s="21"/>
      <c r="F51" s="14"/>
      <c r="G51" s="14"/>
      <c r="I51" s="14"/>
    </row>
    <row r="52" spans="2:9" x14ac:dyDescent="0.25">
      <c r="B52" s="12"/>
      <c r="C52" s="12"/>
      <c r="D52" s="12"/>
      <c r="E52" s="28"/>
      <c r="F52" s="28"/>
      <c r="G52" s="23"/>
      <c r="I52" s="23"/>
    </row>
    <row r="53" spans="2:9" x14ac:dyDescent="0.25">
      <c r="B53" s="20"/>
      <c r="C53" s="20"/>
      <c r="D53" s="20"/>
      <c r="E53" s="13"/>
      <c r="F53" s="14"/>
      <c r="G53" s="14"/>
      <c r="I53" s="14"/>
    </row>
    <row r="54" spans="2:9" x14ac:dyDescent="0.25">
      <c r="B54" s="20"/>
      <c r="C54" s="20"/>
      <c r="D54" s="20"/>
      <c r="E54" s="28"/>
      <c r="F54" s="14"/>
      <c r="G54" s="22"/>
      <c r="I54" s="22"/>
    </row>
    <row r="55" spans="2:9" ht="17.25" x14ac:dyDescent="0.25">
      <c r="B55" s="28"/>
      <c r="C55" s="28"/>
      <c r="D55" s="28"/>
      <c r="E55" s="59"/>
      <c r="F55" s="19"/>
      <c r="G55" s="22"/>
      <c r="I55" s="22"/>
    </row>
    <row r="56" spans="2:9" ht="17.25" x14ac:dyDescent="0.25">
      <c r="B56" s="12"/>
      <c r="C56" s="12"/>
      <c r="D56" s="12"/>
      <c r="E56" s="59"/>
      <c r="F56" s="28"/>
      <c r="G56" s="22"/>
      <c r="I56" s="22"/>
    </row>
    <row r="57" spans="2:9" x14ac:dyDescent="0.25">
      <c r="B57" s="28"/>
      <c r="C57" s="28"/>
      <c r="D57" s="28"/>
      <c r="E57" s="13"/>
      <c r="F57" s="14"/>
      <c r="G57" s="22"/>
      <c r="I57" s="22"/>
    </row>
    <row r="58" spans="2:9" ht="17.25" x14ac:dyDescent="0.25">
      <c r="B58" s="59"/>
      <c r="C58" s="76"/>
      <c r="D58" s="76"/>
      <c r="E58" s="13"/>
      <c r="F58" s="14"/>
      <c r="G58" s="22"/>
      <c r="I58" s="22"/>
    </row>
    <row r="59" spans="2:9" ht="17.25" x14ac:dyDescent="0.25">
      <c r="B59" s="59"/>
      <c r="C59" s="76"/>
      <c r="D59" s="76"/>
      <c r="E59" s="13"/>
      <c r="F59" s="14"/>
      <c r="G59" s="22"/>
      <c r="I59" s="22"/>
    </row>
    <row r="60" spans="2:9" x14ac:dyDescent="0.25">
      <c r="B60" s="12"/>
      <c r="C60" s="12"/>
      <c r="D60" s="12"/>
      <c r="E60" s="13"/>
      <c r="F60" s="14"/>
      <c r="G60" s="22"/>
      <c r="I60" s="22"/>
    </row>
    <row r="61" spans="2:9" x14ac:dyDescent="0.25">
      <c r="B61" s="12"/>
      <c r="C61" s="12"/>
      <c r="D61" s="12"/>
      <c r="E61" s="21"/>
      <c r="F61" s="14"/>
      <c r="G61" s="22"/>
      <c r="I61" s="22"/>
    </row>
    <row r="62" spans="2:9" x14ac:dyDescent="0.25">
      <c r="B62" s="12"/>
      <c r="C62" s="12"/>
      <c r="D62" s="12"/>
      <c r="E62" s="13"/>
      <c r="F62" s="14"/>
      <c r="G62" s="22"/>
      <c r="I62" s="22"/>
    </row>
    <row r="63" spans="2:9" x14ac:dyDescent="0.25">
      <c r="B63" s="12"/>
      <c r="C63" s="12"/>
      <c r="D63" s="12"/>
      <c r="E63" s="13"/>
      <c r="F63" s="14"/>
      <c r="G63" s="22"/>
      <c r="I63" s="22"/>
    </row>
    <row r="64" spans="2:9" x14ac:dyDescent="0.25">
      <c r="B64" s="20"/>
      <c r="C64" s="20"/>
      <c r="D64" s="20"/>
      <c r="E64" s="13"/>
      <c r="F64" s="14"/>
      <c r="G64" s="22"/>
      <c r="I64" s="22"/>
    </row>
    <row r="65" spans="2:9" x14ac:dyDescent="0.25">
      <c r="B65" s="12"/>
      <c r="C65" s="12"/>
      <c r="D65" s="12"/>
      <c r="E65" s="13"/>
      <c r="F65" s="14"/>
      <c r="G65" s="22"/>
      <c r="I65" s="22"/>
    </row>
    <row r="66" spans="2:9" x14ac:dyDescent="0.25">
      <c r="B66" s="12"/>
      <c r="C66" s="12"/>
      <c r="D66" s="12"/>
      <c r="E66" s="21"/>
      <c r="F66" s="14"/>
      <c r="G66" s="22"/>
      <c r="I66" s="22"/>
    </row>
    <row r="67" spans="2:9" x14ac:dyDescent="0.25">
      <c r="B67" s="12"/>
      <c r="C67" s="12"/>
      <c r="D67" s="12"/>
      <c r="E67" s="28"/>
      <c r="F67" s="14"/>
      <c r="G67" s="22"/>
      <c r="I67" s="22"/>
    </row>
    <row r="68" spans="2:9" x14ac:dyDescent="0.25">
      <c r="B68" s="12"/>
      <c r="C68" s="12"/>
      <c r="D68" s="12"/>
      <c r="E68" s="21"/>
      <c r="F68" s="14"/>
      <c r="G68" s="22"/>
      <c r="I68" s="22"/>
    </row>
    <row r="69" spans="2:9" x14ac:dyDescent="0.25">
      <c r="B69" s="20"/>
      <c r="C69" s="20"/>
      <c r="D69" s="20"/>
      <c r="E69" s="13"/>
      <c r="F69" s="14"/>
      <c r="G69" s="22"/>
      <c r="I69" s="22"/>
    </row>
    <row r="70" spans="2:9" x14ac:dyDescent="0.25">
      <c r="B70" s="28"/>
      <c r="C70" s="28"/>
      <c r="D70" s="28"/>
      <c r="E70" s="13"/>
      <c r="F70" s="14"/>
      <c r="G70" s="22"/>
      <c r="I70" s="22"/>
    </row>
    <row r="71" spans="2:9" x14ac:dyDescent="0.25">
      <c r="B71" s="20"/>
      <c r="C71" s="20"/>
      <c r="D71" s="20"/>
      <c r="E71" s="13"/>
      <c r="F71" s="14"/>
      <c r="G71" s="22"/>
      <c r="I71" s="22"/>
    </row>
    <row r="72" spans="2:9" x14ac:dyDescent="0.25">
      <c r="B72" s="12"/>
      <c r="C72" s="12"/>
      <c r="D72" s="12"/>
      <c r="E72" s="13"/>
      <c r="F72" s="14"/>
      <c r="G72" s="22"/>
      <c r="I72" s="22"/>
    </row>
    <row r="73" spans="2:9" x14ac:dyDescent="0.25">
      <c r="B73" s="12"/>
      <c r="C73" s="12"/>
      <c r="D73" s="12"/>
      <c r="E73" s="21"/>
      <c r="F73" s="14"/>
      <c r="G73" s="22"/>
      <c r="I73" s="22"/>
    </row>
    <row r="74" spans="2:9" x14ac:dyDescent="0.25">
      <c r="B74" s="12"/>
      <c r="C74" s="12"/>
      <c r="D74" s="12"/>
      <c r="E74" s="28"/>
      <c r="F74" s="14"/>
      <c r="G74" s="22"/>
      <c r="I74" s="22"/>
    </row>
    <row r="75" spans="2:9" x14ac:dyDescent="0.25">
      <c r="B75" s="12"/>
      <c r="C75" s="12"/>
      <c r="D75" s="12"/>
      <c r="E75" s="21"/>
      <c r="F75" s="14"/>
      <c r="G75" s="22"/>
      <c r="I75" s="22"/>
    </row>
    <row r="76" spans="2:9" x14ac:dyDescent="0.25">
      <c r="B76" s="20"/>
      <c r="C76" s="20"/>
      <c r="D76" s="20"/>
      <c r="E76" s="13"/>
      <c r="F76" s="14"/>
      <c r="G76" s="22"/>
      <c r="I76" s="22"/>
    </row>
    <row r="77" spans="2:9" x14ac:dyDescent="0.25">
      <c r="B77" s="28"/>
      <c r="C77" s="28"/>
      <c r="D77" s="28"/>
      <c r="E77" s="13"/>
      <c r="F77" s="14"/>
      <c r="G77" s="22"/>
      <c r="I77" s="22"/>
    </row>
    <row r="78" spans="2:9" x14ac:dyDescent="0.25">
      <c r="B78" s="20"/>
      <c r="C78" s="20"/>
      <c r="D78" s="20"/>
      <c r="E78" s="13"/>
      <c r="F78" s="14"/>
      <c r="G78" s="22"/>
      <c r="I78" s="22"/>
    </row>
    <row r="79" spans="2:9" x14ac:dyDescent="0.25">
      <c r="B79" s="12"/>
      <c r="C79" s="12"/>
      <c r="D79" s="12"/>
      <c r="E79" s="13"/>
      <c r="F79" s="14"/>
      <c r="G79" s="22"/>
      <c r="I79" s="22"/>
    </row>
    <row r="80" spans="2:9" x14ac:dyDescent="0.25">
      <c r="B80" s="12"/>
      <c r="C80" s="12"/>
      <c r="D80" s="12"/>
      <c r="E80" s="21"/>
      <c r="F80" s="14"/>
      <c r="G80" s="22"/>
      <c r="I80" s="22"/>
    </row>
    <row r="81" spans="2:9" x14ac:dyDescent="0.25">
      <c r="B81" s="12"/>
      <c r="C81" s="12"/>
      <c r="D81" s="12"/>
      <c r="E81" s="28"/>
      <c r="F81" s="14"/>
      <c r="G81" s="22"/>
      <c r="I81" s="22"/>
    </row>
    <row r="82" spans="2:9" x14ac:dyDescent="0.25">
      <c r="B82" s="12"/>
      <c r="C82" s="12"/>
      <c r="D82" s="12"/>
      <c r="E82" s="21"/>
      <c r="F82" s="14"/>
      <c r="G82" s="22"/>
      <c r="I82" s="22"/>
    </row>
    <row r="83" spans="2:9" x14ac:dyDescent="0.25">
      <c r="B83" s="20"/>
      <c r="C83" s="20"/>
      <c r="D83" s="20"/>
      <c r="E83" s="13"/>
      <c r="F83" s="14"/>
      <c r="G83" s="22"/>
      <c r="I83" s="22"/>
    </row>
    <row r="84" spans="2:9" x14ac:dyDescent="0.25">
      <c r="B84" s="28"/>
      <c r="C84" s="28"/>
      <c r="D84" s="28"/>
      <c r="E84" s="13"/>
      <c r="F84" s="14"/>
      <c r="G84" s="22"/>
      <c r="I84" s="22"/>
    </row>
    <row r="85" spans="2:9" x14ac:dyDescent="0.25">
      <c r="B85" s="20"/>
      <c r="C85" s="20"/>
      <c r="D85" s="20"/>
      <c r="E85" s="13"/>
      <c r="F85" s="14"/>
      <c r="G85" s="22"/>
      <c r="I85" s="22"/>
    </row>
    <row r="86" spans="2:9" x14ac:dyDescent="0.25">
      <c r="B86" s="12"/>
      <c r="C86" s="12"/>
      <c r="D86" s="12"/>
      <c r="E86" s="13"/>
      <c r="F86" s="14"/>
      <c r="G86" s="22"/>
      <c r="I86" s="22"/>
    </row>
    <row r="87" spans="2:9" x14ac:dyDescent="0.25">
      <c r="B87" s="12"/>
      <c r="C87" s="12"/>
      <c r="D87" s="12"/>
      <c r="E87" s="21"/>
      <c r="F87" s="14"/>
      <c r="G87" s="22"/>
      <c r="I87" s="22"/>
    </row>
    <row r="88" spans="2:9" x14ac:dyDescent="0.25">
      <c r="B88" s="12"/>
      <c r="C88" s="12"/>
      <c r="D88" s="12"/>
      <c r="E88" s="13"/>
      <c r="F88" s="14"/>
      <c r="G88" s="14"/>
      <c r="I88" s="14"/>
    </row>
    <row r="89" spans="2:9" x14ac:dyDescent="0.25">
      <c r="B89" s="12"/>
      <c r="C89" s="12"/>
      <c r="D89" s="12"/>
      <c r="E89" s="13"/>
      <c r="F89" s="14"/>
      <c r="G89" s="23"/>
      <c r="I89" s="23"/>
    </row>
    <row r="90" spans="2:9" x14ac:dyDescent="0.25">
      <c r="B90" s="20"/>
      <c r="C90" s="20"/>
      <c r="D90" s="20"/>
      <c r="E90" s="13"/>
      <c r="F90" s="14"/>
      <c r="G90" s="14"/>
      <c r="I90" s="14"/>
    </row>
    <row r="91" spans="2:9" x14ac:dyDescent="0.25">
      <c r="B91" s="12"/>
      <c r="C91" s="12"/>
      <c r="D91" s="12"/>
      <c r="E91" s="28"/>
      <c r="F91" s="14"/>
      <c r="G91" s="22"/>
      <c r="I91" s="22"/>
    </row>
    <row r="92" spans="2:9" ht="17.25" x14ac:dyDescent="0.25">
      <c r="B92" s="12"/>
      <c r="C92" s="12"/>
      <c r="D92" s="12"/>
      <c r="E92" s="59"/>
      <c r="F92" s="19"/>
      <c r="G92" s="22"/>
      <c r="I92" s="22"/>
    </row>
    <row r="93" spans="2:9" ht="17.25" x14ac:dyDescent="0.25">
      <c r="B93" s="12"/>
      <c r="C93" s="12"/>
      <c r="D93" s="12"/>
      <c r="E93" s="59"/>
      <c r="F93" s="28"/>
      <c r="G93" s="22"/>
      <c r="I93" s="22"/>
    </row>
    <row r="94" spans="2:9" x14ac:dyDescent="0.25">
      <c r="B94" s="28"/>
      <c r="C94" s="28"/>
      <c r="D94" s="28"/>
      <c r="E94" s="21"/>
      <c r="F94" s="14"/>
      <c r="G94" s="22"/>
      <c r="I94" s="22"/>
    </row>
    <row r="95" spans="2:9" ht="17.25" x14ac:dyDescent="0.25">
      <c r="B95" s="59"/>
      <c r="C95" s="76"/>
      <c r="D95" s="76"/>
      <c r="E95" s="13"/>
      <c r="F95" s="14"/>
      <c r="G95" s="22"/>
      <c r="I95" s="22"/>
    </row>
    <row r="96" spans="2:9" ht="17.25" x14ac:dyDescent="0.25">
      <c r="B96" s="59"/>
      <c r="C96" s="76"/>
      <c r="D96" s="76"/>
      <c r="E96" s="13"/>
      <c r="F96" s="14"/>
      <c r="G96" s="22"/>
      <c r="I96" s="22"/>
    </row>
    <row r="97" spans="2:9" x14ac:dyDescent="0.25">
      <c r="B97" s="20"/>
      <c r="C97" s="20"/>
      <c r="D97" s="20"/>
      <c r="E97" s="13"/>
      <c r="F97" s="14"/>
      <c r="G97" s="22"/>
      <c r="I97" s="22"/>
    </row>
    <row r="98" spans="2:9" x14ac:dyDescent="0.25">
      <c r="B98" s="12"/>
      <c r="C98" s="12"/>
      <c r="D98" s="12"/>
      <c r="E98" s="13"/>
      <c r="F98" s="14"/>
      <c r="G98" s="22"/>
      <c r="I98" s="22"/>
    </row>
    <row r="99" spans="2:9" x14ac:dyDescent="0.25">
      <c r="B99" s="12"/>
      <c r="C99" s="12"/>
      <c r="D99" s="12"/>
      <c r="E99" s="21"/>
      <c r="F99" s="14"/>
      <c r="G99" s="22"/>
      <c r="I99" s="22"/>
    </row>
    <row r="100" spans="2:9" x14ac:dyDescent="0.25">
      <c r="B100" s="12"/>
      <c r="C100" s="12"/>
      <c r="D100" s="12"/>
      <c r="E100" s="28"/>
      <c r="F100" s="14"/>
      <c r="G100" s="14"/>
      <c r="I100" s="14"/>
    </row>
    <row r="101" spans="2:9" x14ac:dyDescent="0.25">
      <c r="B101" s="12"/>
      <c r="C101" s="12"/>
      <c r="D101" s="12"/>
      <c r="E101" s="13"/>
      <c r="F101" s="14"/>
      <c r="G101" s="23"/>
      <c r="I101" s="23"/>
    </row>
    <row r="102" spans="2:9" x14ac:dyDescent="0.25">
      <c r="B102" s="20"/>
      <c r="C102" s="20"/>
      <c r="D102" s="20"/>
      <c r="E102" s="13"/>
      <c r="F102" s="14"/>
      <c r="G102" s="14"/>
      <c r="I102" s="14"/>
    </row>
    <row r="103" spans="2:9" x14ac:dyDescent="0.25">
      <c r="B103" s="28"/>
      <c r="C103" s="28"/>
      <c r="D103" s="28"/>
      <c r="E103" s="28"/>
      <c r="F103" s="14"/>
      <c r="G103" s="22"/>
      <c r="I103" s="22"/>
    </row>
    <row r="104" spans="2:9" ht="17.25" x14ac:dyDescent="0.25">
      <c r="B104" s="12"/>
      <c r="C104" s="12"/>
      <c r="D104" s="12"/>
      <c r="E104" s="59"/>
      <c r="F104" s="19"/>
      <c r="G104" s="22"/>
      <c r="I104" s="22"/>
    </row>
    <row r="105" spans="2:9" ht="17.25" x14ac:dyDescent="0.25">
      <c r="B105" s="12"/>
      <c r="C105" s="12"/>
      <c r="D105" s="12"/>
      <c r="E105" s="59"/>
      <c r="F105" s="28"/>
      <c r="G105" s="22"/>
      <c r="I105" s="22"/>
    </row>
    <row r="106" spans="2:9" x14ac:dyDescent="0.25">
      <c r="B106" s="28"/>
      <c r="C106" s="28"/>
      <c r="D106" s="28"/>
      <c r="E106" s="21"/>
      <c r="F106" s="14"/>
      <c r="G106" s="22"/>
      <c r="I106" s="22"/>
    </row>
    <row r="107" spans="2:9" ht="17.25" x14ac:dyDescent="0.25">
      <c r="B107" s="59"/>
      <c r="C107" s="76"/>
      <c r="D107" s="76"/>
      <c r="E107" s="13"/>
      <c r="F107" s="14"/>
      <c r="G107" s="22"/>
      <c r="I107" s="22"/>
    </row>
    <row r="108" spans="2:9" ht="17.25" x14ac:dyDescent="0.25">
      <c r="B108" s="59"/>
      <c r="C108" s="76"/>
      <c r="D108" s="76"/>
      <c r="E108" s="13"/>
      <c r="F108" s="14"/>
      <c r="G108" s="22"/>
      <c r="I108" s="22"/>
    </row>
    <row r="109" spans="2:9" x14ac:dyDescent="0.25">
      <c r="B109" s="20"/>
      <c r="C109" s="20"/>
      <c r="D109" s="20"/>
      <c r="E109" s="13"/>
      <c r="F109" s="14"/>
      <c r="G109" s="22"/>
      <c r="I109" s="22"/>
    </row>
    <row r="110" spans="2:9" x14ac:dyDescent="0.25">
      <c r="B110" s="12"/>
      <c r="C110" s="12"/>
      <c r="D110" s="12"/>
      <c r="E110" s="13"/>
      <c r="F110" s="14"/>
      <c r="G110" s="22"/>
      <c r="I110" s="22"/>
    </row>
    <row r="111" spans="2:9" x14ac:dyDescent="0.25">
      <c r="B111" s="12"/>
      <c r="C111" s="12"/>
      <c r="D111" s="12"/>
      <c r="E111" s="21"/>
      <c r="F111" s="14"/>
      <c r="G111" s="22"/>
      <c r="I111" s="22"/>
    </row>
    <row r="112" spans="2:9" x14ac:dyDescent="0.25">
      <c r="B112" s="12"/>
      <c r="C112" s="12"/>
      <c r="D112" s="12"/>
      <c r="E112" s="28"/>
      <c r="F112" s="14"/>
      <c r="G112" s="22"/>
      <c r="I112" s="22"/>
    </row>
    <row r="113" spans="2:18" x14ac:dyDescent="0.25">
      <c r="B113" s="12"/>
      <c r="C113" s="12"/>
      <c r="D113" s="12"/>
      <c r="E113" s="13"/>
      <c r="F113" s="14"/>
      <c r="G113" s="22"/>
      <c r="I113" s="22"/>
    </row>
    <row r="114" spans="2:18" x14ac:dyDescent="0.25">
      <c r="B114" s="20"/>
      <c r="C114" s="20"/>
      <c r="D114" s="20"/>
      <c r="E114" s="13"/>
      <c r="F114" s="14"/>
      <c r="G114" s="28"/>
      <c r="I114" s="28"/>
    </row>
    <row r="115" spans="2:18" x14ac:dyDescent="0.25">
      <c r="B115" s="28"/>
      <c r="C115" s="28"/>
      <c r="D115" s="28"/>
      <c r="E115" s="13"/>
      <c r="F115" s="14"/>
      <c r="G115" s="23"/>
      <c r="I115" s="23"/>
    </row>
    <row r="116" spans="2:18" x14ac:dyDescent="0.25">
      <c r="B116" s="12"/>
      <c r="C116" s="12"/>
      <c r="D116" s="12"/>
      <c r="E116" s="13"/>
      <c r="F116" s="14"/>
      <c r="G116" s="14"/>
      <c r="I116" s="14"/>
    </row>
    <row r="117" spans="2:18" x14ac:dyDescent="0.25">
      <c r="B117" s="12"/>
      <c r="C117" s="12"/>
      <c r="D117" s="12"/>
      <c r="E117" s="28"/>
      <c r="F117" s="14"/>
      <c r="G117" s="22"/>
      <c r="I117" s="22"/>
    </row>
    <row r="118" spans="2:18" ht="17.25" x14ac:dyDescent="0.25">
      <c r="B118" s="12"/>
      <c r="C118" s="12"/>
      <c r="D118" s="12"/>
      <c r="E118" s="59"/>
      <c r="F118" s="19"/>
      <c r="G118" s="22"/>
      <c r="I118" s="22"/>
    </row>
    <row r="119" spans="2:18" ht="17.25" x14ac:dyDescent="0.25">
      <c r="B119" s="12"/>
      <c r="C119" s="12"/>
      <c r="D119" s="12"/>
      <c r="E119" s="59"/>
      <c r="F119" s="28"/>
      <c r="G119" s="22"/>
      <c r="I119" s="22"/>
    </row>
    <row r="120" spans="2:18" x14ac:dyDescent="0.25">
      <c r="B120" s="28"/>
      <c r="C120" s="28"/>
      <c r="D120" s="28"/>
      <c r="E120" s="21"/>
      <c r="F120" s="14"/>
      <c r="G120" s="22"/>
      <c r="I120" s="22"/>
    </row>
    <row r="121" spans="2:18" ht="17.25" x14ac:dyDescent="0.25">
      <c r="B121" s="59"/>
      <c r="C121" s="76"/>
      <c r="D121" s="76"/>
      <c r="E121" s="13"/>
      <c r="F121" s="14"/>
      <c r="G121" s="22"/>
      <c r="I121" s="22"/>
    </row>
    <row r="122" spans="2:18" ht="17.25" x14ac:dyDescent="0.25">
      <c r="B122" s="59"/>
      <c r="C122" s="76"/>
      <c r="D122" s="76"/>
      <c r="E122" s="13"/>
      <c r="F122" s="14"/>
      <c r="G122" s="22"/>
      <c r="I122" s="22"/>
    </row>
    <row r="123" spans="2:18" x14ac:dyDescent="0.25">
      <c r="B123" s="20"/>
      <c r="C123" s="20"/>
      <c r="D123" s="20"/>
      <c r="E123" s="13"/>
      <c r="F123" s="14"/>
      <c r="G123" s="46"/>
      <c r="I123" s="46"/>
    </row>
    <row r="124" spans="2:18" s="33" customFormat="1" ht="19.5" x14ac:dyDescent="0.25">
      <c r="B124" s="12"/>
      <c r="C124" s="12"/>
      <c r="D124" s="12"/>
      <c r="E124" s="13"/>
      <c r="F124" s="14"/>
      <c r="G124" s="23"/>
      <c r="H124" s="26"/>
      <c r="I124" s="23"/>
      <c r="J124" s="2"/>
      <c r="K124" s="2"/>
      <c r="L124" s="2"/>
      <c r="M124" s="2"/>
      <c r="N124" s="2"/>
      <c r="O124" s="2"/>
      <c r="P124" s="2"/>
      <c r="Q124" s="2"/>
      <c r="R124" s="2"/>
    </row>
    <row r="125" spans="2:18" x14ac:dyDescent="0.25">
      <c r="B125" s="12"/>
      <c r="C125" s="12"/>
      <c r="D125" s="12"/>
      <c r="E125" s="21"/>
      <c r="F125" s="14"/>
      <c r="G125" s="22"/>
      <c r="I125" s="22"/>
    </row>
    <row r="126" spans="2:18" x14ac:dyDescent="0.25">
      <c r="B126" s="12"/>
      <c r="C126" s="12"/>
      <c r="D126" s="12"/>
      <c r="E126" s="28"/>
      <c r="F126" s="28"/>
      <c r="G126" s="22"/>
      <c r="I126" s="22"/>
    </row>
    <row r="127" spans="2:18" ht="17.25" x14ac:dyDescent="0.25">
      <c r="B127" s="12"/>
      <c r="C127" s="12"/>
      <c r="D127" s="12"/>
      <c r="E127" s="59"/>
      <c r="F127" s="19"/>
      <c r="G127" s="22"/>
      <c r="I127" s="22"/>
    </row>
    <row r="128" spans="2:18" ht="17.25" x14ac:dyDescent="0.25">
      <c r="B128" s="20"/>
      <c r="C128" s="20"/>
      <c r="D128" s="20"/>
      <c r="E128" s="59"/>
      <c r="F128" s="28"/>
      <c r="G128" s="22"/>
      <c r="I128" s="22"/>
    </row>
    <row r="129" spans="2:9" x14ac:dyDescent="0.25">
      <c r="B129" s="28"/>
      <c r="C129" s="28"/>
      <c r="D129" s="28"/>
      <c r="E129" s="13"/>
      <c r="F129" s="14"/>
      <c r="G129" s="22"/>
      <c r="I129" s="22"/>
    </row>
    <row r="130" spans="2:9" ht="17.25" x14ac:dyDescent="0.25">
      <c r="B130" s="59"/>
      <c r="C130" s="76"/>
      <c r="D130" s="76"/>
      <c r="E130" s="13"/>
      <c r="F130" s="14"/>
      <c r="G130" s="22"/>
      <c r="I130" s="22"/>
    </row>
    <row r="131" spans="2:9" ht="17.25" x14ac:dyDescent="0.25">
      <c r="B131" s="59"/>
      <c r="C131" s="76"/>
      <c r="D131" s="76"/>
      <c r="E131" s="13"/>
      <c r="F131" s="14"/>
      <c r="G131" s="22"/>
      <c r="I131" s="22"/>
    </row>
    <row r="132" spans="2:9" x14ac:dyDescent="0.25">
      <c r="B132" s="12"/>
      <c r="C132" s="12"/>
      <c r="D132" s="12"/>
      <c r="E132" s="13"/>
      <c r="F132" s="14"/>
      <c r="G132" s="22"/>
      <c r="I132" s="22"/>
    </row>
    <row r="133" spans="2:9" x14ac:dyDescent="0.25">
      <c r="B133" s="12"/>
      <c r="C133" s="12"/>
      <c r="D133" s="12"/>
      <c r="E133" s="13"/>
      <c r="F133" s="14"/>
      <c r="G133" s="22"/>
      <c r="I133" s="22"/>
    </row>
    <row r="134" spans="2:9" x14ac:dyDescent="0.25">
      <c r="B134" s="12"/>
      <c r="C134" s="12"/>
      <c r="D134" s="12"/>
      <c r="E134" s="13"/>
      <c r="F134" s="14"/>
      <c r="G134" s="46"/>
      <c r="I134" s="46"/>
    </row>
    <row r="135" spans="2:9" x14ac:dyDescent="0.25">
      <c r="B135" s="12"/>
      <c r="C135" s="12"/>
      <c r="D135" s="12"/>
      <c r="E135" s="13"/>
      <c r="F135" s="14"/>
      <c r="G135" s="22"/>
      <c r="I135" s="22"/>
    </row>
    <row r="136" spans="2:9" x14ac:dyDescent="0.25">
      <c r="B136" s="12"/>
      <c r="C136" s="12"/>
      <c r="D136" s="12"/>
      <c r="E136" s="13"/>
      <c r="F136" s="14"/>
      <c r="G136" s="22"/>
      <c r="I136" s="22"/>
    </row>
    <row r="137" spans="2:9" x14ac:dyDescent="0.25">
      <c r="B137" s="12"/>
      <c r="C137" s="12"/>
      <c r="D137" s="12"/>
      <c r="E137" s="28"/>
      <c r="F137" s="28"/>
      <c r="G137" s="22"/>
      <c r="I137" s="22"/>
    </row>
    <row r="138" spans="2:9" x14ac:dyDescent="0.25">
      <c r="B138" s="12"/>
      <c r="C138" s="12"/>
      <c r="D138" s="12"/>
      <c r="E138" s="13"/>
      <c r="F138" s="14"/>
      <c r="G138" s="22"/>
      <c r="I138" s="22"/>
    </row>
    <row r="139" spans="2:9" x14ac:dyDescent="0.25">
      <c r="B139" s="12"/>
      <c r="C139" s="12"/>
      <c r="D139" s="12"/>
      <c r="E139" s="13"/>
      <c r="F139" s="14"/>
      <c r="G139" s="22"/>
      <c r="I139" s="22"/>
    </row>
    <row r="140" spans="2:9" x14ac:dyDescent="0.25">
      <c r="B140" s="28"/>
      <c r="C140" s="28"/>
      <c r="D140" s="28"/>
      <c r="E140" s="13"/>
      <c r="F140" s="14"/>
      <c r="G140" s="22"/>
      <c r="I140" s="22"/>
    </row>
    <row r="141" spans="2:9" x14ac:dyDescent="0.25">
      <c r="B141" s="12"/>
      <c r="C141" s="12"/>
      <c r="D141" s="12"/>
      <c r="E141" s="13"/>
      <c r="F141" s="14"/>
      <c r="G141" s="22"/>
      <c r="I141" s="22"/>
    </row>
    <row r="142" spans="2:9" x14ac:dyDescent="0.25">
      <c r="B142" s="12"/>
      <c r="C142" s="12"/>
      <c r="D142" s="12"/>
      <c r="E142" s="13"/>
      <c r="F142" s="14"/>
      <c r="G142" s="22"/>
      <c r="I142" s="22"/>
    </row>
    <row r="143" spans="2:9" ht="15" customHeight="1" x14ac:dyDescent="0.25">
      <c r="B143" s="12"/>
      <c r="C143" s="12"/>
      <c r="D143" s="12"/>
      <c r="E143" s="13"/>
      <c r="F143" s="14"/>
      <c r="G143" s="22"/>
      <c r="I143" s="22"/>
    </row>
    <row r="144" spans="2:9" x14ac:dyDescent="0.25">
      <c r="B144" s="12"/>
      <c r="C144" s="12"/>
      <c r="D144" s="12"/>
      <c r="E144" s="13"/>
      <c r="F144" s="14"/>
      <c r="G144" s="22"/>
      <c r="I144" s="22"/>
    </row>
    <row r="145" spans="2:47" x14ac:dyDescent="0.25">
      <c r="B145" s="12"/>
      <c r="C145" s="12"/>
      <c r="D145" s="12"/>
      <c r="E145" s="13"/>
      <c r="F145" s="14"/>
      <c r="G145" s="22"/>
      <c r="I145" s="22"/>
    </row>
    <row r="146" spans="2:47" x14ac:dyDescent="0.25">
      <c r="B146" s="12"/>
      <c r="C146" s="12"/>
      <c r="D146" s="12"/>
      <c r="E146" s="13"/>
      <c r="F146" s="14"/>
      <c r="G146" s="22"/>
      <c r="I146" s="22"/>
    </row>
    <row r="147" spans="2:47" x14ac:dyDescent="0.25">
      <c r="B147" s="12"/>
      <c r="C147" s="12"/>
      <c r="D147" s="12"/>
      <c r="E147" s="13"/>
      <c r="F147" s="14"/>
      <c r="G147" s="22"/>
      <c r="I147" s="22"/>
    </row>
    <row r="148" spans="2:47" x14ac:dyDescent="0.25">
      <c r="B148" s="12"/>
      <c r="C148" s="12"/>
      <c r="D148" s="12"/>
      <c r="E148" s="13"/>
      <c r="F148" s="14"/>
      <c r="G148" s="22"/>
      <c r="I148" s="22"/>
    </row>
    <row r="149" spans="2:47" ht="19.5" x14ac:dyDescent="0.25">
      <c r="B149" s="12"/>
      <c r="C149" s="12"/>
      <c r="D149" s="12"/>
      <c r="E149" s="13"/>
      <c r="F149" s="14"/>
      <c r="G149" s="22"/>
      <c r="H149" s="2"/>
      <c r="I149" s="22"/>
    </row>
    <row r="150" spans="2:47" x14ac:dyDescent="0.25">
      <c r="B150" s="12"/>
      <c r="C150" s="12"/>
      <c r="D150" s="12"/>
      <c r="E150" s="13"/>
      <c r="F150" s="14"/>
      <c r="G150" s="22"/>
      <c r="I150" s="22"/>
    </row>
    <row r="151" spans="2:47" s="33" customFormat="1" x14ac:dyDescent="0.25">
      <c r="B151" s="12"/>
      <c r="C151" s="12"/>
      <c r="D151" s="12"/>
      <c r="E151" s="13"/>
      <c r="F151" s="14"/>
      <c r="G151" s="22"/>
      <c r="H151" s="26"/>
      <c r="I151" s="22"/>
    </row>
    <row r="152" spans="2:47" x14ac:dyDescent="0.25">
      <c r="B152" s="12"/>
      <c r="C152" s="12"/>
      <c r="D152" s="12"/>
      <c r="E152" s="13"/>
      <c r="F152" s="14"/>
      <c r="G152" s="22"/>
      <c r="I152" s="22"/>
      <c r="AU152" s="4"/>
    </row>
    <row r="153" spans="2:47" x14ac:dyDescent="0.25">
      <c r="B153" s="12"/>
      <c r="C153" s="12"/>
      <c r="D153" s="12"/>
      <c r="E153" s="13"/>
      <c r="F153" s="14"/>
      <c r="G153" s="22"/>
      <c r="I153" s="22"/>
    </row>
    <row r="154" spans="2:47" x14ac:dyDescent="0.25">
      <c r="B154" s="12"/>
      <c r="C154" s="12"/>
      <c r="D154" s="12"/>
      <c r="E154" s="13"/>
      <c r="F154" s="14"/>
      <c r="G154" s="22"/>
      <c r="I154" s="22"/>
    </row>
    <row r="155" spans="2:47" x14ac:dyDescent="0.25">
      <c r="B155" s="12"/>
      <c r="C155" s="12"/>
      <c r="D155" s="12"/>
      <c r="E155" s="13"/>
      <c r="F155" s="14"/>
      <c r="G155" s="22"/>
      <c r="I155" s="22"/>
    </row>
    <row r="156" spans="2:47" x14ac:dyDescent="0.25">
      <c r="B156" s="12"/>
      <c r="C156" s="12"/>
      <c r="D156" s="12"/>
      <c r="E156" s="13"/>
      <c r="F156" s="14"/>
      <c r="G156" s="22"/>
      <c r="I156" s="22"/>
    </row>
    <row r="157" spans="2:47" x14ac:dyDescent="0.25">
      <c r="B157" s="12"/>
      <c r="C157" s="12"/>
      <c r="D157" s="12"/>
      <c r="E157" s="13"/>
      <c r="F157" s="14"/>
      <c r="G157" s="22"/>
      <c r="I157" s="22"/>
    </row>
    <row r="158" spans="2:47" x14ac:dyDescent="0.25">
      <c r="B158" s="12"/>
      <c r="C158" s="12"/>
      <c r="D158" s="12"/>
      <c r="E158" s="13"/>
      <c r="F158" s="14"/>
      <c r="G158" s="28"/>
      <c r="I158" s="28"/>
    </row>
    <row r="159" spans="2:47" x14ac:dyDescent="0.25">
      <c r="B159" s="12"/>
      <c r="C159" s="12"/>
      <c r="D159" s="12"/>
      <c r="E159" s="13"/>
      <c r="F159" s="14"/>
      <c r="G159" s="23"/>
      <c r="I159" s="23"/>
    </row>
    <row r="160" spans="2:47" x14ac:dyDescent="0.25">
      <c r="B160" s="12"/>
      <c r="C160" s="12"/>
      <c r="D160" s="12"/>
      <c r="E160" s="13"/>
      <c r="F160" s="14"/>
      <c r="G160" s="22"/>
      <c r="I160" s="22"/>
    </row>
    <row r="161" spans="2:9" x14ac:dyDescent="0.25">
      <c r="B161" s="12"/>
      <c r="C161" s="12"/>
      <c r="D161" s="12"/>
      <c r="E161" s="28"/>
      <c r="F161" s="28"/>
      <c r="G161" s="22"/>
      <c r="I161" s="22"/>
    </row>
    <row r="162" spans="2:9" ht="17.25" x14ac:dyDescent="0.25">
      <c r="B162" s="12"/>
      <c r="C162" s="12"/>
      <c r="D162" s="12"/>
      <c r="E162" s="59"/>
      <c r="F162" s="19"/>
      <c r="G162" s="22"/>
      <c r="I162" s="22"/>
    </row>
    <row r="163" spans="2:9" ht="17.25" x14ac:dyDescent="0.25">
      <c r="B163" s="12"/>
      <c r="C163" s="12"/>
      <c r="D163" s="12"/>
      <c r="E163" s="59"/>
      <c r="F163" s="28"/>
      <c r="G163" s="14"/>
      <c r="I163" s="14"/>
    </row>
    <row r="164" spans="2:9" x14ac:dyDescent="0.25">
      <c r="B164" s="28"/>
      <c r="C164" s="28"/>
      <c r="D164" s="28"/>
      <c r="E164" s="13"/>
      <c r="F164" s="14"/>
      <c r="G164" s="23"/>
      <c r="I164" s="23"/>
    </row>
    <row r="165" spans="2:9" ht="17.25" x14ac:dyDescent="0.25">
      <c r="B165" s="59"/>
      <c r="C165" s="76"/>
      <c r="D165" s="76"/>
      <c r="E165" s="13"/>
      <c r="F165" s="28"/>
      <c r="G165" s="22"/>
      <c r="I165" s="22"/>
    </row>
    <row r="166" spans="2:9" ht="17.25" x14ac:dyDescent="0.25">
      <c r="B166" s="59"/>
      <c r="C166" s="76"/>
      <c r="D166" s="76"/>
      <c r="E166" s="13"/>
      <c r="F166" s="14"/>
      <c r="G166" s="48"/>
      <c r="I166" s="48"/>
    </row>
    <row r="167" spans="2:9" ht="17.25" x14ac:dyDescent="0.25">
      <c r="B167" s="12"/>
      <c r="C167" s="12"/>
      <c r="D167" s="12"/>
      <c r="E167" s="59"/>
      <c r="F167" s="19"/>
      <c r="G167" s="22"/>
      <c r="I167" s="22"/>
    </row>
    <row r="168" spans="2:9" ht="17.25" x14ac:dyDescent="0.25">
      <c r="B168" s="12"/>
      <c r="C168" s="12"/>
      <c r="D168" s="12"/>
      <c r="E168" s="59"/>
      <c r="F168" s="28"/>
      <c r="G168" s="22"/>
      <c r="I168" s="22"/>
    </row>
    <row r="169" spans="2:9" x14ac:dyDescent="0.25">
      <c r="B169" s="12"/>
      <c r="C169" s="12"/>
      <c r="D169" s="12"/>
      <c r="E169" s="13"/>
      <c r="F169" s="47"/>
      <c r="G169" s="15"/>
      <c r="I169" s="15"/>
    </row>
    <row r="170" spans="2:9" ht="17.25" x14ac:dyDescent="0.25">
      <c r="B170" s="59"/>
      <c r="C170" s="76"/>
      <c r="D170" s="76"/>
      <c r="E170" s="13"/>
      <c r="F170" s="28"/>
      <c r="G170" s="15"/>
      <c r="I170" s="15"/>
    </row>
    <row r="171" spans="2:9" ht="17.25" x14ac:dyDescent="0.25">
      <c r="B171" s="59"/>
      <c r="C171" s="76"/>
      <c r="D171" s="76"/>
      <c r="E171" s="13"/>
      <c r="F171" s="28"/>
      <c r="G171" s="28"/>
      <c r="I171" s="28"/>
    </row>
    <row r="172" spans="2:9" x14ac:dyDescent="0.25">
      <c r="B172" s="12"/>
      <c r="C172" s="12"/>
      <c r="D172" s="12"/>
      <c r="E172" s="13"/>
      <c r="F172" s="28"/>
      <c r="G172" s="23"/>
      <c r="I172" s="23"/>
    </row>
    <row r="173" spans="2:9" x14ac:dyDescent="0.25">
      <c r="B173" s="12"/>
      <c r="C173" s="12"/>
      <c r="D173" s="12"/>
      <c r="E173" s="13"/>
      <c r="F173" s="28"/>
      <c r="G173" s="22"/>
      <c r="I173" s="22"/>
    </row>
    <row r="174" spans="2:9" x14ac:dyDescent="0.25">
      <c r="B174" s="12"/>
      <c r="C174" s="12"/>
      <c r="D174" s="12"/>
      <c r="E174" s="28"/>
      <c r="F174" s="28"/>
      <c r="G174" s="15"/>
      <c r="I174" s="15"/>
    </row>
    <row r="175" spans="2:9" ht="15" customHeight="1" x14ac:dyDescent="0.25">
      <c r="B175" s="12"/>
      <c r="C175" s="12"/>
      <c r="D175" s="12"/>
      <c r="E175" s="59"/>
      <c r="F175" s="19"/>
      <c r="G175" s="15"/>
      <c r="I175" s="15"/>
    </row>
    <row r="176" spans="2:9" ht="17.25" x14ac:dyDescent="0.25">
      <c r="B176" s="12"/>
      <c r="C176" s="12"/>
      <c r="D176" s="12"/>
      <c r="E176" s="59"/>
      <c r="F176" s="28"/>
      <c r="G176" s="15"/>
      <c r="H176" s="33"/>
      <c r="I176" s="15"/>
    </row>
    <row r="177" spans="2:9" x14ac:dyDescent="0.25">
      <c r="B177" s="28"/>
      <c r="C177" s="28"/>
      <c r="D177" s="28"/>
      <c r="E177" s="13"/>
      <c r="F177" s="45"/>
      <c r="G177" s="15"/>
      <c r="I177" s="15"/>
    </row>
    <row r="178" spans="2:9" ht="17.25" x14ac:dyDescent="0.25">
      <c r="B178" s="59"/>
      <c r="C178" s="76"/>
      <c r="D178" s="76"/>
      <c r="E178" s="13"/>
      <c r="F178" s="45"/>
      <c r="G178" s="15"/>
      <c r="I178" s="15"/>
    </row>
    <row r="179" spans="2:9" ht="17.25" x14ac:dyDescent="0.25">
      <c r="B179" s="59"/>
      <c r="C179" s="76"/>
      <c r="D179" s="76"/>
      <c r="E179" s="13"/>
      <c r="F179" s="40"/>
      <c r="G179" s="15"/>
      <c r="I179" s="15"/>
    </row>
    <row r="180" spans="2:9" x14ac:dyDescent="0.25">
      <c r="B180" s="12"/>
      <c r="C180" s="12"/>
      <c r="D180" s="12"/>
      <c r="E180" s="13"/>
      <c r="F180" s="45"/>
      <c r="G180" s="15"/>
      <c r="I180" s="15"/>
    </row>
    <row r="181" spans="2:9" x14ac:dyDescent="0.25">
      <c r="B181" s="12"/>
      <c r="C181" s="12"/>
      <c r="D181" s="12"/>
      <c r="E181" s="13"/>
      <c r="F181" s="45"/>
      <c r="G181" s="15"/>
      <c r="I181" s="15"/>
    </row>
    <row r="182" spans="2:9" x14ac:dyDescent="0.25">
      <c r="B182" s="12"/>
      <c r="C182" s="12"/>
      <c r="D182" s="12"/>
      <c r="E182" s="13"/>
      <c r="F182" s="45"/>
      <c r="G182" s="15"/>
      <c r="I182" s="15"/>
    </row>
    <row r="183" spans="2:9" x14ac:dyDescent="0.25">
      <c r="B183" s="12"/>
      <c r="C183" s="12"/>
      <c r="D183" s="12"/>
      <c r="E183" s="13"/>
      <c r="F183" s="45"/>
      <c r="G183" s="15"/>
      <c r="I183" s="15"/>
    </row>
    <row r="184" spans="2:9" x14ac:dyDescent="0.25">
      <c r="B184" s="12"/>
      <c r="C184" s="12"/>
      <c r="D184" s="12"/>
      <c r="E184" s="13"/>
      <c r="F184" s="45"/>
      <c r="G184" s="15"/>
      <c r="I184" s="15"/>
    </row>
    <row r="185" spans="2:9" x14ac:dyDescent="0.25">
      <c r="B185" s="12"/>
      <c r="C185" s="12"/>
      <c r="D185" s="12"/>
      <c r="E185" s="13"/>
      <c r="F185" s="45"/>
      <c r="G185" s="15"/>
      <c r="I185" s="15"/>
    </row>
    <row r="186" spans="2:9" x14ac:dyDescent="0.25">
      <c r="B186" s="12"/>
      <c r="C186" s="12"/>
      <c r="D186" s="12"/>
      <c r="E186" s="13"/>
      <c r="F186" s="45"/>
      <c r="G186" s="15"/>
      <c r="I186" s="15"/>
    </row>
    <row r="187" spans="2:9" x14ac:dyDescent="0.25">
      <c r="B187" s="12"/>
      <c r="C187" s="12"/>
      <c r="D187" s="12"/>
      <c r="E187" s="13"/>
      <c r="F187" s="45"/>
      <c r="G187" s="15"/>
      <c r="I187" s="15"/>
    </row>
    <row r="188" spans="2:9" x14ac:dyDescent="0.25">
      <c r="B188" s="43"/>
      <c r="C188" s="43"/>
      <c r="D188" s="43"/>
      <c r="E188" s="13"/>
      <c r="F188" s="49"/>
      <c r="G188" s="28"/>
      <c r="I188" s="28"/>
    </row>
    <row r="189" spans="2:9" x14ac:dyDescent="0.25">
      <c r="B189" s="12"/>
      <c r="C189" s="12"/>
      <c r="D189" s="12"/>
      <c r="E189" s="13"/>
      <c r="F189" s="45"/>
      <c r="G189" s="28"/>
      <c r="I189" s="28"/>
    </row>
    <row r="190" spans="2:9" x14ac:dyDescent="0.25">
      <c r="B190" s="12"/>
      <c r="C190" s="12"/>
      <c r="D190" s="12"/>
      <c r="E190" s="13"/>
      <c r="F190" s="45"/>
      <c r="G190" s="23"/>
      <c r="I190" s="23"/>
    </row>
    <row r="191" spans="2:9" x14ac:dyDescent="0.25">
      <c r="B191" s="43"/>
      <c r="C191" s="43"/>
      <c r="D191" s="43"/>
      <c r="E191" s="28"/>
      <c r="F191" s="28"/>
      <c r="G191" s="22"/>
      <c r="I191" s="22"/>
    </row>
    <row r="192" spans="2:9" x14ac:dyDescent="0.25">
      <c r="B192" s="12"/>
      <c r="C192" s="12"/>
      <c r="D192" s="12"/>
      <c r="E192" s="28"/>
      <c r="F192" s="28"/>
      <c r="G192" s="22"/>
      <c r="I192" s="22"/>
    </row>
    <row r="193" spans="2:9" ht="17.25" x14ac:dyDescent="0.25">
      <c r="B193" s="12"/>
      <c r="C193" s="12"/>
      <c r="D193" s="12"/>
      <c r="E193" s="59"/>
      <c r="F193" s="19"/>
      <c r="G193" s="22"/>
      <c r="I193" s="22"/>
    </row>
    <row r="194" spans="2:9" ht="17.25" x14ac:dyDescent="0.25">
      <c r="B194" s="28"/>
      <c r="C194" s="28"/>
      <c r="D194" s="28"/>
      <c r="E194" s="59"/>
      <c r="F194" s="28"/>
      <c r="G194" s="22"/>
      <c r="I194" s="22"/>
    </row>
    <row r="195" spans="2:9" x14ac:dyDescent="0.25">
      <c r="B195" s="28"/>
      <c r="C195" s="28"/>
      <c r="D195" s="28"/>
      <c r="E195" s="13"/>
      <c r="F195" s="14"/>
      <c r="G195" s="22"/>
      <c r="I195" s="22"/>
    </row>
    <row r="196" spans="2:9" ht="17.25" x14ac:dyDescent="0.25">
      <c r="B196" s="59"/>
      <c r="C196" s="76"/>
      <c r="D196" s="76"/>
      <c r="E196" s="13"/>
      <c r="F196" s="14"/>
      <c r="G196" s="28"/>
      <c r="I196" s="28"/>
    </row>
    <row r="197" spans="2:9" ht="17.25" x14ac:dyDescent="0.25">
      <c r="B197" s="59"/>
      <c r="C197" s="76"/>
      <c r="D197" s="76"/>
      <c r="E197" s="13"/>
      <c r="F197" s="14"/>
      <c r="G197" s="23"/>
      <c r="I197" s="23"/>
    </row>
    <row r="198" spans="2:9" x14ac:dyDescent="0.25">
      <c r="B198" s="12"/>
      <c r="C198" s="12"/>
      <c r="D198" s="12"/>
      <c r="E198" s="13"/>
      <c r="F198" s="14"/>
      <c r="G198" s="22"/>
      <c r="I198" s="22"/>
    </row>
    <row r="199" spans="2:9" x14ac:dyDescent="0.25">
      <c r="B199" s="12"/>
      <c r="C199" s="12"/>
      <c r="D199" s="12"/>
      <c r="E199" s="28"/>
      <c r="F199" s="28"/>
      <c r="G199" s="22"/>
      <c r="I199" s="22"/>
    </row>
    <row r="200" spans="2:9" ht="17.25" x14ac:dyDescent="0.25">
      <c r="B200" s="12"/>
      <c r="C200" s="12"/>
      <c r="D200" s="12"/>
      <c r="E200" s="59"/>
      <c r="F200" s="19"/>
      <c r="G200" s="22"/>
      <c r="I200" s="22"/>
    </row>
    <row r="201" spans="2:9" ht="17.25" x14ac:dyDescent="0.25">
      <c r="B201" s="12"/>
      <c r="C201" s="12"/>
      <c r="D201" s="12"/>
      <c r="E201" s="59"/>
      <c r="F201" s="28"/>
      <c r="G201" s="22"/>
      <c r="I201" s="22"/>
    </row>
    <row r="202" spans="2:9" x14ac:dyDescent="0.25">
      <c r="B202" s="28"/>
      <c r="C202" s="28"/>
      <c r="D202" s="28"/>
      <c r="E202" s="13"/>
      <c r="F202" s="40"/>
      <c r="G202" s="22"/>
      <c r="I202" s="22"/>
    </row>
    <row r="203" spans="2:9" ht="17.25" x14ac:dyDescent="0.25">
      <c r="B203" s="59"/>
      <c r="C203" s="76"/>
      <c r="D203" s="76"/>
      <c r="E203" s="13"/>
      <c r="F203" s="49"/>
      <c r="G203" s="22"/>
      <c r="H203" s="33"/>
      <c r="I203" s="22"/>
    </row>
    <row r="204" spans="2:9" ht="17.25" x14ac:dyDescent="0.25">
      <c r="B204" s="59"/>
      <c r="C204" s="76"/>
      <c r="D204" s="76"/>
      <c r="E204" s="13"/>
      <c r="F204" s="28"/>
      <c r="G204" s="50"/>
      <c r="H204" s="33"/>
      <c r="I204" s="50"/>
    </row>
    <row r="205" spans="2:9" x14ac:dyDescent="0.25">
      <c r="B205" s="12"/>
      <c r="C205" s="12"/>
      <c r="D205" s="12"/>
      <c r="E205" s="13"/>
      <c r="F205" s="49"/>
      <c r="G205" s="50"/>
      <c r="H205" s="33"/>
      <c r="I205" s="50"/>
    </row>
    <row r="206" spans="2:9" x14ac:dyDescent="0.25">
      <c r="B206" s="12"/>
      <c r="C206" s="12"/>
      <c r="D206" s="12"/>
      <c r="E206" s="13"/>
      <c r="F206" s="14"/>
      <c r="G206" s="50"/>
      <c r="H206" s="33"/>
      <c r="I206" s="50"/>
    </row>
    <row r="207" spans="2:9" x14ac:dyDescent="0.25">
      <c r="B207" s="12"/>
      <c r="C207" s="12"/>
      <c r="D207" s="12"/>
      <c r="E207" s="25"/>
      <c r="F207" s="16"/>
      <c r="G207" s="33"/>
      <c r="H207" s="33"/>
      <c r="I207" s="33"/>
    </row>
    <row r="208" spans="2:9" x14ac:dyDescent="0.25">
      <c r="B208" s="12"/>
      <c r="C208" s="12"/>
      <c r="D208" s="12"/>
      <c r="E208" s="25"/>
      <c r="F208" s="16"/>
      <c r="G208" s="33"/>
      <c r="H208" s="33"/>
      <c r="I208" s="33"/>
    </row>
    <row r="209" spans="2:6" x14ac:dyDescent="0.25">
      <c r="B209" s="12"/>
      <c r="C209" s="12"/>
      <c r="D209" s="12"/>
      <c r="E209" s="25"/>
      <c r="F209" s="16"/>
    </row>
    <row r="210" spans="2:6" x14ac:dyDescent="0.25">
      <c r="B210" s="35"/>
      <c r="C210" s="35"/>
      <c r="D210" s="35"/>
      <c r="E210" s="33"/>
      <c r="F210" s="33"/>
    </row>
    <row r="211" spans="2:6" x14ac:dyDescent="0.25">
      <c r="B211" s="35"/>
      <c r="C211" s="35"/>
      <c r="D211" s="35"/>
      <c r="E211" s="33"/>
      <c r="F211" s="33"/>
    </row>
    <row r="212" spans="2:6" x14ac:dyDescent="0.25">
      <c r="B212" s="35"/>
      <c r="C212" s="35"/>
      <c r="D212" s="35"/>
    </row>
    <row r="213" spans="2:6" x14ac:dyDescent="0.25">
      <c r="B213" s="33"/>
      <c r="C213" s="33"/>
      <c r="D213" s="33"/>
    </row>
    <row r="214" spans="2:6" x14ac:dyDescent="0.25">
      <c r="B214" s="33"/>
      <c r="C214" s="33"/>
      <c r="D214" s="33"/>
    </row>
    <row r="224" spans="2:6" x14ac:dyDescent="0.25">
      <c r="E224" s="33"/>
      <c r="F224" s="33"/>
    </row>
    <row r="225" spans="5:6" x14ac:dyDescent="0.25">
      <c r="E225" s="33"/>
      <c r="F225" s="33"/>
    </row>
    <row r="226" spans="5:6" x14ac:dyDescent="0.25">
      <c r="E226" s="33"/>
      <c r="F226" s="33"/>
    </row>
    <row r="227" spans="5:6" ht="17.25" x14ac:dyDescent="0.25">
      <c r="E227" s="33"/>
      <c r="F227" s="51"/>
    </row>
    <row r="228" spans="5:6" ht="17.25" x14ac:dyDescent="0.25">
      <c r="E228" s="51"/>
      <c r="F228" s="51"/>
    </row>
    <row r="229" spans="5:6" x14ac:dyDescent="0.25">
      <c r="E229" s="33"/>
      <c r="F229" s="33"/>
    </row>
    <row r="230" spans="5:6" x14ac:dyDescent="0.25">
      <c r="E230" s="33"/>
      <c r="F230" s="33"/>
    </row>
    <row r="231" spans="5:6" x14ac:dyDescent="0.25">
      <c r="E231" s="33"/>
      <c r="F231" s="33"/>
    </row>
    <row r="232" spans="5:6" x14ac:dyDescent="0.25">
      <c r="E232" s="33"/>
      <c r="F232" s="33"/>
    </row>
    <row r="233" spans="5:6" x14ac:dyDescent="0.25">
      <c r="E233" s="33"/>
      <c r="F233" s="33"/>
    </row>
    <row r="234" spans="5:6" x14ac:dyDescent="0.25">
      <c r="E234" s="33"/>
      <c r="F234" s="33"/>
    </row>
    <row r="235" spans="5:6" x14ac:dyDescent="0.25">
      <c r="E235" s="33"/>
      <c r="F235" s="33"/>
    </row>
    <row r="236" spans="5:6" x14ac:dyDescent="0.25">
      <c r="E236" s="33"/>
      <c r="F236" s="33"/>
    </row>
  </sheetData>
  <mergeCells count="4">
    <mergeCell ref="B1:I1"/>
    <mergeCell ref="B3:C3"/>
    <mergeCell ref="B6:I6"/>
    <mergeCell ref="B9:I10"/>
  </mergeCells>
  <dataValidations count="1">
    <dataValidation type="list" allowBlank="1" showInputMessage="1" showErrorMessage="1" sqref="C7 C11:C13 C15:C16 C19 C22 C25 C28 C31 C34 C37 C40 C43 C46">
      <formula1>List_Variable_Sizes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SettingMotorSr">
                <anchor moveWithCells="1" sizeWithCells="1">
                  <from>
                    <xdr:col>4</xdr:col>
                    <xdr:colOff>2905125</xdr:colOff>
                    <xdr:row>1</xdr:row>
                    <xdr:rowOff>28575</xdr:rowOff>
                  </from>
                  <to>
                    <xdr:col>5</xdr:col>
                    <xdr:colOff>2505075</xdr:colOff>
                    <xdr:row>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Dept xmlns="549691a6-3b5b-4b6f-a000-280f621f5a2e"/>
    <State xmlns="cd5a5200-613b-422a-94e9-ef20e1b392bb">In Work</State>
    <IDD_x0020_Modified_x0020_By xmlns="5b9869d4-cde9-4686-b3fe-e74cffa50fe6">Fagnano Luigi</IDD_x0020_Modified_x0020_By>
    <ImportVersion xmlns="791a7af5-2972-45b0-a35f-cced854d4c7c" xsi:nil="true"/>
    <IDDVersion xmlns="75efaa2a-a37d-4c44-99c1-32b9aa25f875" xsi:nil="true"/>
    <TagsFieldForKWizComTags xmlns="5b9869d4-cde9-4686-b3fe-e74cffa50fe6">triphase_motor,arcadia_strip,pe</TagsFieldForKWizComTags>
    <ReservedDocument xmlns="75efaa2a-a37d-4c44-99c1-32b9aa25f875">true</ReservedDocument>
    <Confidential xmlns="20aa28be-609d-4372-b01c-60aadfafabfc">false</Confidential>
    <Rating xmlns="5b9869d4-cde9-4686-b3fe-e74cffa50fe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8CB85754DE0242B472D9DD88950EDB" ma:contentTypeVersion="24" ma:contentTypeDescription="Create a new document." ma:contentTypeScope="" ma:versionID="025dafc873a4e7fd346728d6b990f12d">
  <xsd:schema xmlns:xsd="http://www.w3.org/2001/XMLSchema" xmlns:p="http://schemas.microsoft.com/office/2006/metadata/properties" xmlns:ns2="549691a6-3b5b-4b6f-a000-280f621f5a2e" xmlns:ns3="5b9869d4-cde9-4686-b3fe-e74cffa50fe6" xmlns:ns4="cd5a5200-613b-422a-94e9-ef20e1b392bb" xmlns:ns5="791a7af5-2972-45b0-a35f-cced854d4c7c" xmlns:ns6="20aa28be-609d-4372-b01c-60aadfafabfc" xmlns:ns7="75efaa2a-a37d-4c44-99c1-32b9aa25f875" targetNamespace="http://schemas.microsoft.com/office/2006/metadata/properties" ma:root="true" ma:fieldsID="250449a6a57bd02203adb0e498360e0e" ns2:_="" ns3:_="" ns4:_="" ns5:_="" ns6:_="" ns7:_="">
    <xsd:import namespace="549691a6-3b5b-4b6f-a000-280f621f5a2e"/>
    <xsd:import namespace="5b9869d4-cde9-4686-b3fe-e74cffa50fe6"/>
    <xsd:import namespace="cd5a5200-613b-422a-94e9-ef20e1b392bb"/>
    <xsd:import namespace="791a7af5-2972-45b0-a35f-cced854d4c7c"/>
    <xsd:import namespace="20aa28be-609d-4372-b01c-60aadfafabfc"/>
    <xsd:import namespace="75efaa2a-a37d-4c44-99c1-32b9aa25f875"/>
    <xsd:element name="properties">
      <xsd:complexType>
        <xsd:sequence>
          <xsd:element name="documentManagement">
            <xsd:complexType>
              <xsd:all>
                <xsd:element ref="ns2:Dept" minOccurs="0"/>
                <xsd:element ref="ns3:TagsFieldForKWizComTags" minOccurs="0"/>
                <xsd:element ref="ns3:Rating" minOccurs="0"/>
                <xsd:element ref="ns3:IDD_x0020_Modified_x0020_By" minOccurs="0"/>
                <xsd:element ref="ns4:State" minOccurs="0"/>
                <xsd:element ref="ns5:ImportVersion" minOccurs="0"/>
                <xsd:element ref="ns6:Confidential" minOccurs="0"/>
                <xsd:element ref="ns7:IDDVersion" minOccurs="0"/>
                <xsd:element ref="ns7:ReservedDocument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549691a6-3b5b-4b6f-a000-280f621f5a2e" elementFormDefault="qualified">
    <xsd:import namespace="http://schemas.microsoft.com/office/2006/documentManagement/types"/>
    <xsd:element name="Dept" ma:index="8" nillable="true" ma:displayName="Dept" ma:default="" ma:description="Indesit Department" ma:internalName="Dept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DTP Cooking"/>
                    <xsd:enumeration value="DTP Cooling"/>
                    <xsd:enumeration value="DTP Laundry"/>
                    <xsd:enumeration value="DTP Dishwashing"/>
                    <xsd:enumeration value="Cross Product"/>
                  </xsd:restriction>
                </xsd:simpleType>
              </xsd:element>
            </xsd:sequence>
          </xsd:extension>
        </xsd:complexContent>
      </xsd:complexType>
    </xsd:element>
  </xsd:schema>
  <xsd:schema xmlns:xsd="http://www.w3.org/2001/XMLSchema" xmlns:dms="http://schemas.microsoft.com/office/2006/documentManagement/types" targetNamespace="5b9869d4-cde9-4686-b3fe-e74cffa50fe6" elementFormDefault="qualified">
    <xsd:import namespace="http://schemas.microsoft.com/office/2006/documentManagement/types"/>
    <xsd:element name="TagsFieldForKWizComTags" ma:index="9" nillable="true" ma:displayName="Tags" ma:internalName="TagsFieldForKWizComTags">
      <xsd:simpleType>
        <xsd:restriction base="dms:Text"/>
      </xsd:simpleType>
    </xsd:element>
    <xsd:element name="Rating" ma:index="10" nillable="true" ma:displayName="Rating" ma:decimals="1" ma:internalName="Rating">
      <xsd:simpleType>
        <xsd:restriction base="dms:Unknown"/>
      </xsd:simpleType>
    </xsd:element>
    <xsd:element name="IDD_x0020_Modified_x0020_By" ma:index="11" nillable="true" ma:displayName="IDD Modified By" ma:hidden="true" ma:internalName="IDD_x0020_Modified_x0020_By" ma:readOnly="false">
      <xsd:simpleType>
        <xsd:restriction base="dms:Text">
          <xsd:maxLength value="255"/>
        </xsd:restriction>
      </xsd:simpleType>
    </xsd:element>
  </xsd:schema>
  <xsd:schema xmlns:xsd="http://www.w3.org/2001/XMLSchema" xmlns:dms="http://schemas.microsoft.com/office/2006/documentManagement/types" targetNamespace="cd5a5200-613b-422a-94e9-ef20e1b392bb" elementFormDefault="qualified">
    <xsd:import namespace="http://schemas.microsoft.com/office/2006/documentManagement/types"/>
    <xsd:element name="State" ma:index="12" nillable="true" ma:displayName="State" ma:hidden="true" ma:internalName="State" ma:readOnly="false">
      <xsd:simpleType>
        <xsd:restriction base="dms:Text">
          <xsd:maxLength value="255"/>
        </xsd:restriction>
      </xsd:simpleType>
    </xsd:element>
  </xsd:schema>
  <xsd:schema xmlns:xsd="http://www.w3.org/2001/XMLSchema" xmlns:dms="http://schemas.microsoft.com/office/2006/documentManagement/types" targetNamespace="791a7af5-2972-45b0-a35f-cced854d4c7c" elementFormDefault="qualified">
    <xsd:import namespace="http://schemas.microsoft.com/office/2006/documentManagement/types"/>
    <xsd:element name="ImportVersion" ma:index="13" nillable="true" ma:displayName="ImportVersion" ma:hidden="true" ma:internalName="ImportVersion" ma:readOnly="false">
      <xsd:simpleType>
        <xsd:restriction base="dms:Text">
          <xsd:maxLength value="255"/>
        </xsd:restriction>
      </xsd:simpleType>
    </xsd:element>
  </xsd:schema>
  <xsd:schema xmlns:xsd="http://www.w3.org/2001/XMLSchema" xmlns:dms="http://schemas.microsoft.com/office/2006/documentManagement/types" targetNamespace="20aa28be-609d-4372-b01c-60aadfafabfc" elementFormDefault="qualified">
    <xsd:import namespace="http://schemas.microsoft.com/office/2006/documentManagement/types"/>
    <xsd:element name="Confidential" ma:index="14" nillable="true" ma:displayName="Confidential" ma:default="0" ma:internalName="Confidential" ma:readOnly="false">
      <xsd:simpleType>
        <xsd:restriction base="dms:Boolean"/>
      </xsd:simpleType>
    </xsd:element>
  </xsd:schema>
  <xsd:schema xmlns:xsd="http://www.w3.org/2001/XMLSchema" xmlns:dms="http://schemas.microsoft.com/office/2006/documentManagement/types" targetNamespace="75efaa2a-a37d-4c44-99c1-32b9aa25f875" elementFormDefault="qualified">
    <xsd:import namespace="http://schemas.microsoft.com/office/2006/documentManagement/types"/>
    <xsd:element name="IDDVersion" ma:index="16" nillable="true" ma:displayName="IDDVersion" ma:hidden="true" ma:internalName="IDDVersion" ma:readOnly="false">
      <xsd:simpleType>
        <xsd:restriction base="dms:Number"/>
      </xsd:simpleType>
    </xsd:element>
    <xsd:element name="ReservedDocument" ma:index="18" nillable="true" ma:displayName="ReservedDocument" ma:default="1" ma:internalName="ReservedDocument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A533677-C2B3-4DEB-B2AD-21C849428F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BEA367-7950-4582-B7EA-61A41D4948EB}">
  <ds:schemaRefs>
    <ds:schemaRef ds:uri="791a7af5-2972-45b0-a35f-cced854d4c7c"/>
    <ds:schemaRef ds:uri="75efaa2a-a37d-4c44-99c1-32b9aa25f875"/>
    <ds:schemaRef ds:uri="http://schemas.microsoft.com/office/2006/documentManagement/types"/>
    <ds:schemaRef ds:uri="549691a6-3b5b-4b6f-a000-280f621f5a2e"/>
    <ds:schemaRef ds:uri="http://www.w3.org/XML/1998/namespace"/>
    <ds:schemaRef ds:uri="http://purl.org/dc/dcmitype/"/>
    <ds:schemaRef ds:uri="http://schemas.microsoft.com/office/2006/metadata/properties"/>
    <ds:schemaRef ds:uri="http://purl.org/dc/elements/1.1/"/>
    <ds:schemaRef ds:uri="20aa28be-609d-4372-b01c-60aadfafabfc"/>
    <ds:schemaRef ds:uri="cd5a5200-613b-422a-94e9-ef20e1b392bb"/>
    <ds:schemaRef ds:uri="5b9869d4-cde9-4686-b3fe-e74cffa50fe6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F603DE3-BC1E-4E81-9F1D-B6ADB7EBE9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9691a6-3b5b-4b6f-a000-280f621f5a2e"/>
    <ds:schemaRef ds:uri="5b9869d4-cde9-4686-b3fe-e74cffa50fe6"/>
    <ds:schemaRef ds:uri="cd5a5200-613b-422a-94e9-ef20e1b392bb"/>
    <ds:schemaRef ds:uri="791a7af5-2972-45b0-a35f-cced854d4c7c"/>
    <ds:schemaRef ds:uri="20aa28be-609d-4372-b01c-60aadfafabfc"/>
    <ds:schemaRef ds:uri="75efaa2a-a37d-4c44-99c1-32b9aa25f87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 forms</vt:lpstr>
      <vt:lpstr>Motor SR Table</vt:lpstr>
      <vt:lpstr>Displ0</vt:lpstr>
      <vt:lpstr>Displ1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Whirlpool defined administrator account</cp:lastModifiedBy>
  <dcterms:created xsi:type="dcterms:W3CDTF">2014-05-30T10:38:56Z</dcterms:created>
  <dcterms:modified xsi:type="dcterms:W3CDTF">2018-05-25T14:11:57Z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0x010100D58CB85754DE0242B472D9DD88950EDB</vt:lpwstr>
  </property>
</Properties>
</file>