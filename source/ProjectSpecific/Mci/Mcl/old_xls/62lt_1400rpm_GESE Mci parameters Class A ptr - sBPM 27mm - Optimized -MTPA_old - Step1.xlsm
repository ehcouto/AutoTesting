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essio_Beato\eclipse\Windy_Mcu_Nucleus_Plt_2_5_sBpm_Dev\source\ProjectSpecific\Mci\Mcl\"/>
    </mc:Choice>
  </mc:AlternateContent>
  <bookViews>
    <workbookView xWindow="240" yWindow="105" windowWidth="9885" windowHeight="4080" firstSheet="2" activeTab="6"/>
  </bookViews>
  <sheets>
    <sheet name="Template Instructions" sheetId="8" r:id="rId1"/>
    <sheet name="GUI forms" sheetId="9" r:id="rId2"/>
    <sheet name="Parameters definition" sheetId="1" r:id="rId3"/>
    <sheet name="Parameters definition LUTS" sheetId="20" r:id="rId4"/>
    <sheet name="Displ0" sheetId="15" r:id="rId5"/>
    <sheet name="Displ1" sheetId="7" r:id="rId6"/>
    <sheet name="Displ3" sheetId="12" r:id="rId7"/>
    <sheet name="Displ4" sheetId="13" r:id="rId8"/>
    <sheet name="Displ9" sheetId="18" r:id="rId9"/>
    <sheet name="Displ10" sheetId="19" r:id="rId10"/>
    <sheet name="Data validation entries" sheetId="10" r:id="rId11"/>
  </sheets>
  <functionGroups builtInGroupCount="18"/>
  <definedNames>
    <definedName name="_xlnm._FilterDatabase" localSheetId="4" hidden="1">Displ0!#REF!</definedName>
    <definedName name="_xlnm._FilterDatabase" localSheetId="5" hidden="1">Displ1!#REF!</definedName>
    <definedName name="_xlnm._FilterDatabase" localSheetId="9" hidden="1">Displ10!#REF!</definedName>
    <definedName name="_xlnm._FilterDatabase" localSheetId="6" hidden="1">Displ3!#REF!</definedName>
    <definedName name="_xlnm._FilterDatabase" localSheetId="7" hidden="1">Displ4!#REF!</definedName>
    <definedName name="_xlnm._FilterDatabase" localSheetId="8" hidden="1">Displ9!#REF!</definedName>
    <definedName name="ALGO_BUILD_FLUX_INCREMENT">'Parameters definition'!$C$197</definedName>
    <definedName name="ALGO_BUILD_FLUX_MIN_CURRENT">'Parameters definition'!$C$195</definedName>
    <definedName name="ALGO_BUILD_FLUX_RATIO_2_FORCE_FLUX">'Parameters definition'!$C$196</definedName>
    <definedName name="ALGO_BUILD_FLUX_STARTING_TIME">'Parameters definition'!$C$194</definedName>
    <definedName name="ALGO_BUILD_FLUX_TS">'Parameters definition'!$C$193</definedName>
    <definedName name="ALGO_RES_EST_1ST_PLATEAU_TIME">'Parameters definition'!$C$224</definedName>
    <definedName name="ALGO_RES_EST_2ND_PLATEAU_TIME">'Parameters definition'!$C$225</definedName>
    <definedName name="ALGO_RES_EST_3RD_PLATEAU_TIME">'Parameters definition'!$C$226</definedName>
    <definedName name="ALGO_RES_EST_BASE_TEMP">'Parameters definition'!$C$248</definedName>
    <definedName name="ALGO_RES_EST_BASE_TEMP_COEFF">'Parameters definition'!$C$249</definedName>
    <definedName name="ALGO_RES_EST_CURR_1ST_PLATEAU">'Parameters definition'!$C$221</definedName>
    <definedName name="ALGO_RES_EST_CURR_2ND_PLATEAU">'Parameters definition'!$C$222</definedName>
    <definedName name="ALGO_RES_EST_CURR_3RD_PLATEAU">'Parameters definition'!$C$223</definedName>
    <definedName name="ALGO_RES_EST_HANDLER_TS">'Parameters definition'!$C$238</definedName>
    <definedName name="ALGO_RES_EST_NR_OF_ESTIMATION_AFTER_RESET">'Parameters definition'!$C$242</definedName>
    <definedName name="ALGO_RES_EST_NR_OF_ESTIMATION_IN_ROW_AFTER_SPIN">'Parameters definition'!$C$244</definedName>
    <definedName name="ALGO_RES_EST_NUMBER_OF_SAMPLES">'Parameters definition'!$C$231</definedName>
    <definedName name="ALGO_RES_EST_OSCILLATION_CHECK_TIME">'Parameters definition'!$C$230</definedName>
    <definedName name="ALGO_RES_EST_OSCILLATION_SPEED_THRESHOLD">'Parameters definition'!$C$235</definedName>
    <definedName name="ALGO_RES_EST_RS_FROM_BASE_TEMP">'Parameters definition'!$C$246</definedName>
    <definedName name="ALGO_RES_EST_SPEED_TO_MEAS_AGAIN">'Parameters definition'!$C$240</definedName>
    <definedName name="ALGO_RES_EST_STATOR_RESISTANCE">'Parameters definition'!$C$232</definedName>
    <definedName name="ALGO_RES_EST_TEMP_COEFF">'Parameters definition'!$C$247</definedName>
    <definedName name="ALGO_RES_EST_TIME_2_OUTDATE_RESISTANCE">'Parameters definition'!$C$236</definedName>
    <definedName name="ALGO_RES_EST_TIME_BETWEEN_MEAS_AFTER_RESET">'Parameters definition'!$C$241</definedName>
    <definedName name="ALGO_RES_EST_TIME_BETWEEN_MEAS_NORMAL_OPERATION">'Parameters definition'!$C$243</definedName>
    <definedName name="ALGO_RES_EST_TIMEOUT_1ST_PLATEAU">'Parameters definition'!$C$233</definedName>
    <definedName name="ALGO_RES_EST_TIMEOUT_2ND_PLATEAU">'Parameters definition'!$C$234</definedName>
    <definedName name="ALGO_RES_EST_TIMEOUT_THRESHOLD">'Parameters definition'!$C$220</definedName>
    <definedName name="ALGO_RES_EST_TS">'Parameters definition'!$C$237</definedName>
    <definedName name="ALGO_RES_EST_VOLTAGE_STEP_1ST_PLATEAU">'Parameters definition'!$C$227</definedName>
    <definedName name="ALGO_RES_EST_VOLTAGE_STEP_2ND_PLATEAU">'Parameters definition'!$C$228</definedName>
    <definedName name="ALGO_RES_EST_VOLTAGE_STEP_3RD_PLATEAU">'Parameters definition'!$C$229</definedName>
    <definedName name="ALGO_RUNNING_DEBOUNCER_2_IGBTS_OFF">'Parameters definition'!$C$203</definedName>
    <definedName name="ALGO_RUNNING_LOCKED_ROTOR_CURRENT_THRESHOLD">'Parameters definition'!$C$208</definedName>
    <definedName name="ALGO_RUNNING_LOCKED_ROTOR_RUNNING_THRESHOLD">'Parameters definition'!$C$207</definedName>
    <definedName name="ALGO_RUNNING_LOCKED_ROTOR_START_OR_RUNNING">'Parameters definition'!$C$205</definedName>
    <definedName name="ALGO_RUNNING_LOCKED_ROTOR_STARTING_THRESHOLD">'Parameters definition'!$C$206</definedName>
    <definedName name="ALGO_RUNNING_MIN_SPEED_2_IGBTS_OFF">'Parameters definition'!$C$202</definedName>
    <definedName name="ALGO_RUNNING_MIN_SPEED_BEFORE_STOPPING">'Parameters definition'!$C$201</definedName>
    <definedName name="ALGO_RUNNING_TIME_IGBTS_OFF_BELOW_MIN_SPEED">'Parameters definition'!$C$204</definedName>
    <definedName name="BASE_ANGLE">'Parameters definition'!$C$30</definedName>
    <definedName name="BASE_CURRENT">'Parameters definition'!$C$29</definedName>
    <definedName name="BASE_FLUX">'Parameters definition'!$C$33</definedName>
    <definedName name="BASE_IND">'Parameters definition'!$C$36</definedName>
    <definedName name="BASE_OMEGA">'Parameters definition'!$C$38</definedName>
    <definedName name="BASE_POWER">'Parameters definition'!$C$35</definedName>
    <definedName name="BASE_RADIAL">'Parameters definition'!$C$31</definedName>
    <definedName name="BASE_SPEED_RPM">'Parameters definition'!$C$39</definedName>
    <definedName name="BASE_TIME">'Parameters definition'!$C$40</definedName>
    <definedName name="BASE_TORQ">'Parameters definition'!$C$34</definedName>
    <definedName name="BASE_VOLTAGE">'Parameters definition'!$C$27</definedName>
    <definedName name="BASE_VOLTAGE_BUS">'Parameters definition'!$C$28</definedName>
    <definedName name="BASE_Z">'Parameters definition'!$C$37</definedName>
    <definedName name="BRAKING_CURRENT_AT_LOW_SPEED">'Parameters definition'!$C$140</definedName>
    <definedName name="CROSSED_CURR_POS_0">'Parameters definition'!$C$102</definedName>
    <definedName name="CROSSED_CURR_POS_1">'Parameters definition'!$C$103</definedName>
    <definedName name="CROSSED_CURR_POS_2">'Parameters definition'!$C$104</definedName>
    <definedName name="CROSSED_CURR_POS_3">'Parameters definition'!$C$105</definedName>
    <definedName name="CROSSED_CURR_POS_4">'Parameters definition'!$C$106</definedName>
    <definedName name="CROSSED_CURR_POS_5">'Parameters definition'!$C$107</definedName>
    <definedName name="CROSSED_CURR_POS_6">'Parameters definition'!$C$108</definedName>
    <definedName name="CROSSED_CURR_POS_7">'Parameters definition'!$C$109</definedName>
    <definedName name="CROSSED_IND_POS_0">'Parameters definition'!$C$94</definedName>
    <definedName name="CROSSED_IND_POS_1">'Parameters definition'!$C$95</definedName>
    <definedName name="CROSSED_IND_POS_2">'Parameters definition'!$C$96</definedName>
    <definedName name="CROSSED_IND_POS_3">'Parameters definition'!$C$97</definedName>
    <definedName name="CROSSED_IND_POS_4">'Parameters definition'!$C$98</definedName>
    <definedName name="CROSSED_IND_POS_5">'Parameters definition'!$C$99</definedName>
    <definedName name="CROSSED_IND_POS_6">'Parameters definition'!$C$100</definedName>
    <definedName name="CROSSED_IND_POS_7">'Parameters definition'!$C$101</definedName>
    <definedName name="D_CURR_CONTROL_KI">'Parameters definition'!$C$213</definedName>
    <definedName name="D_CURR_CONTROL_KP">'Parameters definition'!$C$212</definedName>
    <definedName name="DC_BUS_MAX_VOLTAGE">'Parameters definition'!$C$18</definedName>
    <definedName name="DeadTimeN_0">'Parameters definition'!#REF!</definedName>
    <definedName name="DeadTimeN_1">'Parameters definition'!#REF!</definedName>
    <definedName name="DeadTimeN_10">'Parameters definition'!#REF!</definedName>
    <definedName name="DeadTimeN_11">'Parameters definition'!#REF!</definedName>
    <definedName name="DeadTimeN_12">'Parameters definition'!#REF!</definedName>
    <definedName name="DeadTimeN_13">'Parameters definition'!#REF!</definedName>
    <definedName name="DeadTimeN_14">'Parameters definition'!#REF!</definedName>
    <definedName name="DeadTimeN_15">'Parameters definition'!#REF!</definedName>
    <definedName name="DeadTimeN_16">'Parameters definition'!#REF!</definedName>
    <definedName name="DeadTimeN_17">'Parameters definition'!#REF!</definedName>
    <definedName name="DeadTimeN_18">'Parameters definition'!#REF!</definedName>
    <definedName name="DeadTimeN_19">'Parameters definition'!#REF!</definedName>
    <definedName name="DeadTimeN_2">'Parameters definition'!#REF!</definedName>
    <definedName name="DeadTimeN_20">'Parameters definition'!#REF!</definedName>
    <definedName name="DeadTimeN_21">'Parameters definition'!#REF!</definedName>
    <definedName name="DeadTimeN_22">'Parameters definition'!#REF!</definedName>
    <definedName name="DeadTimeN_23">'Parameters definition'!#REF!</definedName>
    <definedName name="DeadTimeN_24">'Parameters definition'!#REF!</definedName>
    <definedName name="DeadTimeN_25">'Parameters definition'!#REF!</definedName>
    <definedName name="DeadTimeN_26">'Parameters definition'!#REF!</definedName>
    <definedName name="DeadTimeN_27">'Parameters definition'!#REF!</definedName>
    <definedName name="DeadTimeN_28">'Parameters definition'!#REF!</definedName>
    <definedName name="DeadTimeN_29">'Parameters definition'!#REF!</definedName>
    <definedName name="DeadTimeN_3">'Parameters definition'!#REF!</definedName>
    <definedName name="DeadTimeN_30">'Parameters definition'!#REF!</definedName>
    <definedName name="DeadTimeN_31">'Parameters definition'!#REF!</definedName>
    <definedName name="DeadTimeN_32">'Parameters definition'!#REF!</definedName>
    <definedName name="DeadTimeN_33">'Parameters definition'!#REF!</definedName>
    <definedName name="DeadTimeN_34">'Parameters definition'!#REF!</definedName>
    <definedName name="DeadTimeN_35">'Parameters definition'!#REF!</definedName>
    <definedName name="DeadTimeN_36">'Parameters definition'!#REF!</definedName>
    <definedName name="DeadTimeN_37">'Parameters definition'!#REF!</definedName>
    <definedName name="DeadTimeN_38">'Parameters definition'!#REF!</definedName>
    <definedName name="DeadTimeN_39">'Parameters definition'!#REF!</definedName>
    <definedName name="DeadTimeN_4">'Parameters definition'!#REF!</definedName>
    <definedName name="DeadTimeN_40">'Parameters definition'!#REF!</definedName>
    <definedName name="DeadTimeN_41">'Parameters definition'!#REF!</definedName>
    <definedName name="DeadTimeN_42">'Parameters definition'!#REF!</definedName>
    <definedName name="DeadTimeN_43">'Parameters definition'!#REF!</definedName>
    <definedName name="DeadTimeN_44">'Parameters definition'!#REF!</definedName>
    <definedName name="DeadTimeN_45">'Parameters definition'!#REF!</definedName>
    <definedName name="DeadTimeN_46">'Parameters definition'!#REF!</definedName>
    <definedName name="DeadTimeN_47">'Parameters definition'!#REF!</definedName>
    <definedName name="DeadTimeN_48">'Parameters definition'!#REF!</definedName>
    <definedName name="DeadTimeN_49">'Parameters definition'!#REF!</definedName>
    <definedName name="DeadTimeN_5">'Parameters definition'!#REF!</definedName>
    <definedName name="DeadTimeN_50">'Parameters definition'!#REF!</definedName>
    <definedName name="DeadTimeN_51">'Parameters definition'!#REF!</definedName>
    <definedName name="DeadTimeN_52">'Parameters definition'!#REF!</definedName>
    <definedName name="DeadTimeN_53">'Parameters definition'!#REF!</definedName>
    <definedName name="DeadTimeN_54">'Parameters definition'!#REF!</definedName>
    <definedName name="DeadTimeN_55">'Parameters definition'!#REF!</definedName>
    <definedName name="DeadTimeN_56">'Parameters definition'!#REF!</definedName>
    <definedName name="DeadTimeN_57">'Parameters definition'!#REF!</definedName>
    <definedName name="DeadTimeN_58">'Parameters definition'!#REF!</definedName>
    <definedName name="DeadTimeN_59">'Parameters definition'!#REF!</definedName>
    <definedName name="DeadTimeN_6">'Parameters definition'!#REF!</definedName>
    <definedName name="DeadTimeN_60">'Parameters definition'!#REF!</definedName>
    <definedName name="DeadTimeN_61">'Parameters definition'!#REF!</definedName>
    <definedName name="DeadTimeN_62">'Parameters definition'!#REF!</definedName>
    <definedName name="DeadTimeN_63">'Parameters definition'!#REF!</definedName>
    <definedName name="DeadTimeN_64">'Parameters definition'!#REF!</definedName>
    <definedName name="DeadTimeN_65">'Parameters definition'!#REF!</definedName>
    <definedName name="DeadTimeN_66">'Parameters definition'!#REF!</definedName>
    <definedName name="DeadTimeN_67">'Parameters definition'!#REF!</definedName>
    <definedName name="DeadTimeN_68">'Parameters definition'!#REF!</definedName>
    <definedName name="DeadTimeN_69">'Parameters definition'!#REF!</definedName>
    <definedName name="DeadTimeN_7">'Parameters definition'!#REF!</definedName>
    <definedName name="DeadTimeN_70">'Parameters definition'!#REF!</definedName>
    <definedName name="DeadTimeN_71">'Parameters definition'!#REF!</definedName>
    <definedName name="DeadTimeN_72">'Parameters definition'!#REF!</definedName>
    <definedName name="DeadTimeN_73">'Parameters definition'!#REF!</definedName>
    <definedName name="DeadTimeN_74">'Parameters definition'!#REF!</definedName>
    <definedName name="DeadTimeN_75">'Parameters definition'!#REF!</definedName>
    <definedName name="DeadTimeN_76">'Parameters definition'!#REF!</definedName>
    <definedName name="DeadTimeN_77">'Parameters definition'!#REF!</definedName>
    <definedName name="DeadTimeN_78">'Parameters definition'!#REF!</definedName>
    <definedName name="DeadTimeN_79">'Parameters definition'!#REF!</definedName>
    <definedName name="DeadTimeN_8">'Parameters definition'!#REF!</definedName>
    <definedName name="DeadTimeN_80">'Parameters definition'!#REF!</definedName>
    <definedName name="DeadTimeN_9">'Parameters definition'!#REF!</definedName>
    <definedName name="DeadTimeP_0">'Parameters definition'!#REF!</definedName>
    <definedName name="DeadTimeP_1">'Parameters definition'!#REF!</definedName>
    <definedName name="DeadTimeP_10">'Parameters definition'!#REF!</definedName>
    <definedName name="DeadTimeP_11">'Parameters definition'!#REF!</definedName>
    <definedName name="DeadTimeP_12">'Parameters definition'!#REF!</definedName>
    <definedName name="DeadTimeP_13">'Parameters definition'!#REF!</definedName>
    <definedName name="DeadTimeP_14">'Parameters definition'!#REF!</definedName>
    <definedName name="DeadTimeP_15">'Parameters definition'!#REF!</definedName>
    <definedName name="DeadTimeP_16">'Parameters definition'!#REF!</definedName>
    <definedName name="DeadTimeP_17">'Parameters definition'!#REF!</definedName>
    <definedName name="DeadTimeP_18">'Parameters definition'!#REF!</definedName>
    <definedName name="DeadTimeP_19">'Parameters definition'!#REF!</definedName>
    <definedName name="DeadTimeP_2">'Parameters definition'!#REF!</definedName>
    <definedName name="DeadTimeP_20">'Parameters definition'!#REF!</definedName>
    <definedName name="DeadTimeP_21">'Parameters definition'!#REF!</definedName>
    <definedName name="DeadTimeP_22">'Parameters definition'!#REF!</definedName>
    <definedName name="DeadTimeP_23">'Parameters definition'!#REF!</definedName>
    <definedName name="DeadTimeP_24">'Parameters definition'!#REF!</definedName>
    <definedName name="DeadTimeP_25">'Parameters definition'!#REF!</definedName>
    <definedName name="DeadTimeP_26">'Parameters definition'!#REF!</definedName>
    <definedName name="DeadTimeP_27">'Parameters definition'!#REF!</definedName>
    <definedName name="DeadTimeP_28">'Parameters definition'!#REF!</definedName>
    <definedName name="DeadTimeP_29">'Parameters definition'!#REF!</definedName>
    <definedName name="DeadTimeP_3">'Parameters definition'!#REF!</definedName>
    <definedName name="DeadTimeP_30">'Parameters definition'!#REF!</definedName>
    <definedName name="DeadTimeP_31">'Parameters definition'!#REF!</definedName>
    <definedName name="DeadTimeP_32">'Parameters definition'!#REF!</definedName>
    <definedName name="DeadTimeP_33">'Parameters definition'!#REF!</definedName>
    <definedName name="DeadTimeP_34">'Parameters definition'!#REF!</definedName>
    <definedName name="DeadTimeP_35">'Parameters definition'!#REF!</definedName>
    <definedName name="DeadTimeP_36">'Parameters definition'!#REF!</definedName>
    <definedName name="DeadTimeP_37">'Parameters definition'!#REF!</definedName>
    <definedName name="DeadTimeP_38">'Parameters definition'!#REF!</definedName>
    <definedName name="DeadTimeP_39">'Parameters definition'!#REF!</definedName>
    <definedName name="DeadTimeP_4">'Parameters definition'!#REF!</definedName>
    <definedName name="DeadTimeP_40">'Parameters definition'!#REF!</definedName>
    <definedName name="DeadTimeP_41">'Parameters definition'!#REF!</definedName>
    <definedName name="DeadTimeP_42">'Parameters definition'!#REF!</definedName>
    <definedName name="DeadTimeP_43">'Parameters definition'!#REF!</definedName>
    <definedName name="DeadTimeP_44">'Parameters definition'!#REF!</definedName>
    <definedName name="DeadTimeP_45">'Parameters definition'!#REF!</definedName>
    <definedName name="DeadTimeP_46">'Parameters definition'!#REF!</definedName>
    <definedName name="DeadTimeP_47">'Parameters definition'!#REF!</definedName>
    <definedName name="DeadTimeP_48">'Parameters definition'!#REF!</definedName>
    <definedName name="DeadTimeP_49">'Parameters definition'!#REF!</definedName>
    <definedName name="DeadTimeP_5">'Parameters definition'!#REF!</definedName>
    <definedName name="DeadTimeP_50">'Parameters definition'!#REF!</definedName>
    <definedName name="DeadTimeP_51">'Parameters definition'!#REF!</definedName>
    <definedName name="DeadTimeP_52">'Parameters definition'!#REF!</definedName>
    <definedName name="DeadTimeP_53">'Parameters definition'!#REF!</definedName>
    <definedName name="DeadTimeP_54">'Parameters definition'!#REF!</definedName>
    <definedName name="DeadTimeP_55">'Parameters definition'!#REF!</definedName>
    <definedName name="DeadTimeP_56">'Parameters definition'!#REF!</definedName>
    <definedName name="DeadTimeP_57">'Parameters definition'!#REF!</definedName>
    <definedName name="DeadTimeP_58">'Parameters definition'!#REF!</definedName>
    <definedName name="DeadTimeP_59">'Parameters definition'!#REF!</definedName>
    <definedName name="DeadTimeP_6">'Parameters definition'!#REF!</definedName>
    <definedName name="DeadTimeP_60">'Parameters definition'!#REF!</definedName>
    <definedName name="DeadTimeP_61">'Parameters definition'!#REF!</definedName>
    <definedName name="DeadTimeP_62">'Parameters definition'!#REF!</definedName>
    <definedName name="DeadTimeP_63">'Parameters definition'!#REF!</definedName>
    <definedName name="DeadTimeP_64">'Parameters definition'!#REF!</definedName>
    <definedName name="DeadTimeP_65">'Parameters definition'!#REF!</definedName>
    <definedName name="DeadTimeP_66">'Parameters definition'!#REF!</definedName>
    <definedName name="DeadTimeP_67">'Parameters definition'!#REF!</definedName>
    <definedName name="DeadTimeP_68">'Parameters definition'!#REF!</definedName>
    <definedName name="DeadTimeP_69">'Parameters definition'!#REF!</definedName>
    <definedName name="DeadTimeP_7">'Parameters definition'!#REF!</definedName>
    <definedName name="DeadTimeP_70">'Parameters definition'!#REF!</definedName>
    <definedName name="DeadTimeP_71">'Parameters definition'!#REF!</definedName>
    <definedName name="DeadTimeP_72">'Parameters definition'!#REF!</definedName>
    <definedName name="DeadTimeP_73">'Parameters definition'!#REF!</definedName>
    <definedName name="DeadTimeP_74">'Parameters definition'!#REF!</definedName>
    <definedName name="DeadTimeP_75">'Parameters definition'!#REF!</definedName>
    <definedName name="DeadTimeP_76">'Parameters definition'!#REF!</definedName>
    <definedName name="DeadTimeP_77">'Parameters definition'!#REF!</definedName>
    <definedName name="DeadTimeP_78">'Parameters definition'!#REF!</definedName>
    <definedName name="DeadTimeP_79">'Parameters definition'!#REF!</definedName>
    <definedName name="DeadTimeP_8">'Parameters definition'!#REF!</definedName>
    <definedName name="DeadTimeP_80">'Parameters definition'!#REF!</definedName>
    <definedName name="DeadTimeP_9">'Parameters definition'!#REF!</definedName>
    <definedName name="DIRECT_CURR_POS_0">'Parameters definition'!$C$70</definedName>
    <definedName name="DIRECT_CURR_POS_1">'Parameters definition'!$C$71</definedName>
    <definedName name="DIRECT_CURR_POS_10">'Parameters definition'!#REF!</definedName>
    <definedName name="DIRECT_CURR_POS_11">'Parameters definition'!#REF!</definedName>
    <definedName name="DIRECT_CURR_POS_12">'Parameters definition'!#REF!</definedName>
    <definedName name="DIRECT_CURR_POS_13">'Parameters definition'!#REF!</definedName>
    <definedName name="DIRECT_CURR_POS_14">'Parameters definition'!#REF!</definedName>
    <definedName name="DIRECT_CURR_POS_15">'Parameters definition'!#REF!</definedName>
    <definedName name="DIRECT_CURR_POS_2">'Parameters definition'!$C$72</definedName>
    <definedName name="DIRECT_CURR_POS_3">'Parameters definition'!$C$73</definedName>
    <definedName name="DIRECT_CURR_POS_4">'Parameters definition'!$C$74</definedName>
    <definedName name="DIRECT_CURR_POS_5">'Parameters definition'!$C$75</definedName>
    <definedName name="DIRECT_CURR_POS_6">'Parameters definition'!$C$76</definedName>
    <definedName name="DIRECT_CURR_POS_7">'Parameters definition'!$C$77</definedName>
    <definedName name="DIRECT_CURR_POS_8">'Parameters definition'!#REF!</definedName>
    <definedName name="DIRECT_CURR_POS_9">'Parameters definition'!#REF!</definedName>
    <definedName name="DIRECT_IND_POS_0">'Parameters definition'!$C$62</definedName>
    <definedName name="DIRECT_IND_POS_1">'Parameters definition'!$C$63</definedName>
    <definedName name="DIRECT_IND_POS_10">'Parameters definition'!#REF!</definedName>
    <definedName name="DIRECT_IND_POS_11">'Parameters definition'!#REF!</definedName>
    <definedName name="DIRECT_IND_POS_12">'Parameters definition'!#REF!</definedName>
    <definedName name="DIRECT_IND_POS_13">'Parameters definition'!#REF!</definedName>
    <definedName name="DIRECT_IND_POS_14">'Parameters definition'!#REF!</definedName>
    <definedName name="DIRECT_IND_POS_15">'Parameters definition'!#REF!</definedName>
    <definedName name="DIRECT_IND_POS_2">'Parameters definition'!$C$64</definedName>
    <definedName name="DIRECT_IND_POS_3">'Parameters definition'!$C$65</definedName>
    <definedName name="DIRECT_IND_POS_4">'Parameters definition'!$C$66</definedName>
    <definedName name="DIRECT_IND_POS_5">'Parameters definition'!$C$67</definedName>
    <definedName name="DIRECT_IND_POS_6">'Parameters definition'!$C$68</definedName>
    <definedName name="DIRECT_IND_POS_7">'Parameters definition'!$C$69</definedName>
    <definedName name="DIRECT_IND_POS_8">'Parameters definition'!#REF!</definedName>
    <definedName name="DIRECT_IND_POS_9">'Parameters definition'!#REF!</definedName>
    <definedName name="DQ_CONTROLLER_MAX_FLUX">'Parameters definition'!$C$148</definedName>
    <definedName name="DQ_CONTROLLER_MAX_INPUT_VOLT_FACTOR">'Parameters definition'!$C$145</definedName>
    <definedName name="DQ_CONTROLLER_OVER_FLUX_DECREMENT">'Parameters definition'!$C$147</definedName>
    <definedName name="DQ_CONTROLLER_TS">'Parameters definition'!$C$149</definedName>
    <definedName name="DQ_CURRENT_CONTROL_TS">'Parameters definition'!$C$216</definedName>
    <definedName name="DQ_FLUX_KI_REGION_0">'Parameters definition'!$C$170</definedName>
    <definedName name="DQ_FLUX_KI_REGION_1">'Parameters definition'!$C$176</definedName>
    <definedName name="DQ_FLUX_KI_REGION_2">'Parameters definition'!$C$182</definedName>
    <definedName name="DQ_FLUX_KP_REGION_0">'Parameters definition'!$C$169</definedName>
    <definedName name="DQ_FLUX_KP_REGION_1">'Parameters definition'!$C$175</definedName>
    <definedName name="DQ_FLUX_KP_REGION_2">'Parameters definition'!$C$181</definedName>
    <definedName name="DQ_GAINS_SWTICHING_TIME_REGION_0">'Parameters definition'!$C$172</definedName>
    <definedName name="DQ_GAINS_SWTICHING_TIME_REGION_1">'Parameters definition'!$C$178</definedName>
    <definedName name="DQ_GAINS_SWTICHING_TIME_REGION_2">'Parameters definition'!$C$184</definedName>
    <definedName name="DQ_SPEED_THRESHOLD_REGION_0">'Parameters definition'!$C$171</definedName>
    <definedName name="DQ_SPEED_THRESHOLD_REGION_1">'Parameters definition'!$C$177</definedName>
    <definedName name="DQ_SPEED_THRESHOLD_REGION_2">'Parameters definition'!$C$183</definedName>
    <definedName name="DQ_STARTING_TIME">'Parameters definition'!$C$144</definedName>
    <definedName name="DQ_TORQUE_KI_REGION_0">'Parameters definition'!$C$168</definedName>
    <definedName name="DQ_TORQUE_KI_REGION_1">'Parameters definition'!$C$174</definedName>
    <definedName name="DQ_TORQUE_KI_REGION_2">'Parameters definition'!$C$180</definedName>
    <definedName name="DQ_TORQUE_KP_REGION_0">'Parameters definition'!$C$167</definedName>
    <definedName name="DQ_TORQUE_KP_REGION_1">'Parameters definition'!$C$173</definedName>
    <definedName name="DQ_TORQUE_KP_REGION_2">'Parameters definition'!$C$179</definedName>
    <definedName name="DQREF_MAX_SPEED_DROP_FACTOR">'Parameters definition'!$C$153</definedName>
    <definedName name="DQREF_MIN_AVAILABLE_VOLT_FACTOR">'Parameters definition'!$C$146</definedName>
    <definedName name="DQREF_SPEED_DROP_FACTOR">'Parameters definition'!$C$154</definedName>
    <definedName name="FLUX_REF_SCALE_TIME">'Parameters definition'!$C$150</definedName>
    <definedName name="FORCE_MAX_STARTING_TIME">'Parameters definition'!$C$119</definedName>
    <definedName name="FORCE_MAX_STARTING_TORQUE">'Parameters definition'!$C$118</definedName>
    <definedName name="K_TORQUE_ERROR">'Parameters definition'!$C$158</definedName>
    <definedName name="List_Variable_Format">'Data validation entries'!$J$8:$J$12</definedName>
    <definedName name="List_Variable_Sizes">'Data validation entries'!$F$8:$F$17</definedName>
    <definedName name="LOAD_ANGLE_COS_MAX">'Parameters definition'!$C$114</definedName>
    <definedName name="LOAD_ANGLE_KI">'Parameters definition'!$C$116</definedName>
    <definedName name="LOAD_ANGLE_KP">'Parameters definition'!$C$115</definedName>
    <definedName name="LS_INDUCTANCE">'Parameters definition'!$C$13</definedName>
    <definedName name="M_INDEX_CTRL">'Parameters definition'!$C$185</definedName>
    <definedName name="M_INDEX_REF">'Parameters definition'!$C$160</definedName>
    <definedName name="Max_Available_Voltage_Factor">'Parameters definition'!$C$3</definedName>
    <definedName name="MAX_PHASE_CURR">'Parameters definition'!$C$19</definedName>
    <definedName name="MAX_PHASE_CURRENT_HIGH_SPEED">'Parameters definition'!$C$20</definedName>
    <definedName name="MCL_INPUT_CALL_RATE_HZ">'Parameters definition'!$C$4</definedName>
    <definedName name="MTPAFlux_0">'Parameters definition LUTS'!$C$29</definedName>
    <definedName name="MTPAFlux_1">'Parameters definition LUTS'!$C$30</definedName>
    <definedName name="MTPAFlux_10">'Parameters definition LUTS'!$C$39</definedName>
    <definedName name="MTPAFlux_11">'Parameters definition LUTS'!$C$40</definedName>
    <definedName name="MTPAFlux_12">'Parameters definition LUTS'!$C$41</definedName>
    <definedName name="MTPAFlux_13">'Parameters definition LUTS'!$C$42</definedName>
    <definedName name="MTPAFlux_14">'Parameters definition LUTS'!$C$43</definedName>
    <definedName name="MTPAFlux_15">'Parameters definition LUTS'!$C$44</definedName>
    <definedName name="MTPAFlux_16">'Parameters definition LUTS'!$C$45</definedName>
    <definedName name="MTPAFlux_17">'Parameters definition LUTS'!$C$46</definedName>
    <definedName name="MTPAFlux_18">'Parameters definition LUTS'!$C$47</definedName>
    <definedName name="MTPAFlux_19">'Parameters definition LUTS'!$C$48</definedName>
    <definedName name="MTPAFlux_2">'Parameters definition LUTS'!$C$31</definedName>
    <definedName name="MTPAFlux_20">'Parameters definition LUTS'!$C$49</definedName>
    <definedName name="MTPAFlux_21">'Parameters definition LUTS'!$C$50</definedName>
    <definedName name="MTPAFlux_22">'Parameters definition LUTS'!$C$51</definedName>
    <definedName name="MTPAFlux_23">'Parameters definition LUTS'!$C$52</definedName>
    <definedName name="MTPAFlux_24">'Parameters definition LUTS'!$C$53</definedName>
    <definedName name="MTPAFlux_25">'Parameters definition LUTS'!#REF!</definedName>
    <definedName name="MTPAFlux_26">'Parameters definition LUTS'!#REF!</definedName>
    <definedName name="MTPAFlux_27">'Parameters definition LUTS'!#REF!</definedName>
    <definedName name="MTPAFlux_28">'Parameters definition LUTS'!#REF!</definedName>
    <definedName name="MTPAFlux_29">'Parameters definition LUTS'!#REF!</definedName>
    <definedName name="MTPAFlux_3">'Parameters definition LUTS'!$C$32</definedName>
    <definedName name="MTPAFlux_30">'Parameters definition LUTS'!#REF!</definedName>
    <definedName name="MTPAFlux_31">'Parameters definition LUTS'!#REF!</definedName>
    <definedName name="MTPAFlux_32">'Parameters definition LUTS'!#REF!</definedName>
    <definedName name="MTPAFlux_33">'Parameters definition LUTS'!#REF!</definedName>
    <definedName name="MTPAFlux_34">'Parameters definition LUTS'!#REF!</definedName>
    <definedName name="MTPAFlux_35">'Parameters definition LUTS'!#REF!</definedName>
    <definedName name="MTPAFlux_36">'Parameters definition LUTS'!#REF!</definedName>
    <definedName name="MTPAFlux_37">'Parameters definition LUTS'!#REF!</definedName>
    <definedName name="MTPAFlux_38">'Parameters definition LUTS'!#REF!</definedName>
    <definedName name="MTPAFlux_39">'Parameters definition LUTS'!#REF!</definedName>
    <definedName name="MTPAFlux_4">'Parameters definition LUTS'!$C$33</definedName>
    <definedName name="MTPAFlux_40">'Parameters definition LUTS'!#REF!</definedName>
    <definedName name="MTPAFlux_41">'Parameters definition LUTS'!#REF!</definedName>
    <definedName name="MTPAFlux_42">'Parameters definition LUTS'!#REF!</definedName>
    <definedName name="MTPAFlux_43">'Parameters definition LUTS'!#REF!</definedName>
    <definedName name="MTPAFlux_44">'Parameters definition LUTS'!#REF!</definedName>
    <definedName name="MTPAFlux_45">'Parameters definition LUTS'!#REF!</definedName>
    <definedName name="MTPAFlux_46">'Parameters definition LUTS'!#REF!</definedName>
    <definedName name="MTPAFlux_47">'Parameters definition LUTS'!#REF!</definedName>
    <definedName name="MTPAFlux_48">'Parameters definition LUTS'!#REF!</definedName>
    <definedName name="MTPAFlux_49">'Parameters definition LUTS'!#REF!</definedName>
    <definedName name="MTPAFlux_5">'Parameters definition LUTS'!$C$34</definedName>
    <definedName name="MTPAFlux_50">'Parameters definition LUTS'!#REF!</definedName>
    <definedName name="MTPAFlux_51">'Parameters definition LUTS'!#REF!</definedName>
    <definedName name="MTPAFlux_52">'Parameters definition LUTS'!#REF!</definedName>
    <definedName name="MTPAFlux_53">'Parameters definition LUTS'!#REF!</definedName>
    <definedName name="MTPAFlux_54">'Parameters definition LUTS'!#REF!</definedName>
    <definedName name="MTPAFlux_55">'Parameters definition LUTS'!#REF!</definedName>
    <definedName name="MTPAFlux_56">'Parameters definition LUTS'!#REF!</definedName>
    <definedName name="MTPAFlux_57">'Parameters definition LUTS'!#REF!</definedName>
    <definedName name="MTPAFlux_58">'Parameters definition LUTS'!#REF!</definedName>
    <definedName name="MTPAFlux_59">'Parameters definition LUTS'!#REF!</definedName>
    <definedName name="MTPAFlux_6">'Parameters definition LUTS'!$C$35</definedName>
    <definedName name="MTPAFlux_60">'Parameters definition LUTS'!#REF!</definedName>
    <definedName name="MTPAFlux_61">'Parameters definition LUTS'!#REF!</definedName>
    <definedName name="MTPAFlux_62">'Parameters definition LUTS'!#REF!</definedName>
    <definedName name="MTPAFlux_63">'Parameters definition LUTS'!#REF!</definedName>
    <definedName name="MTPAFlux_64">'Parameters definition LUTS'!#REF!</definedName>
    <definedName name="MTPAFlux_65">'Parameters definition LUTS'!#REF!</definedName>
    <definedName name="MTPAFlux_66">'Parameters definition LUTS'!#REF!</definedName>
    <definedName name="MTPAFlux_67">'Parameters definition LUTS'!#REF!</definedName>
    <definedName name="MTPAFlux_68">'Parameters definition LUTS'!#REF!</definedName>
    <definedName name="MTPAFlux_69">'Parameters definition LUTS'!#REF!</definedName>
    <definedName name="MTPAFlux_7">'Parameters definition LUTS'!$C$36</definedName>
    <definedName name="MTPAFlux_70">'Parameters definition LUTS'!#REF!</definedName>
    <definedName name="MTPAFlux_71">'Parameters definition LUTS'!#REF!</definedName>
    <definedName name="MTPAFlux_72">'Parameters definition LUTS'!#REF!</definedName>
    <definedName name="MTPAFlux_73">'Parameters definition LUTS'!#REF!</definedName>
    <definedName name="MTPAFlux_74">'Parameters definition LUTS'!#REF!</definedName>
    <definedName name="MTPAFlux_75">'Parameters definition LUTS'!#REF!</definedName>
    <definedName name="MTPAFlux_76">'Parameters definition LUTS'!#REF!</definedName>
    <definedName name="MTPAFlux_77">'Parameters definition LUTS'!#REF!</definedName>
    <definedName name="MTPAFlux_78">'Parameters definition LUTS'!#REF!</definedName>
    <definedName name="MTPAFlux_79">'Parameters definition LUTS'!#REF!</definedName>
    <definedName name="MTPAFlux_8">'Parameters definition LUTS'!$C$37</definedName>
    <definedName name="MTPAFlux_80">'Parameters definition LUTS'!#REF!</definedName>
    <definedName name="MTPAFlux_9">'Parameters definition LUTS'!$C$38</definedName>
    <definedName name="MTPATorque_0">'Parameters definition LUTS'!$C$4</definedName>
    <definedName name="MTPATorque_1">'Parameters definition LUTS'!$C$5</definedName>
    <definedName name="MTPATorque_10">'Parameters definition LUTS'!$C$14</definedName>
    <definedName name="MTPATorque_11">'Parameters definition LUTS'!$C$15</definedName>
    <definedName name="MTPATorque_12">'Parameters definition LUTS'!$C$16</definedName>
    <definedName name="MTPATorque_13">'Parameters definition LUTS'!$C$17</definedName>
    <definedName name="MTPATorque_14">'Parameters definition LUTS'!$C$18</definedName>
    <definedName name="MTPATorque_15">'Parameters definition LUTS'!$C$19</definedName>
    <definedName name="MTPATorque_16">'Parameters definition LUTS'!$C$20</definedName>
    <definedName name="MTPATorque_17">'Parameters definition LUTS'!$C$21</definedName>
    <definedName name="MTPATorque_18">'Parameters definition LUTS'!$C$22</definedName>
    <definedName name="MTPATorque_19">'Parameters definition LUTS'!$C$23</definedName>
    <definedName name="MTPATorque_2">'Parameters definition LUTS'!$C$6</definedName>
    <definedName name="MTPATorque_20">'Parameters definition LUTS'!$C$24</definedName>
    <definedName name="MTPATorque_21">'Parameters definition LUTS'!$C$25</definedName>
    <definedName name="MTPATorque_22">'Parameters definition LUTS'!$C$26</definedName>
    <definedName name="MTPATorque_23">'Parameters definition LUTS'!$C$27</definedName>
    <definedName name="MTPATorque_24">'Parameters definition LUTS'!$C$28</definedName>
    <definedName name="MTPATorque_25">'Parameters definition LUTS'!#REF!</definedName>
    <definedName name="MTPATorque_26">'Parameters definition LUTS'!#REF!</definedName>
    <definedName name="MTPATorque_27">'Parameters definition LUTS'!#REF!</definedName>
    <definedName name="MTPATorque_28">'Parameters definition LUTS'!#REF!</definedName>
    <definedName name="MTPATorque_29">'Parameters definition LUTS'!#REF!</definedName>
    <definedName name="MTPATorque_3">'Parameters definition LUTS'!$C$7</definedName>
    <definedName name="MTPATorque_30">'Parameters definition LUTS'!#REF!</definedName>
    <definedName name="MTPATorque_31">'Parameters definition LUTS'!#REF!</definedName>
    <definedName name="MTPATorque_32">'Parameters definition LUTS'!#REF!</definedName>
    <definedName name="MTPATorque_33">'Parameters definition LUTS'!#REF!</definedName>
    <definedName name="MTPATorque_34">'Parameters definition LUTS'!#REF!</definedName>
    <definedName name="MTPATorque_35">'Parameters definition LUTS'!#REF!</definedName>
    <definedName name="MTPATorque_36">'Parameters definition LUTS'!#REF!</definedName>
    <definedName name="MTPATorque_37">'Parameters definition LUTS'!#REF!</definedName>
    <definedName name="MTPATorque_38">'Parameters definition LUTS'!#REF!</definedName>
    <definedName name="MTPATorque_39">'Parameters definition LUTS'!#REF!</definedName>
    <definedName name="MTPATorque_4">'Parameters definition LUTS'!$C$8</definedName>
    <definedName name="MTPATorque_40">'Parameters definition LUTS'!#REF!</definedName>
    <definedName name="MTPATorque_41">'Parameters definition LUTS'!#REF!</definedName>
    <definedName name="MTPATorque_42">'Parameters definition LUTS'!#REF!</definedName>
    <definedName name="MTPATorque_43">'Parameters definition LUTS'!#REF!</definedName>
    <definedName name="MTPATorque_44">'Parameters definition LUTS'!#REF!</definedName>
    <definedName name="MTPATorque_45">'Parameters definition LUTS'!#REF!</definedName>
    <definedName name="MTPATorque_46">'Parameters definition LUTS'!#REF!</definedName>
    <definedName name="MTPATorque_47">'Parameters definition LUTS'!#REF!</definedName>
    <definedName name="MTPATorque_48">'Parameters definition LUTS'!#REF!</definedName>
    <definedName name="MTPATorque_49">'Parameters definition LUTS'!#REF!</definedName>
    <definedName name="MTPATorque_5">'Parameters definition LUTS'!$C$9</definedName>
    <definedName name="MTPATorque_50">'Parameters definition LUTS'!#REF!</definedName>
    <definedName name="MTPATorque_51">'Parameters definition LUTS'!#REF!</definedName>
    <definedName name="MTPATorque_52">'Parameters definition LUTS'!#REF!</definedName>
    <definedName name="MTPATorque_53">'Parameters definition LUTS'!#REF!</definedName>
    <definedName name="MTPATorque_54">'Parameters definition LUTS'!#REF!</definedName>
    <definedName name="MTPATorque_55">'Parameters definition LUTS'!#REF!</definedName>
    <definedName name="MTPATorque_56">'Parameters definition LUTS'!#REF!</definedName>
    <definedName name="MTPATorque_57">'Parameters definition LUTS'!#REF!</definedName>
    <definedName name="MTPATorque_58">'Parameters definition LUTS'!#REF!</definedName>
    <definedName name="MTPATorque_59">'Parameters definition LUTS'!#REF!</definedName>
    <definedName name="MTPATorque_6">'Parameters definition LUTS'!$C$10</definedName>
    <definedName name="MTPATorque_60">'Parameters definition LUTS'!#REF!</definedName>
    <definedName name="MTPATorque_61">'Parameters definition LUTS'!#REF!</definedName>
    <definedName name="MTPATorque_62">'Parameters definition LUTS'!#REF!</definedName>
    <definedName name="MTPATorque_63">'Parameters definition LUTS'!#REF!</definedName>
    <definedName name="MTPATorque_64">'Parameters definition LUTS'!#REF!</definedName>
    <definedName name="MTPATorque_65">'Parameters definition LUTS'!#REF!</definedName>
    <definedName name="MTPATorque_66">'Parameters definition LUTS'!#REF!</definedName>
    <definedName name="MTPATorque_67">'Parameters definition LUTS'!#REF!</definedName>
    <definedName name="MTPATorque_68">'Parameters definition LUTS'!#REF!</definedName>
    <definedName name="MTPATorque_69">'Parameters definition LUTS'!#REF!</definedName>
    <definedName name="MTPATorque_7">'Parameters definition LUTS'!$C$11</definedName>
    <definedName name="MTPATorque_70">'Parameters definition LUTS'!#REF!</definedName>
    <definedName name="MTPATorque_71">'Parameters definition LUTS'!#REF!</definedName>
    <definedName name="MTPATorque_72">'Parameters definition LUTS'!#REF!</definedName>
    <definedName name="MTPATorque_73">'Parameters definition LUTS'!#REF!</definedName>
    <definedName name="MTPATorque_74">'Parameters definition LUTS'!#REF!</definedName>
    <definedName name="MTPATorque_75">'Parameters definition LUTS'!#REF!</definedName>
    <definedName name="MTPATorque_76">'Parameters definition LUTS'!#REF!</definedName>
    <definedName name="MTPATorque_77">'Parameters definition LUTS'!#REF!</definedName>
    <definedName name="MTPATorque_78">'Parameters definition LUTS'!#REF!</definedName>
    <definedName name="MTPATorque_79">'Parameters definition LUTS'!#REF!</definedName>
    <definedName name="MTPATorque_8">'Parameters definition LUTS'!$C$12</definedName>
    <definedName name="MTPATorque_80">'Parameters definition LUTS'!#REF!</definedName>
    <definedName name="MTPATorque_9">'Parameters definition LUTS'!$C$13</definedName>
    <definedName name="MTPVAngle_0">'Parameters definition LUTS'!#REF!</definedName>
    <definedName name="MTPVAngle_1">'Parameters definition LUTS'!#REF!</definedName>
    <definedName name="MTPVAngle_10">'Parameters definition LUTS'!#REF!</definedName>
    <definedName name="MTPVAngle_100">'Parameters definition LUTS'!#REF!</definedName>
    <definedName name="MTPVAngle_101">'Parameters definition LUTS'!#REF!</definedName>
    <definedName name="MTPVAngle_102">'Parameters definition LUTS'!#REF!</definedName>
    <definedName name="MTPVAngle_103">'Parameters definition LUTS'!#REF!</definedName>
    <definedName name="MTPVAngle_104">'Parameters definition LUTS'!#REF!</definedName>
    <definedName name="MTPVAngle_105">'Parameters definition LUTS'!#REF!</definedName>
    <definedName name="MTPVAngle_106">'Parameters definition LUTS'!#REF!</definedName>
    <definedName name="MTPVAngle_107">'Parameters definition LUTS'!#REF!</definedName>
    <definedName name="MTPVAngle_108">'Parameters definition LUTS'!#REF!</definedName>
    <definedName name="MTPVAngle_109">'Parameters definition LUTS'!#REF!</definedName>
    <definedName name="MTPVAngle_11">'Parameters definition LUTS'!#REF!</definedName>
    <definedName name="MTPVAngle_110">'Parameters definition LUTS'!#REF!</definedName>
    <definedName name="MTPVAngle_111">'Parameters definition LUTS'!#REF!</definedName>
    <definedName name="MTPVAngle_112">'Parameters definition LUTS'!#REF!</definedName>
    <definedName name="MTPVAngle_113">'Parameters definition LUTS'!#REF!</definedName>
    <definedName name="MTPVAngle_114">'Parameters definition LUTS'!#REF!</definedName>
    <definedName name="MTPVAngle_115">'Parameters definition LUTS'!#REF!</definedName>
    <definedName name="MTPVAngle_116">'Parameters definition LUTS'!#REF!</definedName>
    <definedName name="MTPVAngle_117">'Parameters definition LUTS'!#REF!</definedName>
    <definedName name="MTPVAngle_118">'Parameters definition LUTS'!#REF!</definedName>
    <definedName name="MTPVAngle_119">'Parameters definition LUTS'!#REF!</definedName>
    <definedName name="MTPVAngle_12">'Parameters definition LUTS'!#REF!</definedName>
    <definedName name="MTPVAngle_120">'Parameters definition LUTS'!#REF!</definedName>
    <definedName name="MTPVAngle_121">'Parameters definition LUTS'!#REF!</definedName>
    <definedName name="MTPVAngle_122">'Parameters definition LUTS'!#REF!</definedName>
    <definedName name="MTPVAngle_123">'Parameters definition LUTS'!#REF!</definedName>
    <definedName name="MTPVAngle_124">'Parameters definition LUTS'!#REF!</definedName>
    <definedName name="MTPVAngle_125">'Parameters definition LUTS'!#REF!</definedName>
    <definedName name="MTPVAngle_126">'Parameters definition LUTS'!#REF!</definedName>
    <definedName name="MTPVAngle_127">'Parameters definition LUTS'!#REF!</definedName>
    <definedName name="MTPVAngle_128">'Parameters definition LUTS'!#REF!</definedName>
    <definedName name="MTPVAngle_129">'Parameters definition LUTS'!#REF!</definedName>
    <definedName name="MTPVAngle_13">'Parameters definition LUTS'!#REF!</definedName>
    <definedName name="MTPVAngle_130">'Parameters definition LUTS'!#REF!</definedName>
    <definedName name="MTPVAngle_131">'Parameters definition LUTS'!#REF!</definedName>
    <definedName name="MTPVAngle_132">'Parameters definition LUTS'!#REF!</definedName>
    <definedName name="MTPVAngle_133">'Parameters definition LUTS'!#REF!</definedName>
    <definedName name="MTPVAngle_134">'Parameters definition LUTS'!#REF!</definedName>
    <definedName name="MTPVAngle_135">'Parameters definition LUTS'!#REF!</definedName>
    <definedName name="MTPVAngle_136">'Parameters definition LUTS'!#REF!</definedName>
    <definedName name="MTPVAngle_137">'Parameters definition LUTS'!#REF!</definedName>
    <definedName name="MTPVAngle_138">'Parameters definition LUTS'!#REF!</definedName>
    <definedName name="MTPVAngle_139">'Parameters definition LUTS'!#REF!</definedName>
    <definedName name="MTPVAngle_14">'Parameters definition LUTS'!#REF!</definedName>
    <definedName name="MTPVAngle_140">'Parameters definition LUTS'!#REF!</definedName>
    <definedName name="MTPVAngle_141">'Parameters definition LUTS'!#REF!</definedName>
    <definedName name="MTPVAngle_142">'Parameters definition LUTS'!#REF!</definedName>
    <definedName name="MTPVAngle_143">'Parameters definition LUTS'!#REF!</definedName>
    <definedName name="MTPVAngle_144">'Parameters definition LUTS'!#REF!</definedName>
    <definedName name="MTPVAngle_145">'Parameters definition LUTS'!#REF!</definedName>
    <definedName name="MTPVAngle_146">'Parameters definition LUTS'!#REF!</definedName>
    <definedName name="MTPVAngle_147">'Parameters definition LUTS'!#REF!</definedName>
    <definedName name="MTPVAngle_148">'Parameters definition LUTS'!#REF!</definedName>
    <definedName name="MTPVAngle_149">'Parameters definition LUTS'!#REF!</definedName>
    <definedName name="MTPVAngle_15">'Parameters definition LUTS'!#REF!</definedName>
    <definedName name="MTPVAngle_150">'Parameters definition LUTS'!#REF!</definedName>
    <definedName name="MTPVAngle_151">'Parameters definition LUTS'!#REF!</definedName>
    <definedName name="MTPVAngle_152">'Parameters definition LUTS'!#REF!</definedName>
    <definedName name="MTPVAngle_153">'Parameters definition LUTS'!#REF!</definedName>
    <definedName name="MTPVAngle_154">'Parameters definition LUTS'!#REF!</definedName>
    <definedName name="MTPVAngle_155">'Parameters definition LUTS'!#REF!</definedName>
    <definedName name="MTPVAngle_156">'Parameters definition LUTS'!#REF!</definedName>
    <definedName name="MTPVAngle_157">'Parameters definition LUTS'!#REF!</definedName>
    <definedName name="MTPVAngle_158">'Parameters definition LUTS'!#REF!</definedName>
    <definedName name="MTPVAngle_159">'Parameters definition LUTS'!#REF!</definedName>
    <definedName name="MTPVAngle_16">'Parameters definition LUTS'!#REF!</definedName>
    <definedName name="MTPVAngle_160">'Parameters definition LUTS'!#REF!</definedName>
    <definedName name="MTPVAngle_17">'Parameters definition LUTS'!#REF!</definedName>
    <definedName name="MTPVAngle_18">'Parameters definition LUTS'!#REF!</definedName>
    <definedName name="MTPVAngle_19">'Parameters definition LUTS'!#REF!</definedName>
    <definedName name="MTPVAngle_2">'Parameters definition LUTS'!#REF!</definedName>
    <definedName name="MTPVAngle_20">'Parameters definition LUTS'!#REF!</definedName>
    <definedName name="MTPVAngle_21">'Parameters definition LUTS'!#REF!</definedName>
    <definedName name="MTPVAngle_22">'Parameters definition LUTS'!#REF!</definedName>
    <definedName name="MTPVAngle_23">'Parameters definition LUTS'!#REF!</definedName>
    <definedName name="MTPVAngle_24">'Parameters definition LUTS'!#REF!</definedName>
    <definedName name="MTPVAngle_25">'Parameters definition LUTS'!#REF!</definedName>
    <definedName name="MTPVAngle_26">'Parameters definition LUTS'!#REF!</definedName>
    <definedName name="MTPVAngle_27">'Parameters definition LUTS'!#REF!</definedName>
    <definedName name="MTPVAngle_28">'Parameters definition LUTS'!#REF!</definedName>
    <definedName name="MTPVAngle_29">'Parameters definition LUTS'!#REF!</definedName>
    <definedName name="MTPVAngle_3">'Parameters definition LUTS'!#REF!</definedName>
    <definedName name="MTPVAngle_30">'Parameters definition LUTS'!#REF!</definedName>
    <definedName name="MTPVAngle_31">'Parameters definition LUTS'!#REF!</definedName>
    <definedName name="MTPVAngle_32">'Parameters definition LUTS'!#REF!</definedName>
    <definedName name="MTPVAngle_33">'Parameters definition LUTS'!#REF!</definedName>
    <definedName name="MTPVAngle_34">'Parameters definition LUTS'!#REF!</definedName>
    <definedName name="MTPVAngle_35">'Parameters definition LUTS'!#REF!</definedName>
    <definedName name="MTPVAngle_36">'Parameters definition LUTS'!#REF!</definedName>
    <definedName name="MTPVAngle_37">'Parameters definition LUTS'!#REF!</definedName>
    <definedName name="MTPVAngle_38">'Parameters definition LUTS'!#REF!</definedName>
    <definedName name="MTPVAngle_39">'Parameters definition LUTS'!#REF!</definedName>
    <definedName name="MTPVAngle_4">'Parameters definition LUTS'!#REF!</definedName>
    <definedName name="MTPVAngle_40">'Parameters definition LUTS'!#REF!</definedName>
    <definedName name="MTPVAngle_41">'Parameters definition LUTS'!#REF!</definedName>
    <definedName name="MTPVAngle_42">'Parameters definition LUTS'!#REF!</definedName>
    <definedName name="MTPVAngle_43">'Parameters definition LUTS'!#REF!</definedName>
    <definedName name="MTPVAngle_44">'Parameters definition LUTS'!#REF!</definedName>
    <definedName name="MTPVAngle_45">'Parameters definition LUTS'!#REF!</definedName>
    <definedName name="MTPVAngle_46">'Parameters definition LUTS'!#REF!</definedName>
    <definedName name="MTPVAngle_47">'Parameters definition LUTS'!#REF!</definedName>
    <definedName name="MTPVAngle_48">'Parameters definition LUTS'!#REF!</definedName>
    <definedName name="MTPVAngle_49">'Parameters definition LUTS'!#REF!</definedName>
    <definedName name="MTPVAngle_5">'Parameters definition LUTS'!#REF!</definedName>
    <definedName name="MTPVAngle_50">'Parameters definition LUTS'!#REF!</definedName>
    <definedName name="MTPVAngle_51">'Parameters definition LUTS'!#REF!</definedName>
    <definedName name="MTPVAngle_52">'Parameters definition LUTS'!#REF!</definedName>
    <definedName name="MTPVAngle_53">'Parameters definition LUTS'!#REF!</definedName>
    <definedName name="MTPVAngle_54">'Parameters definition LUTS'!#REF!</definedName>
    <definedName name="MTPVAngle_55">'Parameters definition LUTS'!#REF!</definedName>
    <definedName name="MTPVAngle_56">'Parameters definition LUTS'!#REF!</definedName>
    <definedName name="MTPVAngle_57">'Parameters definition LUTS'!#REF!</definedName>
    <definedName name="MTPVAngle_58">'Parameters definition LUTS'!#REF!</definedName>
    <definedName name="MTPVAngle_59">'Parameters definition LUTS'!#REF!</definedName>
    <definedName name="MTPVAngle_6">'Parameters definition LUTS'!#REF!</definedName>
    <definedName name="MTPVAngle_60">'Parameters definition LUTS'!#REF!</definedName>
    <definedName name="MTPVAngle_61">'Parameters definition LUTS'!#REF!</definedName>
    <definedName name="MTPVAngle_62">'Parameters definition LUTS'!#REF!</definedName>
    <definedName name="MTPVAngle_63">'Parameters definition LUTS'!#REF!</definedName>
    <definedName name="MTPVAngle_64">'Parameters definition LUTS'!#REF!</definedName>
    <definedName name="MTPVAngle_65">'Parameters definition LUTS'!#REF!</definedName>
    <definedName name="MTPVAngle_66">'Parameters definition LUTS'!#REF!</definedName>
    <definedName name="MTPVAngle_67">'Parameters definition LUTS'!#REF!</definedName>
    <definedName name="MTPVAngle_68">'Parameters definition LUTS'!#REF!</definedName>
    <definedName name="MTPVAngle_69">'Parameters definition LUTS'!#REF!</definedName>
    <definedName name="MTPVAngle_7">'Parameters definition LUTS'!#REF!</definedName>
    <definedName name="MTPVAngle_70">'Parameters definition LUTS'!#REF!</definedName>
    <definedName name="MTPVAngle_71">'Parameters definition LUTS'!#REF!</definedName>
    <definedName name="MTPVAngle_72">'Parameters definition LUTS'!#REF!</definedName>
    <definedName name="MTPVAngle_73">'Parameters definition LUTS'!#REF!</definedName>
    <definedName name="MTPVAngle_74">'Parameters definition LUTS'!#REF!</definedName>
    <definedName name="MTPVAngle_75">'Parameters definition LUTS'!#REF!</definedName>
    <definedName name="MTPVAngle_76">'Parameters definition LUTS'!#REF!</definedName>
    <definedName name="MTPVAngle_77">'Parameters definition LUTS'!#REF!</definedName>
    <definedName name="MTPVAngle_78">'Parameters definition LUTS'!#REF!</definedName>
    <definedName name="MTPVAngle_79">'Parameters definition LUTS'!#REF!</definedName>
    <definedName name="MTPVAngle_8">'Parameters definition LUTS'!#REF!</definedName>
    <definedName name="MTPVAngle_80">'Parameters definition LUTS'!#REF!</definedName>
    <definedName name="MTPVAngle_81">'Parameters definition LUTS'!#REF!</definedName>
    <definedName name="MTPVAngle_82">'Parameters definition LUTS'!#REF!</definedName>
    <definedName name="MTPVAngle_83">'Parameters definition LUTS'!#REF!</definedName>
    <definedName name="MTPVAngle_84">'Parameters definition LUTS'!#REF!</definedName>
    <definedName name="MTPVAngle_85">'Parameters definition LUTS'!#REF!</definedName>
    <definedName name="MTPVAngle_86">'Parameters definition LUTS'!#REF!</definedName>
    <definedName name="MTPVAngle_87">'Parameters definition LUTS'!#REF!</definedName>
    <definedName name="MTPVAngle_88">'Parameters definition LUTS'!#REF!</definedName>
    <definedName name="MTPVAngle_89">'Parameters definition LUTS'!#REF!</definedName>
    <definedName name="MTPVAngle_9">'Parameters definition LUTS'!#REF!</definedName>
    <definedName name="MTPVAngle_90">'Parameters definition LUTS'!#REF!</definedName>
    <definedName name="MTPVAngle_91">'Parameters definition LUTS'!#REF!</definedName>
    <definedName name="MTPVAngle_92">'Parameters definition LUTS'!#REF!</definedName>
    <definedName name="MTPVAngle_93">'Parameters definition LUTS'!#REF!</definedName>
    <definedName name="MTPVAngle_94">'Parameters definition LUTS'!#REF!</definedName>
    <definedName name="MTPVAngle_95">'Parameters definition LUTS'!#REF!</definedName>
    <definedName name="MTPVAngle_96">'Parameters definition LUTS'!#REF!</definedName>
    <definedName name="MTPVAngle_97">'Parameters definition LUTS'!#REF!</definedName>
    <definedName name="MTPVAngle_98">'Parameters definition LUTS'!#REF!</definedName>
    <definedName name="MTPVAngle_99">'Parameters definition LUTS'!#REF!</definedName>
    <definedName name="MTPVFlux_0">'Parameters definition LUTS'!$C$58</definedName>
    <definedName name="MTPVFlux_1">'Parameters definition LUTS'!$C$59</definedName>
    <definedName name="MTPVFlux_10">'Parameters definition LUTS'!$C$68</definedName>
    <definedName name="MTPVFlux_100">'Parameters definition LUTS'!#REF!</definedName>
    <definedName name="MTPVFlux_101">'Parameters definition LUTS'!#REF!</definedName>
    <definedName name="MTPVFlux_102">'Parameters definition LUTS'!#REF!</definedName>
    <definedName name="MTPVFlux_103">'Parameters definition LUTS'!#REF!</definedName>
    <definedName name="MTPVFlux_104">'Parameters definition LUTS'!#REF!</definedName>
    <definedName name="MTPVFlux_105">'Parameters definition LUTS'!#REF!</definedName>
    <definedName name="MTPVFlux_106">'Parameters definition LUTS'!#REF!</definedName>
    <definedName name="MTPVFlux_107">'Parameters definition LUTS'!#REF!</definedName>
    <definedName name="MTPVFlux_108">'Parameters definition LUTS'!#REF!</definedName>
    <definedName name="MTPVFlux_109">'Parameters definition LUTS'!#REF!</definedName>
    <definedName name="MTPVFlux_11">'Parameters definition LUTS'!$C$69</definedName>
    <definedName name="MTPVFlux_110">'Parameters definition LUTS'!#REF!</definedName>
    <definedName name="MTPVFlux_111">'Parameters definition LUTS'!#REF!</definedName>
    <definedName name="MTPVFlux_112">'Parameters definition LUTS'!#REF!</definedName>
    <definedName name="MTPVFlux_113">'Parameters definition LUTS'!#REF!</definedName>
    <definedName name="MTPVFlux_114">'Parameters definition LUTS'!#REF!</definedName>
    <definedName name="MTPVFlux_115">'Parameters definition LUTS'!#REF!</definedName>
    <definedName name="MTPVFlux_116">'Parameters definition LUTS'!#REF!</definedName>
    <definedName name="MTPVFlux_117">'Parameters definition LUTS'!#REF!</definedName>
    <definedName name="MTPVFlux_118">'Parameters definition LUTS'!#REF!</definedName>
    <definedName name="MTPVFlux_119">'Parameters definition LUTS'!#REF!</definedName>
    <definedName name="MTPVFlux_12">'Parameters definition LUTS'!$C$70</definedName>
    <definedName name="MTPVFlux_120">'Parameters definition LUTS'!#REF!</definedName>
    <definedName name="MTPVFlux_121">'Parameters definition LUTS'!#REF!</definedName>
    <definedName name="MTPVFlux_122">'Parameters definition LUTS'!#REF!</definedName>
    <definedName name="MTPVFlux_123">'Parameters definition LUTS'!#REF!</definedName>
    <definedName name="MTPVFlux_124">'Parameters definition LUTS'!#REF!</definedName>
    <definedName name="MTPVFlux_125">'Parameters definition LUTS'!#REF!</definedName>
    <definedName name="MTPVFlux_126">'Parameters definition LUTS'!#REF!</definedName>
    <definedName name="MTPVFlux_127">'Parameters definition LUTS'!#REF!</definedName>
    <definedName name="MTPVFlux_128">'Parameters definition LUTS'!#REF!</definedName>
    <definedName name="MTPVFlux_129">'Parameters definition LUTS'!#REF!</definedName>
    <definedName name="MTPVFlux_13">'Parameters definition LUTS'!$C$71</definedName>
    <definedName name="MTPVFlux_130">'Parameters definition LUTS'!#REF!</definedName>
    <definedName name="MTPVFlux_131">'Parameters definition LUTS'!#REF!</definedName>
    <definedName name="MTPVFlux_132">'Parameters definition LUTS'!#REF!</definedName>
    <definedName name="MTPVFlux_133">'Parameters definition LUTS'!#REF!</definedName>
    <definedName name="MTPVFlux_134">'Parameters definition LUTS'!#REF!</definedName>
    <definedName name="MTPVFlux_135">'Parameters definition LUTS'!#REF!</definedName>
    <definedName name="MTPVFlux_136">'Parameters definition LUTS'!#REF!</definedName>
    <definedName name="MTPVFlux_137">'Parameters definition LUTS'!#REF!</definedName>
    <definedName name="MTPVFlux_138">'Parameters definition LUTS'!#REF!</definedName>
    <definedName name="MTPVFlux_139">'Parameters definition LUTS'!#REF!</definedName>
    <definedName name="MTPVFlux_14">'Parameters definition LUTS'!$C$72</definedName>
    <definedName name="MTPVFlux_140">'Parameters definition LUTS'!#REF!</definedName>
    <definedName name="MTPVFlux_141">'Parameters definition LUTS'!#REF!</definedName>
    <definedName name="MTPVFlux_142">'Parameters definition LUTS'!#REF!</definedName>
    <definedName name="MTPVFlux_143">'Parameters definition LUTS'!#REF!</definedName>
    <definedName name="MTPVFlux_144">'Parameters definition LUTS'!#REF!</definedName>
    <definedName name="MTPVFlux_145">'Parameters definition LUTS'!#REF!</definedName>
    <definedName name="MTPVFlux_146">'Parameters definition LUTS'!#REF!</definedName>
    <definedName name="MTPVFlux_147">'Parameters definition LUTS'!#REF!</definedName>
    <definedName name="MTPVFlux_148">'Parameters definition LUTS'!#REF!</definedName>
    <definedName name="MTPVFlux_149">'Parameters definition LUTS'!#REF!</definedName>
    <definedName name="MTPVFlux_15">'Parameters definition LUTS'!$C$73</definedName>
    <definedName name="MTPVFlux_150">'Parameters definition LUTS'!#REF!</definedName>
    <definedName name="MTPVFlux_151">'Parameters definition LUTS'!#REF!</definedName>
    <definedName name="MTPVFlux_152">'Parameters definition LUTS'!#REF!</definedName>
    <definedName name="MTPVFlux_153">'Parameters definition LUTS'!#REF!</definedName>
    <definedName name="MTPVFlux_154">'Parameters definition LUTS'!#REF!</definedName>
    <definedName name="MTPVFlux_155">'Parameters definition LUTS'!#REF!</definedName>
    <definedName name="MTPVFlux_156">'Parameters definition LUTS'!#REF!</definedName>
    <definedName name="MTPVFlux_157">'Parameters definition LUTS'!#REF!</definedName>
    <definedName name="MTPVFlux_158">'Parameters definition LUTS'!#REF!</definedName>
    <definedName name="MTPVFlux_159">'Parameters definition LUTS'!#REF!</definedName>
    <definedName name="MTPVFlux_16">'Parameters definition LUTS'!$C$74</definedName>
    <definedName name="MTPVFlux_160">'Parameters definition LUTS'!#REF!</definedName>
    <definedName name="MTPVFlux_17">'Parameters definition LUTS'!$C$75</definedName>
    <definedName name="MTPVFlux_18">'Parameters definition LUTS'!$C$76</definedName>
    <definedName name="MTPVFlux_19">'Parameters definition LUTS'!$C$77</definedName>
    <definedName name="MTPVFlux_2">'Parameters definition LUTS'!$C$60</definedName>
    <definedName name="MTPVFlux_20">'Parameters definition LUTS'!$C$78</definedName>
    <definedName name="MTPVFlux_21">'Parameters definition LUTS'!$C$79</definedName>
    <definedName name="MTPVFlux_22">'Parameters definition LUTS'!$C$80</definedName>
    <definedName name="MTPVFlux_23">'Parameters definition LUTS'!$C$81</definedName>
    <definedName name="MTPVFlux_24">'Parameters definition LUTS'!$C$82</definedName>
    <definedName name="MTPVFlux_25">'Parameters definition LUTS'!#REF!</definedName>
    <definedName name="MTPVFlux_26">'Parameters definition LUTS'!#REF!</definedName>
    <definedName name="MTPVFlux_27">'Parameters definition LUTS'!#REF!</definedName>
    <definedName name="MTPVFlux_28">'Parameters definition LUTS'!#REF!</definedName>
    <definedName name="MTPVFlux_29">'Parameters definition LUTS'!#REF!</definedName>
    <definedName name="MTPVFlux_3">'Parameters definition LUTS'!$C$61</definedName>
    <definedName name="MTPVFlux_30">'Parameters definition LUTS'!#REF!</definedName>
    <definedName name="MTPVFlux_31">'Parameters definition LUTS'!#REF!</definedName>
    <definedName name="MTPVFlux_32">'Parameters definition LUTS'!#REF!</definedName>
    <definedName name="MTPVFlux_33">'Parameters definition LUTS'!#REF!</definedName>
    <definedName name="MTPVFlux_34">'Parameters definition LUTS'!#REF!</definedName>
    <definedName name="MTPVFlux_35">'Parameters definition LUTS'!#REF!</definedName>
    <definedName name="MTPVFlux_36">'Parameters definition LUTS'!#REF!</definedName>
    <definedName name="MTPVFlux_37">'Parameters definition LUTS'!#REF!</definedName>
    <definedName name="MTPVFlux_38">'Parameters definition LUTS'!#REF!</definedName>
    <definedName name="MTPVFlux_39">'Parameters definition LUTS'!#REF!</definedName>
    <definedName name="MTPVFlux_4">'Parameters definition LUTS'!$C$62</definedName>
    <definedName name="MTPVFlux_40">'Parameters definition LUTS'!#REF!</definedName>
    <definedName name="MTPVFlux_41">'Parameters definition LUTS'!#REF!</definedName>
    <definedName name="MTPVFlux_42">'Parameters definition LUTS'!#REF!</definedName>
    <definedName name="MTPVFlux_43">'Parameters definition LUTS'!#REF!</definedName>
    <definedName name="MTPVFlux_44">'Parameters definition LUTS'!#REF!</definedName>
    <definedName name="MTPVFlux_45">'Parameters definition LUTS'!#REF!</definedName>
    <definedName name="MTPVFlux_46">'Parameters definition LUTS'!#REF!</definedName>
    <definedName name="MTPVFlux_47">'Parameters definition LUTS'!#REF!</definedName>
    <definedName name="MTPVFlux_48">'Parameters definition LUTS'!#REF!</definedName>
    <definedName name="MTPVFlux_49">'Parameters definition LUTS'!#REF!</definedName>
    <definedName name="MTPVFlux_5">'Parameters definition LUTS'!$C$63</definedName>
    <definedName name="MTPVFlux_50">'Parameters definition LUTS'!#REF!</definedName>
    <definedName name="MTPVFlux_51">'Parameters definition LUTS'!#REF!</definedName>
    <definedName name="MTPVFlux_52">'Parameters definition LUTS'!#REF!</definedName>
    <definedName name="MTPVFlux_53">'Parameters definition LUTS'!#REF!</definedName>
    <definedName name="MTPVFlux_54">'Parameters definition LUTS'!#REF!</definedName>
    <definedName name="MTPVFlux_55">'Parameters definition LUTS'!#REF!</definedName>
    <definedName name="MTPVFlux_56">'Parameters definition LUTS'!#REF!</definedName>
    <definedName name="MTPVFlux_57">'Parameters definition LUTS'!#REF!</definedName>
    <definedName name="MTPVFlux_58">'Parameters definition LUTS'!#REF!</definedName>
    <definedName name="MTPVFlux_59">'Parameters definition LUTS'!#REF!</definedName>
    <definedName name="MTPVFlux_6">'Parameters definition LUTS'!$C$64</definedName>
    <definedName name="MTPVFlux_60">'Parameters definition LUTS'!#REF!</definedName>
    <definedName name="MTPVFlux_61">'Parameters definition LUTS'!#REF!</definedName>
    <definedName name="MTPVFlux_62">'Parameters definition LUTS'!#REF!</definedName>
    <definedName name="MTPVFlux_63">'Parameters definition LUTS'!#REF!</definedName>
    <definedName name="MTPVFlux_64">'Parameters definition LUTS'!#REF!</definedName>
    <definedName name="MTPVFlux_65">'Parameters definition LUTS'!#REF!</definedName>
    <definedName name="MTPVFlux_66">'Parameters definition LUTS'!#REF!</definedName>
    <definedName name="MTPVFlux_67">'Parameters definition LUTS'!#REF!</definedName>
    <definedName name="MTPVFlux_68">'Parameters definition LUTS'!#REF!</definedName>
    <definedName name="MTPVFlux_69">'Parameters definition LUTS'!#REF!</definedName>
    <definedName name="MTPVFlux_7">'Parameters definition LUTS'!$C$65</definedName>
    <definedName name="MTPVFlux_70">'Parameters definition LUTS'!#REF!</definedName>
    <definedName name="MTPVFlux_71">'Parameters definition LUTS'!#REF!</definedName>
    <definedName name="MTPVFlux_72">'Parameters definition LUTS'!#REF!</definedName>
    <definedName name="MTPVFlux_73">'Parameters definition LUTS'!#REF!</definedName>
    <definedName name="MTPVFlux_74">'Parameters definition LUTS'!#REF!</definedName>
    <definedName name="MTPVFlux_75">'Parameters definition LUTS'!#REF!</definedName>
    <definedName name="MTPVFlux_76">'Parameters definition LUTS'!#REF!</definedName>
    <definedName name="MTPVFlux_77">'Parameters definition LUTS'!#REF!</definedName>
    <definedName name="MTPVFlux_78">'Parameters definition LUTS'!#REF!</definedName>
    <definedName name="MTPVFlux_79">'Parameters definition LUTS'!#REF!</definedName>
    <definedName name="MTPVFlux_8">'Parameters definition LUTS'!$C$66</definedName>
    <definedName name="MTPVFlux_80">'Parameters definition LUTS'!#REF!</definedName>
    <definedName name="MTPVFlux_81">'Parameters definition LUTS'!#REF!</definedName>
    <definedName name="MTPVFlux_82">'Parameters definition LUTS'!#REF!</definedName>
    <definedName name="MTPVFlux_83">'Parameters definition LUTS'!#REF!</definedName>
    <definedName name="MTPVFlux_84">'Parameters definition LUTS'!#REF!</definedName>
    <definedName name="MTPVFlux_85">'Parameters definition LUTS'!#REF!</definedName>
    <definedName name="MTPVFlux_86">'Parameters definition LUTS'!#REF!</definedName>
    <definedName name="MTPVFlux_87">'Parameters definition LUTS'!#REF!</definedName>
    <definedName name="MTPVFlux_88">'Parameters definition LUTS'!#REF!</definedName>
    <definedName name="MTPVFlux_89">'Parameters definition LUTS'!#REF!</definedName>
    <definedName name="MTPVFlux_9">'Parameters definition LUTS'!$C$67</definedName>
    <definedName name="MTPVFlux_90">'Parameters definition LUTS'!#REF!</definedName>
    <definedName name="MTPVFlux_91">'Parameters definition LUTS'!#REF!</definedName>
    <definedName name="MTPVFlux_92">'Parameters definition LUTS'!#REF!</definedName>
    <definedName name="MTPVFlux_93">'Parameters definition LUTS'!#REF!</definedName>
    <definedName name="MTPVFlux_94">'Parameters definition LUTS'!#REF!</definedName>
    <definedName name="MTPVFlux_95">'Parameters definition LUTS'!#REF!</definedName>
    <definedName name="MTPVFlux_96">'Parameters definition LUTS'!#REF!</definedName>
    <definedName name="MTPVFlux_97">'Parameters definition LUTS'!#REF!</definedName>
    <definedName name="MTPVFlux_98">'Parameters definition LUTS'!#REF!</definedName>
    <definedName name="MTPVFlux_99">'Parameters definition LUTS'!#REF!</definedName>
    <definedName name="MTPVTorque_0">'Parameters definition LUTS'!$C$83</definedName>
    <definedName name="MTPVTorque_1">'Parameters definition LUTS'!$C$84</definedName>
    <definedName name="MTPVTorque_10">'Parameters definition LUTS'!$C$93</definedName>
    <definedName name="MTPVTorque_100">'Parameters definition LUTS'!#REF!</definedName>
    <definedName name="MTPVTorque_101">'Parameters definition LUTS'!#REF!</definedName>
    <definedName name="MTPVTorque_102">'Parameters definition LUTS'!#REF!</definedName>
    <definedName name="MTPVTorque_103">'Parameters definition LUTS'!#REF!</definedName>
    <definedName name="MTPVTorque_104">'Parameters definition LUTS'!#REF!</definedName>
    <definedName name="MTPVTorque_105">'Parameters definition LUTS'!#REF!</definedName>
    <definedName name="MTPVTorque_106">'Parameters definition LUTS'!#REF!</definedName>
    <definedName name="MTPVTorque_107">'Parameters definition LUTS'!#REF!</definedName>
    <definedName name="MTPVTorque_108">'Parameters definition LUTS'!#REF!</definedName>
    <definedName name="MTPVTorque_109">'Parameters definition LUTS'!#REF!</definedName>
    <definedName name="MTPVTorque_11">'Parameters definition LUTS'!$C$94</definedName>
    <definedName name="MTPVTorque_110">'Parameters definition LUTS'!#REF!</definedName>
    <definedName name="MTPVTorque_111">'Parameters definition LUTS'!#REF!</definedName>
    <definedName name="MTPVTorque_112">'Parameters definition LUTS'!#REF!</definedName>
    <definedName name="MTPVTorque_113">'Parameters definition LUTS'!#REF!</definedName>
    <definedName name="MTPVTorque_114">'Parameters definition LUTS'!#REF!</definedName>
    <definedName name="MTPVTorque_115">'Parameters definition LUTS'!#REF!</definedName>
    <definedName name="MTPVTorque_116">'Parameters definition LUTS'!#REF!</definedName>
    <definedName name="MTPVTorque_117">'Parameters definition LUTS'!#REF!</definedName>
    <definedName name="MTPVTorque_118">'Parameters definition LUTS'!#REF!</definedName>
    <definedName name="MTPVTorque_119">'Parameters definition LUTS'!#REF!</definedName>
    <definedName name="MTPVTorque_12">'Parameters definition LUTS'!$C$95</definedName>
    <definedName name="MTPVTorque_120">'Parameters definition LUTS'!#REF!</definedName>
    <definedName name="MTPVTorque_121">'Parameters definition LUTS'!#REF!</definedName>
    <definedName name="MTPVTorque_122">'Parameters definition LUTS'!#REF!</definedName>
    <definedName name="MTPVTorque_123">'Parameters definition LUTS'!#REF!</definedName>
    <definedName name="MTPVTorque_124">'Parameters definition LUTS'!#REF!</definedName>
    <definedName name="MTPVTorque_125">'Parameters definition LUTS'!#REF!</definedName>
    <definedName name="MTPVTorque_126">'Parameters definition LUTS'!#REF!</definedName>
    <definedName name="MTPVTorque_127">'Parameters definition LUTS'!#REF!</definedName>
    <definedName name="MTPVTorque_128">'Parameters definition LUTS'!#REF!</definedName>
    <definedName name="MTPVTorque_129">'Parameters definition LUTS'!#REF!</definedName>
    <definedName name="MTPVTorque_13">'Parameters definition LUTS'!$C$96</definedName>
    <definedName name="MTPVTorque_130">'Parameters definition LUTS'!#REF!</definedName>
    <definedName name="MTPVTorque_131">'Parameters definition LUTS'!#REF!</definedName>
    <definedName name="MTPVTorque_132">'Parameters definition LUTS'!#REF!</definedName>
    <definedName name="MTPVTorque_133">'Parameters definition LUTS'!#REF!</definedName>
    <definedName name="MTPVTorque_134">'Parameters definition LUTS'!#REF!</definedName>
    <definedName name="MTPVTorque_135">'Parameters definition LUTS'!#REF!</definedName>
    <definedName name="MTPVTorque_136">'Parameters definition LUTS'!#REF!</definedName>
    <definedName name="MTPVTorque_137">'Parameters definition LUTS'!#REF!</definedName>
    <definedName name="MTPVTorque_138">'Parameters definition LUTS'!#REF!</definedName>
    <definedName name="MTPVTorque_139">'Parameters definition LUTS'!#REF!</definedName>
    <definedName name="MTPVTorque_14">'Parameters definition LUTS'!$C$97</definedName>
    <definedName name="MTPVTorque_140">'Parameters definition LUTS'!#REF!</definedName>
    <definedName name="MTPVTorque_141">'Parameters definition LUTS'!#REF!</definedName>
    <definedName name="MTPVTorque_142">'Parameters definition LUTS'!#REF!</definedName>
    <definedName name="MTPVTorque_143">'Parameters definition LUTS'!#REF!</definedName>
    <definedName name="MTPVTorque_144">'Parameters definition LUTS'!#REF!</definedName>
    <definedName name="MTPVTorque_145">'Parameters definition LUTS'!#REF!</definedName>
    <definedName name="MTPVTorque_146">'Parameters definition LUTS'!#REF!</definedName>
    <definedName name="MTPVTorque_147">'Parameters definition LUTS'!#REF!</definedName>
    <definedName name="MTPVTorque_148">'Parameters definition LUTS'!#REF!</definedName>
    <definedName name="MTPVTorque_149">'Parameters definition LUTS'!#REF!</definedName>
    <definedName name="MTPVTorque_15">'Parameters definition LUTS'!$C$98</definedName>
    <definedName name="MTPVTorque_150">'Parameters definition LUTS'!#REF!</definedName>
    <definedName name="MTPVTorque_151">'Parameters definition LUTS'!#REF!</definedName>
    <definedName name="MTPVTorque_152">'Parameters definition LUTS'!#REF!</definedName>
    <definedName name="MTPVTorque_153">'Parameters definition LUTS'!#REF!</definedName>
    <definedName name="MTPVTorque_154">'Parameters definition LUTS'!#REF!</definedName>
    <definedName name="MTPVTorque_155">'Parameters definition LUTS'!#REF!</definedName>
    <definedName name="MTPVTorque_156">'Parameters definition LUTS'!#REF!</definedName>
    <definedName name="MTPVTorque_157">'Parameters definition LUTS'!#REF!</definedName>
    <definedName name="MTPVTorque_158">'Parameters definition LUTS'!#REF!</definedName>
    <definedName name="MTPVTorque_159">'Parameters definition LUTS'!#REF!</definedName>
    <definedName name="MTPVTorque_16">'Parameters definition LUTS'!$C$99</definedName>
    <definedName name="MTPVTorque_160">'Parameters definition LUTS'!#REF!</definedName>
    <definedName name="MTPVTorque_17">'Parameters definition LUTS'!$C$100</definedName>
    <definedName name="MTPVTorque_18">'Parameters definition LUTS'!$C$101</definedName>
    <definedName name="MTPVTorque_19">'Parameters definition LUTS'!$C$102</definedName>
    <definedName name="MTPVTorque_2">'Parameters definition LUTS'!$C$85</definedName>
    <definedName name="MTPVTorque_20">'Parameters definition LUTS'!$C$103</definedName>
    <definedName name="MTPVTorque_21">'Parameters definition LUTS'!$C$104</definedName>
    <definedName name="MTPVTorque_22">'Parameters definition LUTS'!$C$105</definedName>
    <definedName name="MTPVTorque_23">'Parameters definition LUTS'!$C$106</definedName>
    <definedName name="MTPVTorque_24">'Parameters definition LUTS'!$C$107</definedName>
    <definedName name="MTPVTorque_25">'Parameters definition LUTS'!#REF!</definedName>
    <definedName name="MTPVTorque_26">'Parameters definition LUTS'!#REF!</definedName>
    <definedName name="MTPVTorque_27">'Parameters definition LUTS'!#REF!</definedName>
    <definedName name="MTPVTorque_28">'Parameters definition LUTS'!#REF!</definedName>
    <definedName name="MTPVTorque_29">'Parameters definition LUTS'!#REF!</definedName>
    <definedName name="MTPVTorque_3">'Parameters definition LUTS'!$C$86</definedName>
    <definedName name="MTPVTorque_30">'Parameters definition LUTS'!#REF!</definedName>
    <definedName name="MTPVTorque_31">'Parameters definition LUTS'!#REF!</definedName>
    <definedName name="MTPVTorque_32">'Parameters definition LUTS'!#REF!</definedName>
    <definedName name="MTPVTorque_33">'Parameters definition LUTS'!#REF!</definedName>
    <definedName name="MTPVTorque_34">'Parameters definition LUTS'!#REF!</definedName>
    <definedName name="MTPVTorque_35">'Parameters definition LUTS'!#REF!</definedName>
    <definedName name="MTPVTorque_36">'Parameters definition LUTS'!#REF!</definedName>
    <definedName name="MTPVTorque_37">'Parameters definition LUTS'!#REF!</definedName>
    <definedName name="MTPVTorque_38">'Parameters definition LUTS'!#REF!</definedName>
    <definedName name="MTPVTorque_39">'Parameters definition LUTS'!#REF!</definedName>
    <definedName name="MTPVTorque_4">'Parameters definition LUTS'!$C$87</definedName>
    <definedName name="MTPVTorque_40">'Parameters definition LUTS'!#REF!</definedName>
    <definedName name="MTPVTorque_41">'Parameters definition LUTS'!#REF!</definedName>
    <definedName name="MTPVTorque_42">'Parameters definition LUTS'!#REF!</definedName>
    <definedName name="MTPVTorque_43">'Parameters definition LUTS'!#REF!</definedName>
    <definedName name="MTPVTorque_44">'Parameters definition LUTS'!#REF!</definedName>
    <definedName name="MTPVTorque_45">'Parameters definition LUTS'!#REF!</definedName>
    <definedName name="MTPVTorque_46">'Parameters definition LUTS'!#REF!</definedName>
    <definedName name="MTPVTorque_47">'Parameters definition LUTS'!#REF!</definedName>
    <definedName name="MTPVTorque_48">'Parameters definition LUTS'!#REF!</definedName>
    <definedName name="MTPVTorque_49">'Parameters definition LUTS'!#REF!</definedName>
    <definedName name="MTPVTorque_5">'Parameters definition LUTS'!$C$88</definedName>
    <definedName name="MTPVTorque_50">'Parameters definition LUTS'!#REF!</definedName>
    <definedName name="MTPVTorque_51">'Parameters definition LUTS'!#REF!</definedName>
    <definedName name="MTPVTorque_52">'Parameters definition LUTS'!#REF!</definedName>
    <definedName name="MTPVTorque_53">'Parameters definition LUTS'!#REF!</definedName>
    <definedName name="MTPVTorque_54">'Parameters definition LUTS'!#REF!</definedName>
    <definedName name="MTPVTorque_55">'Parameters definition LUTS'!#REF!</definedName>
    <definedName name="MTPVTorque_56">'Parameters definition LUTS'!#REF!</definedName>
    <definedName name="MTPVTorque_57">'Parameters definition LUTS'!#REF!</definedName>
    <definedName name="MTPVTorque_58">'Parameters definition LUTS'!#REF!</definedName>
    <definedName name="MTPVTorque_59">'Parameters definition LUTS'!#REF!</definedName>
    <definedName name="MTPVTorque_6">'Parameters definition LUTS'!$C$89</definedName>
    <definedName name="MTPVTorque_60">'Parameters definition LUTS'!#REF!</definedName>
    <definedName name="MTPVTorque_61">'Parameters definition LUTS'!#REF!</definedName>
    <definedName name="MTPVTorque_62">'Parameters definition LUTS'!#REF!</definedName>
    <definedName name="MTPVTorque_63">'Parameters definition LUTS'!#REF!</definedName>
    <definedName name="MTPVTorque_64">'Parameters definition LUTS'!#REF!</definedName>
    <definedName name="MTPVTorque_65">'Parameters definition LUTS'!#REF!</definedName>
    <definedName name="MTPVTorque_66">'Parameters definition LUTS'!#REF!</definedName>
    <definedName name="MTPVTorque_67">'Parameters definition LUTS'!#REF!</definedName>
    <definedName name="MTPVTorque_68">'Parameters definition LUTS'!#REF!</definedName>
    <definedName name="MTPVTorque_69">'Parameters definition LUTS'!#REF!</definedName>
    <definedName name="MTPVTorque_7">'Parameters definition LUTS'!$C$90</definedName>
    <definedName name="MTPVTorque_70">'Parameters definition LUTS'!#REF!</definedName>
    <definedName name="MTPVTorque_71">'Parameters definition LUTS'!#REF!</definedName>
    <definedName name="MTPVTorque_72">'Parameters definition LUTS'!#REF!</definedName>
    <definedName name="MTPVTorque_73">'Parameters definition LUTS'!#REF!</definedName>
    <definedName name="MTPVTorque_74">'Parameters definition LUTS'!#REF!</definedName>
    <definedName name="MTPVTorque_75">'Parameters definition LUTS'!#REF!</definedName>
    <definedName name="MTPVTorque_76">'Parameters definition LUTS'!#REF!</definedName>
    <definedName name="MTPVTorque_77">'Parameters definition LUTS'!#REF!</definedName>
    <definedName name="MTPVTorque_78">'Parameters definition LUTS'!#REF!</definedName>
    <definedName name="MTPVTorque_79">'Parameters definition LUTS'!#REF!</definedName>
    <definedName name="MTPVTorque_8">'Parameters definition LUTS'!$C$91</definedName>
    <definedName name="MTPVTorque_80">'Parameters definition LUTS'!#REF!</definedName>
    <definedName name="MTPVTorque_81">'Parameters definition LUTS'!#REF!</definedName>
    <definedName name="MTPVTorque_82">'Parameters definition LUTS'!#REF!</definedName>
    <definedName name="MTPVTorque_83">'Parameters definition LUTS'!#REF!</definedName>
    <definedName name="MTPVTorque_84">'Parameters definition LUTS'!#REF!</definedName>
    <definedName name="MTPVTorque_85">'Parameters definition LUTS'!#REF!</definedName>
    <definedName name="MTPVTorque_86">'Parameters definition LUTS'!#REF!</definedName>
    <definedName name="MTPVTorque_87">'Parameters definition LUTS'!#REF!</definedName>
    <definedName name="MTPVTorque_88">'Parameters definition LUTS'!#REF!</definedName>
    <definedName name="MTPVTorque_89">'Parameters definition LUTS'!#REF!</definedName>
    <definedName name="MTPVTorque_9">'Parameters definition LUTS'!$C$92</definedName>
    <definedName name="MTPVTorque_90">'Parameters definition LUTS'!#REF!</definedName>
    <definedName name="MTPVTorque_91">'Parameters definition LUTS'!#REF!</definedName>
    <definedName name="MTPVTorque_92">'Parameters definition LUTS'!#REF!</definedName>
    <definedName name="MTPVTorque_93">'Parameters definition LUTS'!#REF!</definedName>
    <definedName name="MTPVTorque_94">'Parameters definition LUTS'!#REF!</definedName>
    <definedName name="MTPVTorque_95">'Parameters definition LUTS'!#REF!</definedName>
    <definedName name="MTPVTorque_96">'Parameters definition LUTS'!#REF!</definedName>
    <definedName name="MTPVTorque_97">'Parameters definition LUTS'!#REF!</definedName>
    <definedName name="MTPVTorque_98">'Parameters definition LUTS'!#REF!</definedName>
    <definedName name="MTPVTorque_99">'Parameters definition LUTS'!#REF!</definedName>
    <definedName name="OBS_RESIS_ADAPT_CURRENT_THRES">'Parameters definition'!$C$47</definedName>
    <definedName name="OBS_RESIS_ADAPT_LIM">'Parameters definition'!$C$45</definedName>
    <definedName name="OBS_RESIS_ADAPT_SPEED_THRES">'Parameters definition'!$C$48</definedName>
    <definedName name="OBSERVER_G_GAIN">'Parameters definition'!$C$50</definedName>
    <definedName name="OBSERVER_G_INTEG_GAIN">'Parameters definition'!$C$46</definedName>
    <definedName name="OBSERVER_MIN_FLUX_ZERO_SPEED">'Parameters definition'!$C$52</definedName>
    <definedName name="OBSERVER_SPEED_PLL_KI">'Parameters definition'!$C$58</definedName>
    <definedName name="OBSERVER_SPEED_PLL_KP">'Parameters definition'!$C$57</definedName>
    <definedName name="OBSERVER_STARTING_THRESHOLD">'Parameters definition'!$C$56</definedName>
    <definedName name="OBSERVER_TS">'Parameters definition'!$C$61</definedName>
    <definedName name="OVERFLUX_FACTOR">'Parameters definition'!$C$152</definedName>
    <definedName name="PHASE_ADVANCE_COEF_FDBK">'Parameters definition'!$C$55</definedName>
    <definedName name="PHASE_ADVANCE_COEFF">'Parameters definition'!$C$166</definedName>
    <definedName name="PI_VOLT_MARGIN">'Parameters definition'!$C$22</definedName>
    <definedName name="POLE_PAIRS">'Parameters definition'!$C$14</definedName>
    <definedName name="PWM_INVERTER_LOSS_SLOPE">'Parameters definition'!#REF!</definedName>
    <definedName name="PWM_MOD_MAX_DUTY">'Parameters definition'!#REF!</definedName>
    <definedName name="PWM_MODULATION_TS">'Parameters definition'!#REF!</definedName>
    <definedName name="PWM_SPEED_THRESHOLD_PWM_COMP">'Parameters definition'!$C$189</definedName>
    <definedName name="PWM_STARTING_TIME">'Parameters definition'!#REF!</definedName>
    <definedName name="Q_CURR_CONTROL_KI">'Parameters definition'!$C$215</definedName>
    <definedName name="Q_CURR_CONTROL_KP">'Parameters definition'!$C$214</definedName>
    <definedName name="QUAD_CURR_POS_0">'Parameters definition'!$C$86</definedName>
    <definedName name="QUAD_CURR_POS_1">'Parameters definition'!$C$87</definedName>
    <definedName name="QUAD_CURR_POS_10">'Parameters definition'!#REF!</definedName>
    <definedName name="QUAD_CURR_POS_11">'Parameters definition'!#REF!</definedName>
    <definedName name="QUAD_CURR_POS_12">'Parameters definition'!#REF!</definedName>
    <definedName name="QUAD_CURR_POS_13">'Parameters definition'!#REF!</definedName>
    <definedName name="QUAD_CURR_POS_14">'Parameters definition'!#REF!</definedName>
    <definedName name="QUAD_CURR_POS_15">'Parameters definition'!#REF!</definedName>
    <definedName name="QUAD_CURR_POS_2">'Parameters definition'!$C$88</definedName>
    <definedName name="QUAD_CURR_POS_3">'Parameters definition'!$C$89</definedName>
    <definedName name="QUAD_CURR_POS_4">'Parameters definition'!$C$90</definedName>
    <definedName name="QUAD_CURR_POS_5">'Parameters definition'!$C$91</definedName>
    <definedName name="QUAD_CURR_POS_6">'Parameters definition'!$C$92</definedName>
    <definedName name="QUAD_CURR_POS_7">'Parameters definition'!$C$93</definedName>
    <definedName name="QUAD_CURR_POS_8">'Parameters definition'!#REF!</definedName>
    <definedName name="QUAD_CURR_POS_9">'Parameters definition'!#REF!</definedName>
    <definedName name="QUAD_IND_POS_0">'Parameters definition'!$C$78</definedName>
    <definedName name="QUAD_IND_POS_1">'Parameters definition'!$C$79</definedName>
    <definedName name="QUAD_IND_POS_10">'Parameters definition'!#REF!</definedName>
    <definedName name="QUAD_IND_POS_11">'Parameters definition'!#REF!</definedName>
    <definedName name="QUAD_IND_POS_12">'Parameters definition'!#REF!</definedName>
    <definedName name="QUAD_IND_POS_13">'Parameters definition'!#REF!</definedName>
    <definedName name="QUAD_IND_POS_14">'Parameters definition'!#REF!</definedName>
    <definedName name="QUAD_IND_POS_15">'Parameters definition'!#REF!</definedName>
    <definedName name="QUAD_IND_POS_2">'Parameters definition'!$C$80</definedName>
    <definedName name="QUAD_IND_POS_3">'Parameters definition'!$C$81</definedName>
    <definedName name="QUAD_IND_POS_4">'Parameters definition'!$C$82</definedName>
    <definedName name="QUAD_IND_POS_5">'Parameters definition'!$C$83</definedName>
    <definedName name="QUAD_IND_POS_6">'Parameters definition'!$C$84</definedName>
    <definedName name="QUAD_IND_POS_7">'Parameters definition'!$C$85</definedName>
    <definedName name="QUAD_IND_POS_8">'Parameters definition'!#REF!</definedName>
    <definedName name="QUAD_IND_POS_9">'Parameters definition'!#REF!</definedName>
    <definedName name="ROBUSTSTARTING_KI">'Parameters definition'!#REF!</definedName>
    <definedName name="ROBUSTSTARTING_KP">'Parameters definition'!#REF!</definedName>
    <definedName name="ROTOR_LAMBDAM">'Parameters definition'!$C$9</definedName>
    <definedName name="SAMPLES_NUMBER">'Parameters definition'!$C$250</definedName>
    <definedName name="SBPM_MIN_OVERFLUX_FACTOR">'Parameters definition'!$C$157</definedName>
    <definedName name="SBPM_OVERFLUX_FACTOR">'Parameters definition'!$C$156</definedName>
    <definedName name="SBPM_SPEED_OVERFULX_THRESHOLD">'Parameters definition'!$C$155</definedName>
    <definedName name="SIZE_MTPA">'Parameters definition LUTS'!$C$3</definedName>
    <definedName name="SIZE_MTPV">'Parameters definition LUTS'!$C$57</definedName>
    <definedName name="SPEED_CONTROLLER_POSTSCALER">'Parameters definition'!$C$113</definedName>
    <definedName name="SPEED_KI_REGION_0">'Parameters definition'!$C$121</definedName>
    <definedName name="SPEED_KI_REGION_1">'Parameters definition'!$C$125</definedName>
    <definedName name="SPEED_KI_REGION_2">'Parameters definition'!$C$129</definedName>
    <definedName name="SPEED_KI_REGION_3">'Parameters definition'!$C$133</definedName>
    <definedName name="SPEED_KI_REGION_4">'Parameters definition'!$C$137</definedName>
    <definedName name="SPEED_KP_REGION_0">'Parameters definition'!$C$120</definedName>
    <definedName name="SPEED_KP_REGION_1">'Parameters definition'!$C$124</definedName>
    <definedName name="SPEED_KP_REGION_2">'Parameters definition'!$C$128</definedName>
    <definedName name="SPEED_KP_REGION_3">'Parameters definition'!$C$132</definedName>
    <definedName name="SPEED_KP_REGION_4">'Parameters definition'!$C$136</definedName>
    <definedName name="SPEED_OVERFLUX_THRESHOLD">'Parameters definition'!$C$151</definedName>
    <definedName name="SPEED_REF_DEFAULT_ACCEL">'Parameters definition'!$C$254</definedName>
    <definedName name="SPEED_REF_MIN_SPEED_DEFAULT_ACCEL">'Parameters definition'!$C$255</definedName>
    <definedName name="SPEED_THRESHOLD_MAX_PHASE_CURRENT">'Parameters definition'!$C$21</definedName>
    <definedName name="SPEED_THRESHOLD_REGION_0">'Parameters definition'!$C$122</definedName>
    <definedName name="SPEED_THRESHOLD_REGION_1">'Parameters definition'!$C$126</definedName>
    <definedName name="SPEED_THRESHOLD_REGION_2">'Parameters definition'!$C$130</definedName>
    <definedName name="SPEED_THRESHOLD_REGION_3">'Parameters definition'!$C$134</definedName>
    <definedName name="SPEED_THRESHOLD_REGION_4">'Parameters definition'!$C$138</definedName>
    <definedName name="SPEED_TIME_TO_SWITCH_REGION_0">'Parameters definition'!$C$123</definedName>
    <definedName name="SPEED_TIME_TO_SWITCH_REGION_1">'Parameters definition'!$C$127</definedName>
    <definedName name="SPEED_TIME_TO_SWITCH_REGION_2">'Parameters definition'!$C$131</definedName>
    <definedName name="SPEED_TIME_TO_SWITCH_REGION_3">'Parameters definition'!$C$135</definedName>
    <definedName name="SPEED_TIME_TO_SWITCH_REGION_4">'Parameters definition'!$C$139</definedName>
    <definedName name="STATOR_INDUCTANCE_D">'Parameters definition'!$C$11</definedName>
    <definedName name="STATOR_INDUCTANCE_Q">'Parameters definition'!$C$12</definedName>
    <definedName name="STATOR_RESISTANCE">'Parameters definition'!$C$8</definedName>
    <definedName name="TE_MAX">'Parameters definition'!$C$10</definedName>
    <definedName name="TIME_DQ_FORCE_GAINS_STARTING">'Parameters definition'!$C$165</definedName>
    <definedName name="TIME_FORCE_USE_DEFAULT_SPEED_GAINS">'Parameters definition'!$C$117</definedName>
    <definedName name="TORQUE_ERROR_SAT">'Parameters definition'!$C$159</definedName>
    <definedName name="VoltDropN_0">'Parameters definition'!#REF!</definedName>
    <definedName name="VoltDropN_1">'Parameters definition'!#REF!</definedName>
    <definedName name="VoltDropN_10">'Parameters definition'!#REF!</definedName>
    <definedName name="VoltDropN_11">'Parameters definition'!#REF!</definedName>
    <definedName name="VoltDropN_12">'Parameters definition'!#REF!</definedName>
    <definedName name="VoltDropN_13">'Parameters definition'!#REF!</definedName>
    <definedName name="VoltDropN_14">'Parameters definition'!#REF!</definedName>
    <definedName name="VoltDropN_15">'Parameters definition'!#REF!</definedName>
    <definedName name="VoltDropN_16">'Parameters definition'!#REF!</definedName>
    <definedName name="VoltDropN_17">'Parameters definition'!#REF!</definedName>
    <definedName name="VoltDropN_18">'Parameters definition'!#REF!</definedName>
    <definedName name="VoltDropN_19">'Parameters definition'!#REF!</definedName>
    <definedName name="VoltDropN_2">'Parameters definition'!#REF!</definedName>
    <definedName name="VoltDropN_20">'Parameters definition'!#REF!</definedName>
    <definedName name="VoltDropN_21">'Parameters definition'!#REF!</definedName>
    <definedName name="VoltDropN_22">'Parameters definition'!#REF!</definedName>
    <definedName name="VoltDropN_23">'Parameters definition'!#REF!</definedName>
    <definedName name="VoltDropN_24">'Parameters definition'!#REF!</definedName>
    <definedName name="VoltDropN_25">'Parameters definition'!#REF!</definedName>
    <definedName name="VoltDropN_26">'Parameters definition'!#REF!</definedName>
    <definedName name="VoltDropN_27">'Parameters definition'!#REF!</definedName>
    <definedName name="VoltDropN_28">'Parameters definition'!#REF!</definedName>
    <definedName name="VoltDropN_29">'Parameters definition'!#REF!</definedName>
    <definedName name="VoltDropN_3">'Parameters definition'!#REF!</definedName>
    <definedName name="VoltDropN_30">'Parameters definition'!#REF!</definedName>
    <definedName name="VoltDropN_31">'Parameters definition'!#REF!</definedName>
    <definedName name="VoltDropN_32">'Parameters definition'!#REF!</definedName>
    <definedName name="VoltDropN_33">'Parameters definition'!#REF!</definedName>
    <definedName name="VoltDropN_34">'Parameters definition'!#REF!</definedName>
    <definedName name="VoltDropN_35">'Parameters definition'!#REF!</definedName>
    <definedName name="VoltDropN_36">'Parameters definition'!#REF!</definedName>
    <definedName name="VoltDropN_37">'Parameters definition'!#REF!</definedName>
    <definedName name="VoltDropN_38">'Parameters definition'!#REF!</definedName>
    <definedName name="VoltDropN_39">'Parameters definition'!#REF!</definedName>
    <definedName name="VoltDropN_4">'Parameters definition'!#REF!</definedName>
    <definedName name="VoltDropN_40">'Parameters definition'!#REF!</definedName>
    <definedName name="VoltDropN_41">'Parameters definition'!#REF!</definedName>
    <definedName name="VoltDropN_42">'Parameters definition'!#REF!</definedName>
    <definedName name="VoltDropN_43">'Parameters definition'!#REF!</definedName>
    <definedName name="VoltDropN_44">'Parameters definition'!#REF!</definedName>
    <definedName name="VoltDropN_45">'Parameters definition'!#REF!</definedName>
    <definedName name="VoltDropN_46">'Parameters definition'!#REF!</definedName>
    <definedName name="VoltDropN_47">'Parameters definition'!#REF!</definedName>
    <definedName name="VoltDropN_48">'Parameters definition'!#REF!</definedName>
    <definedName name="VoltDropN_49">'Parameters definition'!#REF!</definedName>
    <definedName name="VoltDropN_5">'Parameters definition'!#REF!</definedName>
    <definedName name="VoltDropN_50">'Parameters definition'!#REF!</definedName>
    <definedName name="VoltDropN_51">'Parameters definition'!#REF!</definedName>
    <definedName name="VoltDropN_52">'Parameters definition'!#REF!</definedName>
    <definedName name="VoltDropN_53">'Parameters definition'!#REF!</definedName>
    <definedName name="VoltDropN_54">'Parameters definition'!#REF!</definedName>
    <definedName name="VoltDropN_55">'Parameters definition'!#REF!</definedName>
    <definedName name="VoltDropN_56">'Parameters definition'!#REF!</definedName>
    <definedName name="VoltDropN_57">'Parameters definition'!#REF!</definedName>
    <definedName name="VoltDropN_58">'Parameters definition'!#REF!</definedName>
    <definedName name="VoltDropN_59">'Parameters definition'!#REF!</definedName>
    <definedName name="VoltDropN_6">'Parameters definition'!#REF!</definedName>
    <definedName name="VoltDropN_60">'Parameters definition'!#REF!</definedName>
    <definedName name="VoltDropN_61">'Parameters definition'!#REF!</definedName>
    <definedName name="VoltDropN_62">'Parameters definition'!#REF!</definedName>
    <definedName name="VoltDropN_63">'Parameters definition'!#REF!</definedName>
    <definedName name="VoltDropN_64">'Parameters definition'!#REF!</definedName>
    <definedName name="VoltDropN_65">'Parameters definition'!#REF!</definedName>
    <definedName name="VoltDropN_66">'Parameters definition'!#REF!</definedName>
    <definedName name="VoltDropN_67">'Parameters definition'!#REF!</definedName>
    <definedName name="VoltDropN_68">'Parameters definition'!#REF!</definedName>
    <definedName name="VoltDropN_69">'Parameters definition'!#REF!</definedName>
    <definedName name="VoltDropN_7">'Parameters definition'!#REF!</definedName>
    <definedName name="VoltDropN_70">'Parameters definition'!#REF!</definedName>
    <definedName name="VoltDropN_71">'Parameters definition'!#REF!</definedName>
    <definedName name="VoltDropN_72">'Parameters definition'!#REF!</definedName>
    <definedName name="VoltDropN_73">'Parameters definition'!#REF!</definedName>
    <definedName name="VoltDropN_74">'Parameters definition'!#REF!</definedName>
    <definedName name="VoltDropN_75">'Parameters definition'!#REF!</definedName>
    <definedName name="VoltDropN_76">'Parameters definition'!#REF!</definedName>
    <definedName name="VoltDropN_77">'Parameters definition'!#REF!</definedName>
    <definedName name="VoltDropN_78">'Parameters definition'!#REF!</definedName>
    <definedName name="VoltDropN_79">'Parameters definition'!#REF!</definedName>
    <definedName name="VoltDropN_8">'Parameters definition'!#REF!</definedName>
    <definedName name="VoltDropN_80">'Parameters definition'!#REF!</definedName>
    <definedName name="VoltDropN_9">'Parameters definition'!#REF!</definedName>
    <definedName name="VoltDropP_0">'Parameters definition'!#REF!</definedName>
    <definedName name="VoltDropP_1">'Parameters definition'!#REF!</definedName>
    <definedName name="VoltDropP_10">'Parameters definition'!#REF!</definedName>
    <definedName name="VoltDropP_11">'Parameters definition'!#REF!</definedName>
    <definedName name="VoltDropP_12">'Parameters definition'!#REF!</definedName>
    <definedName name="VoltDropP_13">'Parameters definition'!#REF!</definedName>
    <definedName name="VoltDropP_14">'Parameters definition'!#REF!</definedName>
    <definedName name="VoltDropP_15">'Parameters definition'!#REF!</definedName>
    <definedName name="VoltDropP_16">'Parameters definition'!#REF!</definedName>
    <definedName name="VoltDropP_17">'Parameters definition'!#REF!</definedName>
    <definedName name="VoltDropP_18">'Parameters definition'!#REF!</definedName>
    <definedName name="VoltDropP_19">'Parameters definition'!#REF!</definedName>
    <definedName name="VoltDropP_2">'Parameters definition'!#REF!</definedName>
    <definedName name="VoltDropP_20">'Parameters definition'!#REF!</definedName>
    <definedName name="VoltDropP_21">'Parameters definition'!#REF!</definedName>
    <definedName name="VoltDropP_22">'Parameters definition'!#REF!</definedName>
    <definedName name="VoltDropP_23">'Parameters definition'!#REF!</definedName>
    <definedName name="VoltDropP_24">'Parameters definition'!#REF!</definedName>
    <definedName name="VoltDropP_25">'Parameters definition'!#REF!</definedName>
    <definedName name="VoltDropP_26">'Parameters definition'!#REF!</definedName>
    <definedName name="VoltDropP_27">'Parameters definition'!#REF!</definedName>
    <definedName name="VoltDropP_28">'Parameters definition'!#REF!</definedName>
    <definedName name="VoltDropP_29">'Parameters definition'!#REF!</definedName>
    <definedName name="VoltDropP_3">'Parameters definition'!#REF!</definedName>
    <definedName name="VoltDropP_30">'Parameters definition'!#REF!</definedName>
    <definedName name="VoltDropP_31">'Parameters definition'!#REF!</definedName>
    <definedName name="VoltDropP_32">'Parameters definition'!#REF!</definedName>
    <definedName name="VoltDropP_33">'Parameters definition'!#REF!</definedName>
    <definedName name="VoltDropP_34">'Parameters definition'!#REF!</definedName>
    <definedName name="VoltDropP_35">'Parameters definition'!#REF!</definedName>
    <definedName name="VoltDropP_36">'Parameters definition'!#REF!</definedName>
    <definedName name="VoltDropP_37">'Parameters definition'!#REF!</definedName>
    <definedName name="VoltDropP_38">'Parameters definition'!#REF!</definedName>
    <definedName name="VoltDropP_39">'Parameters definition'!#REF!</definedName>
    <definedName name="VoltDropP_4">'Parameters definition'!#REF!</definedName>
    <definedName name="VoltDropP_40">'Parameters definition'!#REF!</definedName>
    <definedName name="VoltDropP_41">'Parameters definition'!#REF!</definedName>
    <definedName name="VoltDropP_42">'Parameters definition'!#REF!</definedName>
    <definedName name="VoltDropP_43">'Parameters definition'!#REF!</definedName>
    <definedName name="VoltDropP_44">'Parameters definition'!#REF!</definedName>
    <definedName name="VoltDropP_45">'Parameters definition'!#REF!</definedName>
    <definedName name="VoltDropP_46">'Parameters definition'!#REF!</definedName>
    <definedName name="VoltDropP_47">'Parameters definition'!#REF!</definedName>
    <definedName name="VoltDropP_48">'Parameters definition'!#REF!</definedName>
    <definedName name="VoltDropP_49">'Parameters definition'!#REF!</definedName>
    <definedName name="VoltDropP_5">'Parameters definition'!#REF!</definedName>
    <definedName name="VoltDropP_50">'Parameters definition'!#REF!</definedName>
    <definedName name="VoltDropP_51">'Parameters definition'!#REF!</definedName>
    <definedName name="VoltDropP_52">'Parameters definition'!#REF!</definedName>
    <definedName name="VoltDropP_53">'Parameters definition'!#REF!</definedName>
    <definedName name="VoltDropP_54">'Parameters definition'!#REF!</definedName>
    <definedName name="VoltDropP_55">'Parameters definition'!#REF!</definedName>
    <definedName name="VoltDropP_56">'Parameters definition'!#REF!</definedName>
    <definedName name="VoltDropP_57">'Parameters definition'!#REF!</definedName>
    <definedName name="VoltDropP_58">'Parameters definition'!#REF!</definedName>
    <definedName name="VoltDropP_59">'Parameters definition'!#REF!</definedName>
    <definedName name="VoltDropP_6">'Parameters definition'!#REF!</definedName>
    <definedName name="VoltDropP_60">'Parameters definition'!#REF!</definedName>
    <definedName name="VoltDropP_61">'Parameters definition'!#REF!</definedName>
    <definedName name="VoltDropP_62">'Parameters definition'!#REF!</definedName>
    <definedName name="VoltDropP_63">'Parameters definition'!#REF!</definedName>
    <definedName name="VoltDropP_64">'Parameters definition'!#REF!</definedName>
    <definedName name="VoltDropP_65">'Parameters definition'!#REF!</definedName>
    <definedName name="VoltDropP_66">'Parameters definition'!#REF!</definedName>
    <definedName name="VoltDropP_67">'Parameters definition'!#REF!</definedName>
    <definedName name="VoltDropP_68">'Parameters definition'!#REF!</definedName>
    <definedName name="VoltDropP_69">'Parameters definition'!#REF!</definedName>
    <definedName name="VoltDropP_7">'Parameters definition'!#REF!</definedName>
    <definedName name="VoltDropP_70">'Parameters definition'!#REF!</definedName>
    <definedName name="VoltDropP_71">'Parameters definition'!#REF!</definedName>
    <definedName name="VoltDropP_72">'Parameters definition'!#REF!</definedName>
    <definedName name="VoltDropP_73">'Parameters definition'!#REF!</definedName>
    <definedName name="VoltDropP_74">'Parameters definition'!#REF!</definedName>
    <definedName name="VoltDropP_75">'Parameters definition'!#REF!</definedName>
    <definedName name="VoltDropP_76">'Parameters definition'!#REF!</definedName>
    <definedName name="VoltDropP_77">'Parameters definition'!#REF!</definedName>
    <definedName name="VoltDropP_78">'Parameters definition'!#REF!</definedName>
    <definedName name="VoltDropP_79">'Parameters definition'!#REF!</definedName>
    <definedName name="VoltDropP_8">'Parameters definition'!#REF!</definedName>
    <definedName name="VoltDropP_80">'Parameters definition'!#REF!</definedName>
    <definedName name="VoltDropP_9">'Parameters definition'!#REF!</definedName>
  </definedNames>
  <calcPr calcId="152511"/>
</workbook>
</file>

<file path=xl/calcChain.xml><?xml version="1.0" encoding="utf-8"?>
<calcChain xmlns="http://schemas.openxmlformats.org/spreadsheetml/2006/main">
  <c r="G40" i="12" l="1"/>
  <c r="G160" i="7" l="1"/>
  <c r="A160" i="7"/>
  <c r="G77" i="7" l="1"/>
  <c r="G16" i="13"/>
  <c r="G10" i="13"/>
  <c r="G22" i="7"/>
  <c r="G55" i="7"/>
  <c r="G30" i="7"/>
  <c r="A27" i="7" l="1"/>
  <c r="A28" i="7"/>
  <c r="A52" i="7"/>
  <c r="A72" i="7"/>
  <c r="A82" i="7"/>
  <c r="A88" i="7"/>
  <c r="D15" i="7"/>
  <c r="G11" i="7" l="1"/>
  <c r="G7" i="19" l="1"/>
  <c r="G7" i="18"/>
  <c r="D9" i="19"/>
  <c r="G70" i="7" l="1"/>
  <c r="D70" i="7"/>
  <c r="G69" i="7"/>
  <c r="D69" i="7"/>
  <c r="H70" i="7" l="1"/>
  <c r="I70" i="7" s="1"/>
  <c r="H69" i="7"/>
  <c r="I69" i="7" s="1"/>
  <c r="G140" i="7"/>
  <c r="H140" i="7" s="1"/>
  <c r="I140" i="7" s="1"/>
  <c r="D140" i="7"/>
  <c r="G32" i="7"/>
  <c r="D32" i="7"/>
  <c r="D68" i="7"/>
  <c r="H32" i="7" l="1"/>
  <c r="I32" i="7" s="1"/>
  <c r="D7" i="19"/>
  <c r="D40" i="12"/>
  <c r="D7" i="18"/>
  <c r="G61" i="7" l="1"/>
  <c r="G80" i="7" l="1"/>
  <c r="D8" i="19"/>
  <c r="D8" i="18" l="1"/>
  <c r="C246" i="1" l="1"/>
  <c r="G45" i="13" l="1"/>
  <c r="D46" i="13"/>
  <c r="D45" i="13"/>
  <c r="H45" i="13" l="1"/>
  <c r="I45" i="13" s="1"/>
  <c r="A136" i="7"/>
  <c r="D134" i="7"/>
  <c r="G133" i="7"/>
  <c r="D133" i="7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H6" i="19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H6" i="18"/>
  <c r="H133" i="7"/>
  <c r="I133" i="7" l="1"/>
  <c r="D3" i="19"/>
  <c r="D3" i="18"/>
  <c r="D130" i="7"/>
  <c r="C240" i="1"/>
  <c r="C201" i="1"/>
  <c r="C202" i="1"/>
  <c r="C33" i="1"/>
  <c r="C8" i="1"/>
  <c r="G67" i="7"/>
  <c r="H67" i="7" s="1"/>
  <c r="G66" i="7"/>
  <c r="G62" i="7"/>
  <c r="H61" i="7"/>
  <c r="H71" i="7"/>
  <c r="I71" i="7"/>
  <c r="A71" i="7" s="1"/>
  <c r="G60" i="7"/>
  <c r="H60" i="7" s="1"/>
  <c r="I60" i="7" s="1"/>
  <c r="D61" i="7"/>
  <c r="D60" i="7"/>
  <c r="G58" i="7"/>
  <c r="D67" i="7"/>
  <c r="D66" i="7"/>
  <c r="D65" i="7"/>
  <c r="D62" i="7"/>
  <c r="D58" i="7"/>
  <c r="D57" i="7"/>
  <c r="A9" i="7"/>
  <c r="A120" i="7"/>
  <c r="A126" i="7"/>
  <c r="I159" i="7"/>
  <c r="A159" i="7" s="1"/>
  <c r="H157" i="7"/>
  <c r="H158" i="7"/>
  <c r="H159" i="7"/>
  <c r="G8" i="19" l="1"/>
  <c r="H8" i="19" s="1"/>
  <c r="I8" i="19" s="1"/>
  <c r="A8" i="19" s="1"/>
  <c r="G9" i="19"/>
  <c r="G51" i="19"/>
  <c r="G47" i="19"/>
  <c r="G39" i="19"/>
  <c r="G27" i="19"/>
  <c r="G57" i="19"/>
  <c r="G53" i="19"/>
  <c r="G49" i="19"/>
  <c r="G43" i="19"/>
  <c r="G35" i="19"/>
  <c r="G41" i="19"/>
  <c r="G25" i="19"/>
  <c r="G23" i="19"/>
  <c r="G15" i="19"/>
  <c r="G37" i="19"/>
  <c r="G31" i="19"/>
  <c r="G21" i="19"/>
  <c r="G55" i="19"/>
  <c r="G45" i="19"/>
  <c r="G33" i="19"/>
  <c r="G29" i="19"/>
  <c r="G17" i="19"/>
  <c r="G13" i="19"/>
  <c r="G19" i="19"/>
  <c r="G11" i="19"/>
  <c r="C197" i="1"/>
  <c r="G38" i="18"/>
  <c r="G34" i="18"/>
  <c r="G30" i="18"/>
  <c r="G26" i="18"/>
  <c r="G12" i="18"/>
  <c r="G18" i="18"/>
  <c r="G58" i="18"/>
  <c r="G44" i="18"/>
  <c r="G32" i="18"/>
  <c r="G16" i="18"/>
  <c r="G20" i="18"/>
  <c r="G52" i="18"/>
  <c r="G50" i="18"/>
  <c r="G28" i="18"/>
  <c r="G24" i="18"/>
  <c r="G22" i="18"/>
  <c r="G54" i="18"/>
  <c r="G46" i="18"/>
  <c r="G40" i="18"/>
  <c r="G48" i="18"/>
  <c r="G10" i="18"/>
  <c r="G36" i="18"/>
  <c r="G14" i="18"/>
  <c r="G56" i="18"/>
  <c r="G42" i="18"/>
  <c r="G130" i="7"/>
  <c r="C147" i="1"/>
  <c r="I67" i="7"/>
  <c r="H66" i="7"/>
  <c r="I66" i="7" s="1"/>
  <c r="H62" i="7"/>
  <c r="I62" i="7" s="1"/>
  <c r="I61" i="7"/>
  <c r="H58" i="7"/>
  <c r="I58" i="7" s="1"/>
  <c r="H9" i="19" l="1"/>
  <c r="I9" i="19" s="1"/>
  <c r="A9" i="19" s="1"/>
  <c r="H56" i="18"/>
  <c r="I56" i="18" s="1"/>
  <c r="H50" i="18"/>
  <c r="I50" i="18" s="1"/>
  <c r="H54" i="18"/>
  <c r="I54" i="18" s="1"/>
  <c r="H44" i="18"/>
  <c r="I44" i="18" s="1"/>
  <c r="H46" i="18"/>
  <c r="I46" i="18" s="1"/>
  <c r="H48" i="18"/>
  <c r="I48" i="18" s="1"/>
  <c r="H58" i="18"/>
  <c r="I58" i="18" s="1"/>
  <c r="H52" i="18"/>
  <c r="I52" i="18" s="1"/>
  <c r="H42" i="18"/>
  <c r="I42" i="18" s="1"/>
  <c r="H35" i="19"/>
  <c r="I35" i="19" s="1"/>
  <c r="H23" i="19"/>
  <c r="I23" i="19" s="1"/>
  <c r="H55" i="19"/>
  <c r="I55" i="19" s="1"/>
  <c r="H11" i="19"/>
  <c r="I11" i="19" s="1"/>
  <c r="H43" i="19"/>
  <c r="I43" i="19" s="1"/>
  <c r="H31" i="19"/>
  <c r="I31" i="19" s="1"/>
  <c r="H19" i="19"/>
  <c r="I19" i="19" s="1"/>
  <c r="H51" i="19"/>
  <c r="I51" i="19" s="1"/>
  <c r="H39" i="19"/>
  <c r="I39" i="19" s="1"/>
  <c r="H27" i="19"/>
  <c r="I27" i="19" s="1"/>
  <c r="H15" i="19"/>
  <c r="I15" i="19" s="1"/>
  <c r="H47" i="19"/>
  <c r="I47" i="19" s="1"/>
  <c r="G21" i="12"/>
  <c r="G13" i="12"/>
  <c r="G17" i="12"/>
  <c r="G9" i="12"/>
  <c r="G92" i="7"/>
  <c r="G90" i="7"/>
  <c r="G59" i="7"/>
  <c r="G54" i="7"/>
  <c r="G7" i="7"/>
  <c r="C27" i="1"/>
  <c r="G118" i="7"/>
  <c r="H118" i="7" s="1"/>
  <c r="I118" i="7" s="1"/>
  <c r="H130" i="7"/>
  <c r="G29" i="7" l="1"/>
  <c r="C212" i="1"/>
  <c r="G137" i="7"/>
  <c r="I130" i="7"/>
  <c r="H59" i="7"/>
  <c r="I59" i="7" s="1"/>
  <c r="H54" i="7"/>
  <c r="I54" i="7" s="1"/>
  <c r="D118" i="7"/>
  <c r="G79" i="7"/>
  <c r="H79" i="7" s="1"/>
  <c r="I79" i="7" s="1"/>
  <c r="G78" i="7"/>
  <c r="D80" i="7"/>
  <c r="D79" i="7"/>
  <c r="D78" i="7"/>
  <c r="D77" i="7"/>
  <c r="D64" i="7"/>
  <c r="H80" i="7" l="1"/>
  <c r="I80" i="7" s="1"/>
  <c r="H78" i="7"/>
  <c r="I78" i="7" s="1"/>
  <c r="H77" i="7"/>
  <c r="I77" i="7" s="1"/>
  <c r="A23" i="12" l="1"/>
  <c r="A57" i="12"/>
  <c r="A58" i="12"/>
  <c r="A59" i="12"/>
  <c r="G107" i="7" l="1"/>
  <c r="D30" i="12" l="1"/>
  <c r="G30" i="12"/>
  <c r="D15" i="12"/>
  <c r="G15" i="12"/>
  <c r="H15" i="12" s="1"/>
  <c r="I15" i="12" s="1"/>
  <c r="H30" i="12" l="1"/>
  <c r="I30" i="12" s="1"/>
  <c r="G38" i="7" l="1"/>
  <c r="G44" i="7"/>
  <c r="G50" i="7"/>
  <c r="G84" i="7"/>
  <c r="G13" i="7"/>
  <c r="G20" i="7"/>
  <c r="G23" i="7"/>
  <c r="G28" i="7"/>
  <c r="G52" i="7"/>
  <c r="G72" i="7"/>
  <c r="G75" i="7"/>
  <c r="G76" i="7"/>
  <c r="H135" i="7"/>
  <c r="I135" i="7" l="1"/>
  <c r="A135" i="7" s="1"/>
  <c r="H138" i="7"/>
  <c r="I138" i="7" l="1"/>
  <c r="H139" i="7"/>
  <c r="I139" i="7" l="1"/>
  <c r="H145" i="7"/>
  <c r="I145" i="7" l="1"/>
  <c r="H146" i="7"/>
  <c r="I146" i="7" l="1"/>
  <c r="H147" i="7"/>
  <c r="I147" i="7" l="1"/>
  <c r="H148" i="7"/>
  <c r="I148" i="7" l="1"/>
  <c r="H149" i="7"/>
  <c r="I149" i="7" l="1"/>
  <c r="H150" i="7"/>
  <c r="I150" i="7" s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I157" i="7"/>
  <c r="I158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39" i="7"/>
  <c r="D138" i="7"/>
  <c r="D137" i="7"/>
  <c r="H113" i="7"/>
  <c r="I113" i="7"/>
  <c r="A113" i="7" s="1"/>
  <c r="H11" i="7" l="1"/>
  <c r="I11" i="7" s="1"/>
  <c r="D11" i="7"/>
  <c r="D123" i="7"/>
  <c r="D124" i="7"/>
  <c r="I81" i="7"/>
  <c r="A81" i="7" s="1"/>
  <c r="H81" i="7"/>
  <c r="H6" i="12"/>
  <c r="I8" i="7"/>
  <c r="A8" i="7" s="1"/>
  <c r="I51" i="7"/>
  <c r="A51" i="7" s="1"/>
  <c r="I87" i="7"/>
  <c r="A87" i="7" s="1"/>
  <c r="I119" i="7"/>
  <c r="A119" i="7" s="1"/>
  <c r="I125" i="7"/>
  <c r="A125" i="7" s="1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H120" i="7"/>
  <c r="H88" i="7"/>
  <c r="H9" i="7"/>
  <c r="H8" i="7"/>
  <c r="H51" i="7"/>
  <c r="H87" i="7"/>
  <c r="H119" i="7"/>
  <c r="H125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E8" i="15" l="1"/>
  <c r="B8" i="15"/>
  <c r="E7" i="15"/>
  <c r="H6" i="15"/>
  <c r="A6" i="15"/>
  <c r="D44" i="13"/>
  <c r="D43" i="13"/>
  <c r="G42" i="13"/>
  <c r="D42" i="13"/>
  <c r="G41" i="13"/>
  <c r="H41" i="13" s="1"/>
  <c r="I41" i="13" s="1"/>
  <c r="D41" i="13"/>
  <c r="G40" i="13"/>
  <c r="D40" i="13"/>
  <c r="D39" i="13"/>
  <c r="D38" i="13"/>
  <c r="D37" i="13"/>
  <c r="G36" i="13"/>
  <c r="D36" i="13"/>
  <c r="D35" i="13"/>
  <c r="D34" i="13"/>
  <c r="D33" i="13"/>
  <c r="G32" i="13"/>
  <c r="D32" i="13"/>
  <c r="D31" i="13"/>
  <c r="D30" i="13"/>
  <c r="D29" i="13"/>
  <c r="G28" i="13"/>
  <c r="D28" i="13"/>
  <c r="D27" i="13"/>
  <c r="D26" i="13"/>
  <c r="D25" i="13"/>
  <c r="G24" i="13"/>
  <c r="D24" i="13"/>
  <c r="D23" i="13"/>
  <c r="D22" i="13"/>
  <c r="D21" i="13"/>
  <c r="G20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G7" i="13"/>
  <c r="H7" i="13" s="1"/>
  <c r="I7" i="13" s="1"/>
  <c r="D7" i="13"/>
  <c r="G6" i="13"/>
  <c r="H6" i="13" s="1"/>
  <c r="D39" i="12"/>
  <c r="D37" i="12"/>
  <c r="D35" i="12"/>
  <c r="D33" i="12"/>
  <c r="D31" i="12"/>
  <c r="D29" i="12"/>
  <c r="D27" i="12"/>
  <c r="D25" i="12"/>
  <c r="G38" i="12"/>
  <c r="H38" i="12" s="1"/>
  <c r="I38" i="12" s="1"/>
  <c r="D38" i="12"/>
  <c r="G36" i="12"/>
  <c r="H36" i="12" s="1"/>
  <c r="I36" i="12" s="1"/>
  <c r="D36" i="12"/>
  <c r="G34" i="12"/>
  <c r="H34" i="12" s="1"/>
  <c r="I34" i="12" s="1"/>
  <c r="D34" i="12"/>
  <c r="G32" i="12"/>
  <c r="H32" i="12" s="1"/>
  <c r="I32" i="12" s="1"/>
  <c r="D32" i="12"/>
  <c r="G28" i="12"/>
  <c r="H28" i="12" s="1"/>
  <c r="I28" i="12" s="1"/>
  <c r="D28" i="12"/>
  <c r="G26" i="12"/>
  <c r="H26" i="12" s="1"/>
  <c r="I26" i="12" s="1"/>
  <c r="D26" i="12"/>
  <c r="G24" i="12"/>
  <c r="H24" i="12" s="1"/>
  <c r="I24" i="12" s="1"/>
  <c r="D24" i="12"/>
  <c r="D22" i="12"/>
  <c r="D20" i="12"/>
  <c r="D18" i="12"/>
  <c r="D16" i="12"/>
  <c r="D14" i="12"/>
  <c r="D12" i="12"/>
  <c r="D10" i="12"/>
  <c r="D8" i="12"/>
  <c r="H21" i="12"/>
  <c r="I21" i="12" s="1"/>
  <c r="D21" i="12"/>
  <c r="G19" i="12"/>
  <c r="H19" i="12" s="1"/>
  <c r="I19" i="12" s="1"/>
  <c r="D19" i="12"/>
  <c r="H17" i="12"/>
  <c r="I17" i="12" s="1"/>
  <c r="D17" i="12"/>
  <c r="H13" i="12"/>
  <c r="I13" i="12" s="1"/>
  <c r="D13" i="12"/>
  <c r="G11" i="12"/>
  <c r="H11" i="12" s="1"/>
  <c r="I11" i="12" s="1"/>
  <c r="D11" i="12"/>
  <c r="D9" i="12"/>
  <c r="G7" i="12"/>
  <c r="H7" i="12" s="1"/>
  <c r="I7" i="12" s="1"/>
  <c r="D7" i="12"/>
  <c r="E136" i="7"/>
  <c r="E126" i="7"/>
  <c r="E82" i="7"/>
  <c r="E72" i="7"/>
  <c r="G136" i="7"/>
  <c r="G132" i="7"/>
  <c r="G126" i="7"/>
  <c r="H126" i="7" s="1"/>
  <c r="G117" i="7"/>
  <c r="G116" i="7"/>
  <c r="G111" i="7"/>
  <c r="G110" i="7"/>
  <c r="G109" i="7"/>
  <c r="G108" i="7"/>
  <c r="G100" i="7"/>
  <c r="G91" i="7"/>
  <c r="G82" i="7"/>
  <c r="H82" i="7" s="1"/>
  <c r="H72" i="7"/>
  <c r="H52" i="7"/>
  <c r="C214" i="1"/>
  <c r="D142" i="7"/>
  <c r="D141" i="7"/>
  <c r="D144" i="7"/>
  <c r="D143" i="7"/>
  <c r="H23" i="7"/>
  <c r="H132" i="7"/>
  <c r="I132" i="7" l="1"/>
  <c r="H20" i="13"/>
  <c r="I20" i="13" s="1"/>
  <c r="H28" i="13"/>
  <c r="I28" i="13" s="1"/>
  <c r="H32" i="13"/>
  <c r="I32" i="13" s="1"/>
  <c r="H42" i="13"/>
  <c r="I42" i="13" s="1"/>
  <c r="D3" i="13"/>
  <c r="H24" i="13"/>
  <c r="I24" i="13" s="1"/>
  <c r="H36" i="13"/>
  <c r="I36" i="13" s="1"/>
  <c r="H40" i="13"/>
  <c r="I40" i="13" s="1"/>
  <c r="H9" i="12"/>
  <c r="I9" i="12" s="1"/>
  <c r="H76" i="7"/>
  <c r="I76" i="7" s="1"/>
  <c r="H117" i="7"/>
  <c r="I117" i="7" s="1"/>
  <c r="I23" i="7"/>
  <c r="H75" i="7"/>
  <c r="I75" i="7" s="1"/>
  <c r="H90" i="7"/>
  <c r="I90" i="7" s="1"/>
  <c r="H108" i="7"/>
  <c r="I108" i="7" s="1"/>
  <c r="H116" i="7"/>
  <c r="I116" i="7" s="1"/>
  <c r="H7" i="7"/>
  <c r="I7" i="7" s="1"/>
  <c r="H91" i="7"/>
  <c r="I91" i="7" s="1"/>
  <c r="H20" i="7"/>
  <c r="I20" i="7" s="1"/>
  <c r="H50" i="7"/>
  <c r="I50" i="7" s="1"/>
  <c r="H84" i="7"/>
  <c r="I84" i="7" s="1"/>
  <c r="H100" i="7"/>
  <c r="I100" i="7" s="1"/>
  <c r="H111" i="7"/>
  <c r="I111" i="7" s="1"/>
  <c r="H38" i="7"/>
  <c r="I38" i="7" s="1"/>
  <c r="H109" i="7"/>
  <c r="I109" i="7" s="1"/>
  <c r="H13" i="7"/>
  <c r="I13" i="7" s="1"/>
  <c r="H44" i="7"/>
  <c r="I44" i="7" s="1"/>
  <c r="H92" i="7"/>
  <c r="I92" i="7" s="1"/>
  <c r="H110" i="7"/>
  <c r="I110" i="7" s="1"/>
  <c r="E3" i="15"/>
  <c r="D3" i="12"/>
  <c r="D132" i="7"/>
  <c r="D131" i="7"/>
  <c r="D129" i="7"/>
  <c r="G115" i="7"/>
  <c r="C232" i="1"/>
  <c r="C237" i="1"/>
  <c r="D87" i="7"/>
  <c r="D86" i="7"/>
  <c r="D85" i="7"/>
  <c r="D84" i="7"/>
  <c r="D83" i="7"/>
  <c r="D63" i="7"/>
  <c r="C53" i="1"/>
  <c r="C61" i="1"/>
  <c r="C49" i="1"/>
  <c r="C44" i="1"/>
  <c r="C28" i="1"/>
  <c r="C31" i="1"/>
  <c r="G128" i="7" s="1"/>
  <c r="D128" i="7"/>
  <c r="D127" i="7"/>
  <c r="D125" i="7"/>
  <c r="D122" i="7"/>
  <c r="D121" i="7"/>
  <c r="D117" i="7"/>
  <c r="D116" i="7"/>
  <c r="D115" i="7"/>
  <c r="D114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76" i="7"/>
  <c r="D75" i="7"/>
  <c r="D74" i="7"/>
  <c r="D73" i="7"/>
  <c r="D59" i="7"/>
  <c r="D56" i="7"/>
  <c r="D55" i="7"/>
  <c r="D54" i="7"/>
  <c r="D53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1" i="7"/>
  <c r="D30" i="7"/>
  <c r="D29" i="7"/>
  <c r="D26" i="7"/>
  <c r="D25" i="7"/>
  <c r="D24" i="7"/>
  <c r="D23" i="7"/>
  <c r="D22" i="7"/>
  <c r="D21" i="7"/>
  <c r="D20" i="7"/>
  <c r="D19" i="7"/>
  <c r="D18" i="7"/>
  <c r="D17" i="7"/>
  <c r="D16" i="7"/>
  <c r="D14" i="7"/>
  <c r="D13" i="7"/>
  <c r="D12" i="7"/>
  <c r="D10" i="7"/>
  <c r="D8" i="7"/>
  <c r="D7" i="7"/>
  <c r="H128" i="7"/>
  <c r="G17" i="13" l="1"/>
  <c r="H17" i="13" s="1"/>
  <c r="I17" i="13" s="1"/>
  <c r="G85" i="7"/>
  <c r="G16" i="7"/>
  <c r="G11" i="13"/>
  <c r="H11" i="13" s="1"/>
  <c r="I11" i="13" s="1"/>
  <c r="G19" i="7"/>
  <c r="G12" i="13"/>
  <c r="G63" i="7"/>
  <c r="H63" i="7" s="1"/>
  <c r="I63" i="7" s="1"/>
  <c r="G53" i="7"/>
  <c r="G86" i="7"/>
  <c r="G64" i="7"/>
  <c r="H64" i="7" s="1"/>
  <c r="I64" i="7" s="1"/>
  <c r="G24" i="7"/>
  <c r="G25" i="7"/>
  <c r="H16" i="13"/>
  <c r="I16" i="13" s="1"/>
  <c r="H10" i="13"/>
  <c r="I10" i="13" s="1"/>
  <c r="H115" i="7"/>
  <c r="I115" i="7" s="1"/>
  <c r="I128" i="7"/>
  <c r="C34" i="1"/>
  <c r="G95" i="7"/>
  <c r="G105" i="7"/>
  <c r="G94" i="7"/>
  <c r="G89" i="7"/>
  <c r="G102" i="7"/>
  <c r="G93" i="7"/>
  <c r="G103" i="7"/>
  <c r="G99" i="7"/>
  <c r="G131" i="7"/>
  <c r="D3" i="7"/>
  <c r="C216" i="1"/>
  <c r="C213" i="1" s="1"/>
  <c r="C215" i="1" s="1"/>
  <c r="C193" i="1"/>
  <c r="G83" i="7" s="1"/>
  <c r="C238" i="1"/>
  <c r="C149" i="1"/>
  <c r="G56" i="7"/>
  <c r="C59" i="1"/>
  <c r="C36" i="1"/>
  <c r="G134" i="7" s="1"/>
  <c r="H24" i="7"/>
  <c r="H25" i="7"/>
  <c r="H131" i="7"/>
  <c r="G8" i="18" l="1"/>
  <c r="H8" i="18" s="1"/>
  <c r="I8" i="18" s="1"/>
  <c r="A8" i="18" s="1"/>
  <c r="G68" i="7"/>
  <c r="H68" i="7" s="1"/>
  <c r="I68" i="7" s="1"/>
  <c r="G58" i="19"/>
  <c r="G54" i="19"/>
  <c r="G50" i="19"/>
  <c r="G44" i="19"/>
  <c r="G38" i="19"/>
  <c r="G36" i="19"/>
  <c r="G24" i="19"/>
  <c r="G10" i="19"/>
  <c r="G32" i="19"/>
  <c r="G20" i="19"/>
  <c r="G16" i="19"/>
  <c r="G12" i="19"/>
  <c r="G52" i="19"/>
  <c r="G30" i="19"/>
  <c r="G14" i="19"/>
  <c r="G56" i="19"/>
  <c r="G48" i="19"/>
  <c r="G42" i="19"/>
  <c r="G40" i="19"/>
  <c r="G28" i="19"/>
  <c r="G22" i="19"/>
  <c r="G18" i="19"/>
  <c r="G46" i="19"/>
  <c r="G34" i="19"/>
  <c r="G26" i="19"/>
  <c r="G9" i="13"/>
  <c r="H9" i="13" s="1"/>
  <c r="I9" i="13" s="1"/>
  <c r="G55" i="18"/>
  <c r="G51" i="18"/>
  <c r="G47" i="18"/>
  <c r="G43" i="18"/>
  <c r="G23" i="18"/>
  <c r="G13" i="18"/>
  <c r="G49" i="18"/>
  <c r="G37" i="18"/>
  <c r="G27" i="18"/>
  <c r="G21" i="18"/>
  <c r="G45" i="18"/>
  <c r="G39" i="18"/>
  <c r="G33" i="18"/>
  <c r="G17" i="18"/>
  <c r="G53" i="18"/>
  <c r="G35" i="18"/>
  <c r="G29" i="18"/>
  <c r="G41" i="18"/>
  <c r="G15" i="18"/>
  <c r="G11" i="18"/>
  <c r="G9" i="18"/>
  <c r="G25" i="18"/>
  <c r="G57" i="18"/>
  <c r="G31" i="18"/>
  <c r="G19" i="18"/>
  <c r="H55" i="7"/>
  <c r="I55" i="7" s="1"/>
  <c r="H56" i="7"/>
  <c r="I56" i="7" s="1"/>
  <c r="G13" i="13"/>
  <c r="H13" i="13" s="1"/>
  <c r="I13" i="13" s="1"/>
  <c r="G8" i="12"/>
  <c r="H8" i="12" s="1"/>
  <c r="I8" i="12" s="1"/>
  <c r="A8" i="12" s="1"/>
  <c r="G43" i="13"/>
  <c r="H43" i="13" s="1"/>
  <c r="I43" i="13" s="1"/>
  <c r="G10" i="12"/>
  <c r="H10" i="12" s="1"/>
  <c r="I10" i="12" s="1"/>
  <c r="G12" i="12"/>
  <c r="H12" i="12" s="1"/>
  <c r="I12" i="12" s="1"/>
  <c r="G16" i="12"/>
  <c r="H16" i="12" s="1"/>
  <c r="I16" i="12" s="1"/>
  <c r="G20" i="12"/>
  <c r="H20" i="12" s="1"/>
  <c r="I20" i="12" s="1"/>
  <c r="G33" i="7"/>
  <c r="G35" i="7"/>
  <c r="H35" i="7" s="1"/>
  <c r="I35" i="7" s="1"/>
  <c r="G48" i="7"/>
  <c r="G47" i="7"/>
  <c r="G17" i="7"/>
  <c r="G36" i="7"/>
  <c r="G39" i="7"/>
  <c r="G45" i="7"/>
  <c r="G40" i="7"/>
  <c r="G46" i="7"/>
  <c r="G34" i="7"/>
  <c r="G18" i="7"/>
  <c r="G42" i="7"/>
  <c r="G41" i="7"/>
  <c r="G19" i="13"/>
  <c r="H19" i="13" s="1"/>
  <c r="I19" i="13" s="1"/>
  <c r="G18" i="13"/>
  <c r="G8" i="13"/>
  <c r="H12" i="13"/>
  <c r="I12" i="13" s="1"/>
  <c r="H30" i="7"/>
  <c r="I30" i="7" s="1"/>
  <c r="H22" i="7"/>
  <c r="I22" i="7" s="1"/>
  <c r="H99" i="7"/>
  <c r="I99" i="7" s="1"/>
  <c r="H89" i="7"/>
  <c r="I89" i="7" s="1"/>
  <c r="I25" i="7"/>
  <c r="H103" i="7"/>
  <c r="I103" i="7" s="1"/>
  <c r="H94" i="7"/>
  <c r="I94" i="7" s="1"/>
  <c r="H102" i="7"/>
  <c r="I102" i="7" s="1"/>
  <c r="H95" i="7"/>
  <c r="I95" i="7" s="1"/>
  <c r="I24" i="7"/>
  <c r="I131" i="7"/>
  <c r="H93" i="7"/>
  <c r="I93" i="7" s="1"/>
  <c r="H105" i="7"/>
  <c r="I105" i="7" s="1"/>
  <c r="H53" i="7"/>
  <c r="I53" i="7" s="1"/>
  <c r="H86" i="7"/>
  <c r="I86" i="7" s="1"/>
  <c r="H85" i="7"/>
  <c r="I85" i="7" s="1"/>
  <c r="H19" i="7"/>
  <c r="I19" i="7" s="1"/>
  <c r="H16" i="7"/>
  <c r="I16" i="7" s="1"/>
  <c r="C38" i="1"/>
  <c r="C51" i="1"/>
  <c r="G106" i="7"/>
  <c r="C37" i="1"/>
  <c r="C35" i="1"/>
  <c r="G37" i="12"/>
  <c r="H37" i="12" s="1"/>
  <c r="I37" i="12" s="1"/>
  <c r="G29" i="12"/>
  <c r="H29" i="12" s="1"/>
  <c r="I29" i="12" s="1"/>
  <c r="G35" i="12"/>
  <c r="H35" i="12" s="1"/>
  <c r="I35" i="12" s="1"/>
  <c r="G27" i="12"/>
  <c r="H27" i="12" s="1"/>
  <c r="I27" i="12" s="1"/>
  <c r="G18" i="12"/>
  <c r="H18" i="12" s="1"/>
  <c r="I18" i="12" s="1"/>
  <c r="G33" i="12"/>
  <c r="H33" i="12" s="1"/>
  <c r="I33" i="12" s="1"/>
  <c r="G25" i="12"/>
  <c r="H25" i="12" s="1"/>
  <c r="I25" i="12" s="1"/>
  <c r="G39" i="12"/>
  <c r="H39" i="12" s="1"/>
  <c r="I39" i="12" s="1"/>
  <c r="G31" i="12"/>
  <c r="H31" i="12" s="1"/>
  <c r="I31" i="12" s="1"/>
  <c r="G22" i="12"/>
  <c r="H22" i="12" s="1"/>
  <c r="I22" i="12" s="1"/>
  <c r="G14" i="12"/>
  <c r="H14" i="12" s="1"/>
  <c r="I14" i="12" s="1"/>
  <c r="G97" i="7"/>
  <c r="G144" i="7"/>
  <c r="H144" i="7" s="1"/>
  <c r="G96" i="7"/>
  <c r="G142" i="7"/>
  <c r="H142" i="7" s="1"/>
  <c r="G98" i="7"/>
  <c r="H137" i="7"/>
  <c r="G143" i="7"/>
  <c r="H143" i="7" s="1"/>
  <c r="G141" i="7"/>
  <c r="H141" i="7" s="1"/>
  <c r="G129" i="7"/>
  <c r="H129" i="7"/>
  <c r="H134" i="7"/>
  <c r="H50" i="19" l="1"/>
  <c r="I50" i="19" s="1"/>
  <c r="H18" i="19"/>
  <c r="I18" i="19" s="1"/>
  <c r="H54" i="19"/>
  <c r="I54" i="19" s="1"/>
  <c r="H22" i="19"/>
  <c r="I22" i="19" s="1"/>
  <c r="H58" i="19"/>
  <c r="I58" i="19" s="1"/>
  <c r="H10" i="19"/>
  <c r="I10" i="19" s="1"/>
  <c r="A10" i="19" s="1"/>
  <c r="H26" i="19"/>
  <c r="I26" i="19" s="1"/>
  <c r="H34" i="19"/>
  <c r="I34" i="19" s="1"/>
  <c r="H14" i="19"/>
  <c r="I14" i="19" s="1"/>
  <c r="H38" i="19"/>
  <c r="I38" i="19" s="1"/>
  <c r="H42" i="19"/>
  <c r="I42" i="19" s="1"/>
  <c r="H46" i="19"/>
  <c r="I46" i="19" s="1"/>
  <c r="H30" i="19"/>
  <c r="I30" i="19" s="1"/>
  <c r="H55" i="18"/>
  <c r="I55" i="18" s="1"/>
  <c r="H45" i="18"/>
  <c r="I45" i="18" s="1"/>
  <c r="H47" i="18"/>
  <c r="I47" i="18" s="1"/>
  <c r="H13" i="18"/>
  <c r="I13" i="18" s="1"/>
  <c r="H41" i="18"/>
  <c r="I41" i="18" s="1"/>
  <c r="H43" i="18"/>
  <c r="I43" i="18" s="1"/>
  <c r="H57" i="18"/>
  <c r="I57" i="18" s="1"/>
  <c r="H51" i="18"/>
  <c r="I51" i="18" s="1"/>
  <c r="H53" i="18"/>
  <c r="I53" i="18" s="1"/>
  <c r="H49" i="18"/>
  <c r="I49" i="18" s="1"/>
  <c r="I134" i="7"/>
  <c r="H11" i="18"/>
  <c r="I11" i="18" s="1"/>
  <c r="H35" i="18"/>
  <c r="I35" i="18" s="1"/>
  <c r="H33" i="18"/>
  <c r="I33" i="18" s="1"/>
  <c r="H37" i="18"/>
  <c r="I37" i="18" s="1"/>
  <c r="H20" i="19"/>
  <c r="I20" i="19" s="1"/>
  <c r="H25" i="19"/>
  <c r="I25" i="19" s="1"/>
  <c r="H36" i="19"/>
  <c r="I36" i="19" s="1"/>
  <c r="H41" i="19"/>
  <c r="I41" i="19" s="1"/>
  <c r="H52" i="19"/>
  <c r="I52" i="19" s="1"/>
  <c r="H57" i="19"/>
  <c r="I57" i="19" s="1"/>
  <c r="H31" i="18"/>
  <c r="I31" i="18" s="1"/>
  <c r="H9" i="18"/>
  <c r="I9" i="18" s="1"/>
  <c r="A9" i="18" s="1"/>
  <c r="H29" i="18"/>
  <c r="I29" i="18" s="1"/>
  <c r="H17" i="18"/>
  <c r="I17" i="18" s="1"/>
  <c r="H27" i="18"/>
  <c r="I27" i="18" s="1"/>
  <c r="H13" i="19"/>
  <c r="I13" i="19" s="1"/>
  <c r="H24" i="19"/>
  <c r="I24" i="19" s="1"/>
  <c r="H29" i="19"/>
  <c r="I29" i="19" s="1"/>
  <c r="H40" i="19"/>
  <c r="I40" i="19" s="1"/>
  <c r="H45" i="19"/>
  <c r="I45" i="19" s="1"/>
  <c r="H56" i="19"/>
  <c r="I56" i="19" s="1"/>
  <c r="H25" i="18"/>
  <c r="I25" i="18" s="1"/>
  <c r="H21" i="18"/>
  <c r="I21" i="18" s="1"/>
  <c r="H12" i="19"/>
  <c r="I12" i="19" s="1"/>
  <c r="H17" i="19"/>
  <c r="I17" i="19" s="1"/>
  <c r="H28" i="19"/>
  <c r="I28" i="19" s="1"/>
  <c r="H33" i="19"/>
  <c r="I33" i="19" s="1"/>
  <c r="H44" i="19"/>
  <c r="I44" i="19" s="1"/>
  <c r="H49" i="19"/>
  <c r="I49" i="19" s="1"/>
  <c r="H19" i="18"/>
  <c r="I19" i="18" s="1"/>
  <c r="H15" i="18"/>
  <c r="I15" i="18" s="1"/>
  <c r="H39" i="18"/>
  <c r="I39" i="18" s="1"/>
  <c r="H16" i="19"/>
  <c r="I16" i="19" s="1"/>
  <c r="H21" i="19"/>
  <c r="I21" i="19" s="1"/>
  <c r="H32" i="19"/>
  <c r="I32" i="19" s="1"/>
  <c r="H37" i="19"/>
  <c r="I37" i="19" s="1"/>
  <c r="H48" i="19"/>
  <c r="I48" i="19" s="1"/>
  <c r="H53" i="19"/>
  <c r="I53" i="19" s="1"/>
  <c r="H23" i="18"/>
  <c r="I23" i="18" s="1"/>
  <c r="H14" i="18"/>
  <c r="I14" i="18" s="1"/>
  <c r="H24" i="18"/>
  <c r="I24" i="18" s="1"/>
  <c r="H34" i="18"/>
  <c r="I34" i="18" s="1"/>
  <c r="H10" i="18"/>
  <c r="I10" i="18" s="1"/>
  <c r="H36" i="18"/>
  <c r="I36" i="18" s="1"/>
  <c r="H22" i="18"/>
  <c r="I22" i="18" s="1"/>
  <c r="H30" i="18"/>
  <c r="I30" i="18" s="1"/>
  <c r="H16" i="18"/>
  <c r="I16" i="18" s="1"/>
  <c r="H32" i="18"/>
  <c r="I32" i="18" s="1"/>
  <c r="H40" i="18"/>
  <c r="I40" i="18" s="1"/>
  <c r="H38" i="18"/>
  <c r="I38" i="18" s="1"/>
  <c r="H20" i="18"/>
  <c r="I20" i="18" s="1"/>
  <c r="H18" i="18"/>
  <c r="I18" i="18" s="1"/>
  <c r="H26" i="18"/>
  <c r="I26" i="18" s="1"/>
  <c r="H12" i="18"/>
  <c r="I12" i="18" s="1"/>
  <c r="H28" i="18"/>
  <c r="I28" i="18" s="1"/>
  <c r="G114" i="7"/>
  <c r="G101" i="7"/>
  <c r="A9" i="12"/>
  <c r="A10" i="12" s="1"/>
  <c r="G12" i="7"/>
  <c r="H12" i="7" s="1"/>
  <c r="I12" i="7" s="1"/>
  <c r="G10" i="7"/>
  <c r="C40" i="1"/>
  <c r="G21" i="7"/>
  <c r="H21" i="7" s="1"/>
  <c r="I21" i="7" s="1"/>
  <c r="I141" i="7"/>
  <c r="I144" i="7"/>
  <c r="I143" i="7"/>
  <c r="I142" i="7"/>
  <c r="I137" i="7"/>
  <c r="H18" i="13"/>
  <c r="I18" i="13" s="1"/>
  <c r="H8" i="13"/>
  <c r="I8" i="13" s="1"/>
  <c r="A8" i="13" s="1"/>
  <c r="C39" i="1"/>
  <c r="G161" i="7" s="1"/>
  <c r="H161" i="7" s="1"/>
  <c r="I161" i="7" s="1"/>
  <c r="C54" i="1"/>
  <c r="H98" i="7"/>
  <c r="I98" i="7" s="1"/>
  <c r="H83" i="7"/>
  <c r="I83" i="7" s="1"/>
  <c r="H106" i="7"/>
  <c r="I106" i="7" s="1"/>
  <c r="H97" i="7"/>
  <c r="I97" i="7" s="1"/>
  <c r="H96" i="7"/>
  <c r="I96" i="7" s="1"/>
  <c r="H34" i="7"/>
  <c r="I34" i="7" s="1"/>
  <c r="I129" i="7"/>
  <c r="H48" i="7"/>
  <c r="I48" i="7" s="1"/>
  <c r="H45" i="7"/>
  <c r="I45" i="7" s="1"/>
  <c r="H42" i="7"/>
  <c r="I42" i="7" s="1"/>
  <c r="H41" i="7"/>
  <c r="I41" i="7" s="1"/>
  <c r="H36" i="7"/>
  <c r="I36" i="7" s="1"/>
  <c r="H40" i="7"/>
  <c r="I40" i="7" s="1"/>
  <c r="H39" i="7"/>
  <c r="I39" i="7" s="1"/>
  <c r="H17" i="7"/>
  <c r="I17" i="7" s="1"/>
  <c r="H33" i="7"/>
  <c r="I33" i="7" s="1"/>
  <c r="H46" i="7"/>
  <c r="I46" i="7" s="1"/>
  <c r="H18" i="7"/>
  <c r="I18" i="7" s="1"/>
  <c r="H47" i="7"/>
  <c r="I47" i="7" s="1"/>
  <c r="H29" i="7"/>
  <c r="I29" i="7" s="1"/>
  <c r="G31" i="7" l="1"/>
  <c r="G15" i="7"/>
  <c r="H15" i="7" s="1"/>
  <c r="I15" i="7" s="1"/>
  <c r="G46" i="13"/>
  <c r="H46" i="13" s="1"/>
  <c r="I46" i="13" s="1"/>
  <c r="A10" i="18"/>
  <c r="A11" i="18" s="1"/>
  <c r="A12" i="18" s="1"/>
  <c r="A13" i="18" s="1"/>
  <c r="A11" i="19"/>
  <c r="A12" i="19" s="1"/>
  <c r="G57" i="7"/>
  <c r="H57" i="7" s="1"/>
  <c r="I57" i="7" s="1"/>
  <c r="G65" i="7"/>
  <c r="H65" i="7" s="1"/>
  <c r="I65" i="7" s="1"/>
  <c r="G122" i="7"/>
  <c r="H31" i="7"/>
  <c r="I31" i="7" s="1"/>
  <c r="G21" i="13"/>
  <c r="H21" i="13" s="1"/>
  <c r="I21" i="13" s="1"/>
  <c r="G27" i="13"/>
  <c r="H27" i="13" s="1"/>
  <c r="I27" i="13" s="1"/>
  <c r="G104" i="7"/>
  <c r="H104" i="7" s="1"/>
  <c r="I104" i="7" s="1"/>
  <c r="G14" i="7"/>
  <c r="H14" i="7" s="1"/>
  <c r="I14" i="7" s="1"/>
  <c r="G14" i="13"/>
  <c r="G25" i="13"/>
  <c r="H25" i="13" s="1"/>
  <c r="I25" i="13" s="1"/>
  <c r="G123" i="7"/>
  <c r="H123" i="7" s="1"/>
  <c r="I123" i="7" s="1"/>
  <c r="G124" i="7"/>
  <c r="H124" i="7" s="1"/>
  <c r="I124" i="7" s="1"/>
  <c r="A11" i="12"/>
  <c r="A12" i="12" s="1"/>
  <c r="G43" i="7"/>
  <c r="H43" i="7" s="1"/>
  <c r="I43" i="7" s="1"/>
  <c r="G49" i="7"/>
  <c r="H49" i="7" s="1"/>
  <c r="I49" i="7" s="1"/>
  <c r="G73" i="7"/>
  <c r="H73" i="7" s="1"/>
  <c r="I73" i="7" s="1"/>
  <c r="G26" i="7"/>
  <c r="G74" i="7"/>
  <c r="H74" i="7" s="1"/>
  <c r="I74" i="7" s="1"/>
  <c r="G37" i="7"/>
  <c r="H37" i="7" s="1"/>
  <c r="I37" i="7" s="1"/>
  <c r="G121" i="7"/>
  <c r="H114" i="7"/>
  <c r="I114" i="7" s="1"/>
  <c r="A9" i="13"/>
  <c r="G39" i="13"/>
  <c r="H39" i="13" s="1"/>
  <c r="I39" i="13" s="1"/>
  <c r="G37" i="13"/>
  <c r="H37" i="13" s="1"/>
  <c r="I37" i="13" s="1"/>
  <c r="G35" i="13"/>
  <c r="H35" i="13" s="1"/>
  <c r="I35" i="13" s="1"/>
  <c r="G33" i="13"/>
  <c r="H33" i="13" s="1"/>
  <c r="I33" i="13" s="1"/>
  <c r="G31" i="13"/>
  <c r="H31" i="13" s="1"/>
  <c r="I31" i="13" s="1"/>
  <c r="G29" i="13"/>
  <c r="H29" i="13" s="1"/>
  <c r="I29" i="13" s="1"/>
  <c r="G23" i="13"/>
  <c r="H23" i="13" s="1"/>
  <c r="I23" i="13" s="1"/>
  <c r="G15" i="13"/>
  <c r="H15" i="13" s="1"/>
  <c r="I15" i="13" s="1"/>
  <c r="G44" i="13"/>
  <c r="G38" i="13"/>
  <c r="G34" i="13"/>
  <c r="G30" i="13"/>
  <c r="H30" i="13" s="1"/>
  <c r="I30" i="13" s="1"/>
  <c r="G22" i="13"/>
  <c r="H22" i="13" s="1"/>
  <c r="I22" i="13" s="1"/>
  <c r="G26" i="13"/>
  <c r="H107" i="7"/>
  <c r="I107" i="7" s="1"/>
  <c r="G127" i="7"/>
  <c r="C60" i="1"/>
  <c r="H101" i="7"/>
  <c r="I101" i="7" s="1"/>
  <c r="H10" i="7"/>
  <c r="I10" i="7" s="1"/>
  <c r="A10" i="7" s="1"/>
  <c r="H6" i="7"/>
  <c r="H122" i="7"/>
  <c r="H121" i="7"/>
  <c r="H127" i="7"/>
  <c r="H26" i="7"/>
  <c r="H44" i="13"/>
  <c r="A13" i="19" l="1"/>
  <c r="A14" i="19" s="1"/>
  <c r="A14" i="18"/>
  <c r="A15" i="18" s="1"/>
  <c r="A16" i="18" s="1"/>
  <c r="A11" i="7"/>
  <c r="A13" i="12"/>
  <c r="I122" i="7"/>
  <c r="I121" i="7"/>
  <c r="H26" i="13"/>
  <c r="I26" i="13" s="1"/>
  <c r="H14" i="13"/>
  <c r="I14" i="13" s="1"/>
  <c r="H38" i="13"/>
  <c r="I38" i="13" s="1"/>
  <c r="H34" i="13"/>
  <c r="I34" i="13" s="1"/>
  <c r="I44" i="13"/>
  <c r="A10" i="13"/>
  <c r="A11" i="13" s="1"/>
  <c r="I127" i="7"/>
  <c r="I26" i="7"/>
  <c r="A15" i="19" l="1"/>
  <c r="A17" i="18"/>
  <c r="A18" i="18" s="1"/>
  <c r="A19" i="18" s="1"/>
  <c r="A12" i="7"/>
  <c r="A14" i="12"/>
  <c r="A15" i="12" s="1"/>
  <c r="A12" i="13"/>
  <c r="A13" i="7" l="1"/>
  <c r="A14" i="7" s="1"/>
  <c r="A16" i="19"/>
  <c r="A17" i="19" s="1"/>
  <c r="A18" i="19" s="1"/>
  <c r="A20" i="18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13" i="13"/>
  <c r="A14" i="13" s="1"/>
  <c r="A16" i="12"/>
  <c r="A17" i="12" s="1"/>
  <c r="A18" i="12" s="1"/>
  <c r="A19" i="12" s="1"/>
  <c r="A20" i="12" s="1"/>
  <c r="A21" i="12" s="1"/>
  <c r="A22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H40" i="12" s="1"/>
  <c r="I40" i="12" s="1"/>
  <c r="A40" i="12" s="1"/>
  <c r="A15" i="7" l="1"/>
  <c r="A16" i="7" s="1"/>
  <c r="A17" i="7" s="1"/>
  <c r="A18" i="7" s="1"/>
  <c r="A19" i="7" s="1"/>
  <c r="A20" i="7" s="1"/>
  <c r="A21" i="7" s="1"/>
  <c r="A19" i="19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15" i="13"/>
  <c r="A22" i="7" l="1"/>
  <c r="A23" i="7" s="1"/>
  <c r="A24" i="7" s="1"/>
  <c r="A25" i="7" s="1"/>
  <c r="A26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3" i="7" s="1"/>
  <c r="A74" i="7" s="1"/>
  <c r="A75" i="7" s="1"/>
  <c r="A76" i="7" s="1"/>
  <c r="A77" i="7" s="1"/>
  <c r="A78" i="7" s="1"/>
  <c r="A79" i="7" s="1"/>
  <c r="A80" i="7" s="1"/>
  <c r="A83" i="7" s="1"/>
  <c r="A84" i="7" s="1"/>
  <c r="A85" i="7" s="1"/>
  <c r="A86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6" i="13"/>
  <c r="A17" i="13" s="1"/>
  <c r="A18" i="13" s="1"/>
  <c r="A19" i="13" l="1"/>
  <c r="A20" i="13" s="1"/>
  <c r="A21" i="13" l="1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H7" i="18" l="1"/>
  <c r="I7" i="18" s="1"/>
  <c r="H7" i="19"/>
  <c r="I7" i="19" s="1"/>
  <c r="A114" i="7"/>
  <c r="A115" i="7" s="1"/>
  <c r="A116" i="7" l="1"/>
  <c r="A117" i="7" s="1"/>
  <c r="A118" i="7" l="1"/>
  <c r="A121" i="7" s="1"/>
  <c r="A122" i="7" l="1"/>
  <c r="A123" i="7" s="1"/>
  <c r="A124" i="7" l="1"/>
  <c r="A127" i="7" l="1"/>
  <c r="A128" i="7" l="1"/>
  <c r="A129" i="7" l="1"/>
  <c r="A130" i="7" l="1"/>
  <c r="A131" i="7" s="1"/>
  <c r="A132" i="7" s="1"/>
  <c r="A133" i="7" s="1"/>
  <c r="A134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61" i="7" s="1"/>
</calcChain>
</file>

<file path=xl/comments1.xml><?xml version="1.0" encoding="utf-8"?>
<comments xmlns="http://schemas.openxmlformats.org/spreadsheetml/2006/main">
  <authors>
    <author>Marcelo Campos Silva</author>
    <author>Verônica Marin</author>
  </authors>
  <commentList>
    <comment ref="A3" authorId="0" shapeId="0">
      <text>
        <r>
          <rPr>
            <sz val="9"/>
            <color indexed="81"/>
            <rFont val="Tahoma"/>
            <family val="2"/>
          </rPr>
          <t>[%] Q15 - Limits the max vs voltage, this factor is correlated to the max pwm duty.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52" authorId="0" shapeId="0">
      <text>
        <r>
          <rPr>
            <sz val="9"/>
            <color indexed="81"/>
            <rFont val="Tahoma"/>
            <family val="2"/>
          </rPr>
          <t>this is not used by Class B nor there is no use to find the zero speed.</t>
        </r>
      </text>
    </comment>
    <comment ref="A14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15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9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Forced_Flux_Plateau_After_Ramp</t>
        </r>
      </text>
    </comment>
    <comment ref="A19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Min_Current_Build_Flux</t>
        </r>
      </text>
    </comment>
    <comment ref="A19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Higher than 100% means the forced flux will be higher than the minimum flux in the machine (w/o current), e.g. rotor fluxes
Forced_Flux_Ref_After_Build_Flux</t>
        </r>
      </text>
    </comment>
    <comment ref="A19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Build_Flux_Increment</t>
        </r>
      </text>
    </comment>
    <comment ref="A20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Debounce_Off_Running_Finished</t>
        </r>
      </text>
    </comment>
    <comment ref="A20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Time_All_Dev_Below_Min_Speed</t>
        </r>
      </text>
    </comment>
    <comment ref="A20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
</t>
        </r>
      </text>
    </comment>
    <comment ref="A20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20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22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2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3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timer_prescaler</t>
        </r>
      </text>
    </comment>
    <comment ref="A24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Temperature coefficient for temperature estimation in Celsius degree (copper 0.00383, aluminium 0.00403)</t>
        </r>
      </text>
    </comment>
    <comment ref="A25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section to hold speed reference parameters</t>
        </r>
      </text>
    </comment>
  </commentList>
</comments>
</file>

<file path=xl/comments2.xml><?xml version="1.0" encoding="utf-8"?>
<comments xmlns="http://schemas.openxmlformats.org/spreadsheetml/2006/main">
  <authors>
    <author>Marcelo Campos Silva</author>
    <author>Verônica Marin</author>
  </authors>
  <commentList>
    <comment ref="E2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 trapezoidal integration</t>
        </r>
      </text>
    </comment>
    <comment ref="E2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trapezoidal integration</t>
        </r>
      </text>
    </comment>
    <comment ref="E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7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8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RES_MEASURE_RATE_SPD_TRS_SPIN</t>
        </r>
      </text>
    </comment>
    <comment ref="B10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RES_RELOAD_MEAS_RATE_TIMER_AFTER_RESET</t>
        </r>
      </text>
    </comment>
    <comment ref="B10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RES_MEASURE_RATE_TSHD_RESET</t>
        </r>
      </text>
    </comment>
    <comment ref="B11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RES_RELOAD_MEAS_RATE_TIMER_NORMAL</t>
        </r>
      </text>
    </comment>
    <comment ref="B11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RES_MEASURE_RATE_TSHD_SPIN</t>
        </r>
      </text>
    </comment>
    <comment ref="B12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BASE_SPEED_RPM</t>
        </r>
      </text>
    </comment>
    <comment ref="B12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BASE_TORQ</t>
        </r>
      </text>
    </comment>
    <comment ref="B13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Manual_Injection is a parameter with the structure MCL_DQ_CTRL_PARAMS_TYPE, so the other variables on this structure had to be added to the excel</t>
        </r>
      </text>
    </comment>
    <comment ref="E13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</commentList>
</comments>
</file>

<file path=xl/comments3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4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5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sharedStrings.xml><?xml version="1.0" encoding="utf-8"?>
<sst xmlns="http://schemas.openxmlformats.org/spreadsheetml/2006/main" count="1987" uniqueCount="1011">
  <si>
    <t>Parameter</t>
  </si>
  <si>
    <t>Unit</t>
  </si>
  <si>
    <t>Typical Value</t>
  </si>
  <si>
    <t>Max</t>
  </si>
  <si>
    <t>Min</t>
  </si>
  <si>
    <t>This template is used for the requirements  of GESE implementation for motor control</t>
  </si>
  <si>
    <t>- GUI Form arrangement (number and name of GESE forms)</t>
  </si>
  <si>
    <t>- GESE parameters</t>
  </si>
  <si>
    <t>For every displacement, the requirements consist in:</t>
  </si>
  <si>
    <t>- GESE parameters to Data Structure conversion formula</t>
  </si>
  <si>
    <t>The xls file shall be attached in DNG requirement of the displacement</t>
  </si>
  <si>
    <t>NAME</t>
  </si>
  <si>
    <t xml:space="preserve">Put here the names of the GESE tables required by the displacement implementation  </t>
  </si>
  <si>
    <t>Form A</t>
  </si>
  <si>
    <t>Form B</t>
  </si>
  <si>
    <t>Form …</t>
  </si>
  <si>
    <t>Name</t>
  </si>
  <si>
    <t>Formula</t>
  </si>
  <si>
    <t>Max_Available_Voltage_Factor</t>
  </si>
  <si>
    <t>%</t>
  </si>
  <si>
    <t>Maximum available voltage factor</t>
  </si>
  <si>
    <t>Decimal</t>
  </si>
  <si>
    <t>Format</t>
  </si>
  <si>
    <t>Q15</t>
  </si>
  <si>
    <t>Q16</t>
  </si>
  <si>
    <t>Q30</t>
  </si>
  <si>
    <t>Q20</t>
  </si>
  <si>
    <t xml:space="preserve">Stator_Resistance            </t>
  </si>
  <si>
    <t xml:space="preserve">Stator_Resistance_Gain       </t>
  </si>
  <si>
    <t xml:space="preserve">Curr_Resistance_Threshold    </t>
  </si>
  <si>
    <t>Curr_Resistance_Spd_Threshold</t>
  </si>
  <si>
    <t xml:space="preserve">Rotor_Flux_Nominal           </t>
  </si>
  <si>
    <t>Observer_G_gain</t>
  </si>
  <si>
    <t xml:space="preserve">Emf_Int_Constant             </t>
  </si>
  <si>
    <t>Min_Flux_Zero_Speed</t>
  </si>
  <si>
    <t>Pole_Pairs</t>
  </si>
  <si>
    <t>Factor_DeltaTheta_to_Omega</t>
  </si>
  <si>
    <t xml:space="preserve">Starting_Threshold           </t>
  </si>
  <si>
    <t xml:space="preserve">PLL_Kp                       </t>
  </si>
  <si>
    <t xml:space="preserve">PLL_Ki                       </t>
  </si>
  <si>
    <t xml:space="preserve">integ_k                      </t>
  </si>
  <si>
    <t xml:space="preserve">omega_2pu                    </t>
  </si>
  <si>
    <t>Stator resistance</t>
  </si>
  <si>
    <t>Stator Resistance adaptation gain</t>
  </si>
  <si>
    <t>Current threshold to enable resistance adaptation</t>
  </si>
  <si>
    <t>Speed threshold to enable resistance adaptation</t>
  </si>
  <si>
    <t>Rotor magnets - nominal flux</t>
  </si>
  <si>
    <t>Observer G gain</t>
  </si>
  <si>
    <t>Stator flux integration constant</t>
  </si>
  <si>
    <t>Minimum flux for zero speed</t>
  </si>
  <si>
    <t>Pole pairs</t>
  </si>
  <si>
    <t>Factor to convert rotor flux rate to speed</t>
  </si>
  <si>
    <t>Starting time threshold</t>
  </si>
  <si>
    <t>Speed - PLL Proportional Kp gain</t>
  </si>
  <si>
    <t>Speed - PLL Proportional Ki gain</t>
  </si>
  <si>
    <t>Speed - PLL integration constant</t>
  </si>
  <si>
    <t>Speed - PLL convert flux rate to speed</t>
  </si>
  <si>
    <t>sint32</t>
  </si>
  <si>
    <t>uint8</t>
  </si>
  <si>
    <t>sint8</t>
  </si>
  <si>
    <t>sint16</t>
  </si>
  <si>
    <t>sint64</t>
  </si>
  <si>
    <t>uint16</t>
  </si>
  <si>
    <t>uint32</t>
  </si>
  <si>
    <t>uint64</t>
  </si>
  <si>
    <t>float32</t>
  </si>
  <si>
    <t>double64</t>
  </si>
  <si>
    <t>Variable size name</t>
  </si>
  <si>
    <t>Variable size (bits)</t>
  </si>
  <si>
    <t>NA</t>
  </si>
  <si>
    <t>Motor Control Block - Observer</t>
  </si>
  <si>
    <t>Motor Control Block - Input processing</t>
  </si>
  <si>
    <t>transtion_time[0]</t>
  </si>
  <si>
    <t>transtion_time[1]</t>
  </si>
  <si>
    <t>transtion_time[2]</t>
  </si>
  <si>
    <t>Motor Control Block - DQ Controller</t>
  </si>
  <si>
    <t>torque_kp[0]</t>
  </si>
  <si>
    <t>torque_ki[0]</t>
  </si>
  <si>
    <t>flux_kp[0]</t>
  </si>
  <si>
    <t>flux_ki[0]</t>
  </si>
  <si>
    <t>abs_speed[0]</t>
  </si>
  <si>
    <t>torque_kp[1]</t>
  </si>
  <si>
    <t>torque_ki[1]</t>
  </si>
  <si>
    <t>flux_kp[1]</t>
  </si>
  <si>
    <t>flux_ki[1]</t>
  </si>
  <si>
    <t>abs_speed[1]</t>
  </si>
  <si>
    <t>torque_kp[2]</t>
  </si>
  <si>
    <t>torque_ki[2]</t>
  </si>
  <si>
    <t>flux_kp[2]</t>
  </si>
  <si>
    <t>flux_ki[2]</t>
  </si>
  <si>
    <t>abs_speed[2]</t>
  </si>
  <si>
    <t>Force_Gains_Starting_Time</t>
  </si>
  <si>
    <t>Vd_Max</t>
  </si>
  <si>
    <t>Phase_Advance_Coeff</t>
  </si>
  <si>
    <t>Motor Control Block - DQ Reference generator</t>
  </si>
  <si>
    <t>Forced_Flux_Decrement</t>
  </si>
  <si>
    <t>Rotor_Lambda_M</t>
  </si>
  <si>
    <t>Max_Flux</t>
  </si>
  <si>
    <t>Starting_Threshold</t>
  </si>
  <si>
    <t>Max_Voltage_Factor</t>
  </si>
  <si>
    <t>Motor Control Block - RUNNING Algorithms</t>
  </si>
  <si>
    <t>Motor Control Block - Speed Reference generator</t>
  </si>
  <si>
    <t>SpeedRef_Speed_Factor</t>
  </si>
  <si>
    <t>SpeedRef_Accel_Factor</t>
  </si>
  <si>
    <t>Motor Control Block - Resistance Estimation Algorithm</t>
  </si>
  <si>
    <t>timeout_threshold</t>
  </si>
  <si>
    <t>current_level_1st</t>
  </si>
  <si>
    <t>current_level_2nd</t>
  </si>
  <si>
    <t>current_level_3rd</t>
  </si>
  <si>
    <t>time_1st_step</t>
  </si>
  <si>
    <t>time_2nd_step</t>
  </si>
  <si>
    <t>time_3rd_step</t>
  </si>
  <si>
    <t>delta_voltage_to_1st_step</t>
  </si>
  <si>
    <t>delta_voltage_to_2nd_step</t>
  </si>
  <si>
    <t>delta_voltage_to_3rd_step</t>
  </si>
  <si>
    <t>oscillation_check_timer</t>
  </si>
  <si>
    <t>min_number_of_samples</t>
  </si>
  <si>
    <t>nominal_resistance</t>
  </si>
  <si>
    <t>timeout_1st_plateau</t>
  </si>
  <si>
    <t>timeout_2nd_plateau</t>
  </si>
  <si>
    <t>oscillation_speed_threshold</t>
  </si>
  <si>
    <t>timer_to_reset_resistance</t>
  </si>
  <si>
    <t>timer_prescaler</t>
  </si>
  <si>
    <t>speed_threshold_to_estimate_resistance</t>
  </si>
  <si>
    <t>time_estimate_resistance_after_reset</t>
  </si>
  <si>
    <t>number_estimation_after_reset</t>
  </si>
  <si>
    <t>number_estimation_after_spin</t>
  </si>
  <si>
    <t>Motor Control Block - Base System</t>
  </si>
  <si>
    <t>Ld_Lut_Current[0]</t>
  </si>
  <si>
    <t>Ld_Lut_Current[1]</t>
  </si>
  <si>
    <t>Ld_Lut_Current[2]</t>
  </si>
  <si>
    <t>Ld_Lut_Current[3]</t>
  </si>
  <si>
    <t>Ld_Lut_Current[4]</t>
  </si>
  <si>
    <t>Ld_Lut_Current[5]</t>
  </si>
  <si>
    <t>Ld_Lut_Current[6]</t>
  </si>
  <si>
    <t>Ld_Lut_Current[7]</t>
  </si>
  <si>
    <t>Ld_Lut_Inductance[0]</t>
  </si>
  <si>
    <t>Ld_Lut_Inductance[1]</t>
  </si>
  <si>
    <t>Ld_Lut_Inductance[2]</t>
  </si>
  <si>
    <t>Ld_Lut_Inductance[3]</t>
  </si>
  <si>
    <t>Ld_Lut_Inductance[4]</t>
  </si>
  <si>
    <t>Ld_Lut_Inductance[5]</t>
  </si>
  <si>
    <t>Ld_Lut_Inductance[6]</t>
  </si>
  <si>
    <t>Ld_Lut_Inductance[7]</t>
  </si>
  <si>
    <t>Lq_Lut_Current[0]</t>
  </si>
  <si>
    <t>Lq_Lut_Current[1]</t>
  </si>
  <si>
    <t>Lq_Lut_Current[2]</t>
  </si>
  <si>
    <t>Lq_Lut_Current[3]</t>
  </si>
  <si>
    <t>Lq_Lut_Current[4]</t>
  </si>
  <si>
    <t>Lq_Lut_Current[5]</t>
  </si>
  <si>
    <t>Lq_Lut_Current[6]</t>
  </si>
  <si>
    <t>Lq_Lut_Current[7]</t>
  </si>
  <si>
    <t>Lq_Lut_Inductance[0]</t>
  </si>
  <si>
    <t>Lq_Lut_Inductance[1]</t>
  </si>
  <si>
    <t>Lq_Lut_Inductance[2]</t>
  </si>
  <si>
    <t>Lq_Lut_Inductance[3]</t>
  </si>
  <si>
    <t>Lq_Lut_Inductance[4]</t>
  </si>
  <si>
    <t>Lq_Lut_Inductance[5]</t>
  </si>
  <si>
    <t>Lq_Lut_Inductance[6]</t>
  </si>
  <si>
    <t>Lq_Lut_Inductance[7]</t>
  </si>
  <si>
    <t>Size bytes</t>
  </si>
  <si>
    <t>Type</t>
  </si>
  <si>
    <t>Settings file size [bytes]:</t>
  </si>
  <si>
    <t>Mcl Input Processing Call rate</t>
  </si>
  <si>
    <t>Index</t>
  </si>
  <si>
    <t>Hz</t>
  </si>
  <si>
    <t>Ohm</t>
  </si>
  <si>
    <t>A</t>
  </si>
  <si>
    <t>rpm</t>
  </si>
  <si>
    <t>Wb</t>
  </si>
  <si>
    <t>Ohm/Wb</t>
  </si>
  <si>
    <t>Wb/V</t>
  </si>
  <si>
    <t>V/Wb</t>
  </si>
  <si>
    <t>s</t>
  </si>
  <si>
    <t>= (Max_Available_Voltage_Factor/100)*32768</t>
  </si>
  <si>
    <t>Stator Resistance</t>
  </si>
  <si>
    <t>Input Processing Parameters</t>
  </si>
  <si>
    <t>Motor model parameters</t>
  </si>
  <si>
    <t>Hardware (inverter) configuration</t>
  </si>
  <si>
    <t>Per Unit (pu) Model - Base system</t>
  </si>
  <si>
    <t xml:space="preserve">Rotor flux </t>
  </si>
  <si>
    <t>Maximum electromagnetic torque</t>
  </si>
  <si>
    <t>Nm</t>
  </si>
  <si>
    <t>Maximum DC bus voltage</t>
  </si>
  <si>
    <t>Maximum peak phase current</t>
  </si>
  <si>
    <t>V</t>
  </si>
  <si>
    <t>Base DC Bus voltage</t>
  </si>
  <si>
    <t>Base voltage</t>
  </si>
  <si>
    <t>Base current</t>
  </si>
  <si>
    <t>Base angle</t>
  </si>
  <si>
    <t>Base radial</t>
  </si>
  <si>
    <t>Base Flux</t>
  </si>
  <si>
    <t>Base torque</t>
  </si>
  <si>
    <t>Base power</t>
  </si>
  <si>
    <t>Base inductance</t>
  </si>
  <si>
    <t>Base Impedance</t>
  </si>
  <si>
    <t>Base time</t>
  </si>
  <si>
    <t>rad</t>
  </si>
  <si>
    <t>degree</t>
  </si>
  <si>
    <t>mH</t>
  </si>
  <si>
    <t>Stator Direct Inductance (Ld)</t>
  </si>
  <si>
    <t>Stator Quadrature Inductance (Lq)</t>
  </si>
  <si>
    <t>Primary</t>
  </si>
  <si>
    <t>Secondary</t>
  </si>
  <si>
    <t>W</t>
  </si>
  <si>
    <t>rad/s</t>
  </si>
  <si>
    <t>Base omega</t>
  </si>
  <si>
    <t>Base speed</t>
  </si>
  <si>
    <t>Stator Inductance (Ls)</t>
  </si>
  <si>
    <t>Observer call rate (sampling time)</t>
  </si>
  <si>
    <t>Direct Inductance table[0]</t>
  </si>
  <si>
    <t>Direct Inductance table[1]</t>
  </si>
  <si>
    <t>Direct Inductance table[2]</t>
  </si>
  <si>
    <t>Direct Inductance table[3]</t>
  </si>
  <si>
    <t>Direct Inductance table[4]</t>
  </si>
  <si>
    <t>Direct Inductance table[5]</t>
  </si>
  <si>
    <t>Direct Inductance table[6]</t>
  </si>
  <si>
    <t>Direct Inductance table[7]</t>
  </si>
  <si>
    <t>Direct Current table[0]</t>
  </si>
  <si>
    <t>Direct Current table[1]</t>
  </si>
  <si>
    <t>Direct Current table[2]</t>
  </si>
  <si>
    <t>Direct Current table[3]</t>
  </si>
  <si>
    <t>Direct Current table[4]</t>
  </si>
  <si>
    <t>Direct Current table[5]</t>
  </si>
  <si>
    <t>Direct Current table[6]</t>
  </si>
  <si>
    <t>Direct Current table[7]</t>
  </si>
  <si>
    <t>Quadrature Inductance table[0]</t>
  </si>
  <si>
    <t>Quadrature Inductance table[1]</t>
  </si>
  <si>
    <t>Quadrature Inductance table[2]</t>
  </si>
  <si>
    <t>Quadrature Inductance table[3]</t>
  </si>
  <si>
    <t>Quadrature Inductance table[4]</t>
  </si>
  <si>
    <t>Quadrature Inductance table[5]</t>
  </si>
  <si>
    <t>Quadrature Inductance table[6]</t>
  </si>
  <si>
    <t>Quadrature Inductance table[7]</t>
  </si>
  <si>
    <t>Quadrature Current table[0]</t>
  </si>
  <si>
    <t>Quadrature Current table[1]</t>
  </si>
  <si>
    <t>Quadrature Current table[2]</t>
  </si>
  <si>
    <t>Quadrature Current table[3]</t>
  </si>
  <si>
    <t>Quadrature Current table[4]</t>
  </si>
  <si>
    <t>Quadrature Current table[5]</t>
  </si>
  <si>
    <t>Quadrature Current table[6]</t>
  </si>
  <si>
    <t>Quadrature Current table[7]</t>
  </si>
  <si>
    <t>rad/s/(Wb/s)</t>
  </si>
  <si>
    <t>Observer Parameters</t>
  </si>
  <si>
    <t>Speed Controller Parameters</t>
  </si>
  <si>
    <t>x</t>
  </si>
  <si>
    <t>Crossed  Inductance table[0]</t>
  </si>
  <si>
    <t>Crossed  Inductance table[1]</t>
  </si>
  <si>
    <t>Crossed  Inductance table[2]</t>
  </si>
  <si>
    <t>Crossed  Inductance table[3]</t>
  </si>
  <si>
    <t>Crossed  Inductance table[4]</t>
  </si>
  <si>
    <t>Crossed  Inductance table[5]</t>
  </si>
  <si>
    <t>Crossed  Inductance table[6]</t>
  </si>
  <si>
    <t>Crossed  Inductance table[7]</t>
  </si>
  <si>
    <t>Crossed  Current table[0]</t>
  </si>
  <si>
    <t>Crossed  Current table[1]</t>
  </si>
  <si>
    <t>Crossed  Current table[2]</t>
  </si>
  <si>
    <t>Crossed  Current table[3]</t>
  </si>
  <si>
    <t>Crossed  Current table[4]</t>
  </si>
  <si>
    <t>Crossed  Current table[5]</t>
  </si>
  <si>
    <t>Crossed  Current table[6]</t>
  </si>
  <si>
    <t>Crossed  Current table[7]</t>
  </si>
  <si>
    <t>Nm/rpm/s</t>
  </si>
  <si>
    <t>Nm/rpm</t>
  </si>
  <si>
    <t>Maximum cosine of load angle</t>
  </si>
  <si>
    <t>Load angle controller Kp</t>
  </si>
  <si>
    <t>Load angle controller Ki</t>
  </si>
  <si>
    <t>Time to force the use of default gains</t>
  </si>
  <si>
    <t>Maximum starting torque (speed controller output)</t>
  </si>
  <si>
    <t>Time to limit the starting torque</t>
  </si>
  <si>
    <t>Speed Kp - range[0]</t>
  </si>
  <si>
    <t>Speed Ki - range[0]</t>
  </si>
  <si>
    <t>Speed threshold - range[0]</t>
  </si>
  <si>
    <t>Speed gains time to switch - range [0]</t>
  </si>
  <si>
    <t>Speed Kp - range[1]</t>
  </si>
  <si>
    <t>Speed Ki - range[1]</t>
  </si>
  <si>
    <t>Speed threshold - range[1]</t>
  </si>
  <si>
    <t>Speed gains time to switch - range [1]</t>
  </si>
  <si>
    <t>Speed Kp - range[2]</t>
  </si>
  <si>
    <t>Speed Ki - range[2]</t>
  </si>
  <si>
    <t>Speed threshold - range[2]</t>
  </si>
  <si>
    <t>Speed gains time to switch - range [2]</t>
  </si>
  <si>
    <t>Speed Kp - range[3]</t>
  </si>
  <si>
    <t>Speed Ki - range[3]</t>
  </si>
  <si>
    <t>Speed threshold - range[3]</t>
  </si>
  <si>
    <t>Speed gains time to switch - range [3]</t>
  </si>
  <si>
    <t>Speed Kp - range[4]</t>
  </si>
  <si>
    <t>Speed Ki - range[4]</t>
  </si>
  <si>
    <t>Speed threshold - range[4]</t>
  </si>
  <si>
    <t>Speed gains time to switch - range [4]</t>
  </si>
  <si>
    <t>Braking current</t>
  </si>
  <si>
    <t>Maximum direct voltage</t>
  </si>
  <si>
    <t>Starting time to force gains</t>
  </si>
  <si>
    <t>Phase advance coefficient</t>
  </si>
  <si>
    <t>Starting time</t>
  </si>
  <si>
    <t>Maximum designed flux</t>
  </si>
  <si>
    <t>Overflux decrement (starting)</t>
  </si>
  <si>
    <t>Maximum voltage factor (high speed - MTPV)</t>
  </si>
  <si>
    <t>Torque controller Kp - region [0]</t>
  </si>
  <si>
    <t>Torque controller Ki - region [0]</t>
  </si>
  <si>
    <t>Flux controller Kp - region [0]</t>
  </si>
  <si>
    <t>Flux controller Ki - region [0]</t>
  </si>
  <si>
    <t>Absolute speed threshold range - region[0]</t>
  </si>
  <si>
    <t>Time  to switch gains - region[0]</t>
  </si>
  <si>
    <t>Torque controller Kp - region [1]</t>
  </si>
  <si>
    <t>Torque controller Ki - region [1]</t>
  </si>
  <si>
    <t>Flux controller Kp - region [1]</t>
  </si>
  <si>
    <t>Flux controller Ki - region [1]</t>
  </si>
  <si>
    <t>Absolute speed threshold range - region[1]</t>
  </si>
  <si>
    <t>Time  to switch gains - region[1]</t>
  </si>
  <si>
    <t>Torque controller Kp - region [2]</t>
  </si>
  <si>
    <t>Torque controller Ki - region [2]</t>
  </si>
  <si>
    <t>Flux controller Kp - region [2]</t>
  </si>
  <si>
    <t>Flux controller Ki - region [2]</t>
  </si>
  <si>
    <t>Absolute speed threshold range - region[2]</t>
  </si>
  <si>
    <t>Time  to switch gains - region[2]</t>
  </si>
  <si>
    <t>V/A</t>
  </si>
  <si>
    <t>Speed threshold to disable compensation (applied 5% hysteresis)</t>
  </si>
  <si>
    <t>DQ Reference Generator Controller Parameters</t>
  </si>
  <si>
    <t>DQ Controllers Parameters</t>
  </si>
  <si>
    <t>Pwm Parameters</t>
  </si>
  <si>
    <t>Starting (build flux) algoritm</t>
  </si>
  <si>
    <t>Delay time to keep the flux after ramp</t>
  </si>
  <si>
    <t>Minimum current to build flux</t>
  </si>
  <si>
    <t>Forced flux reference after build flux</t>
  </si>
  <si>
    <t>Increment of flux to build the flux</t>
  </si>
  <si>
    <t>Running algorithm</t>
  </si>
  <si>
    <t>Minimum speed (guard condition) to enter stopping</t>
  </si>
  <si>
    <t>Minimum speed to switch off all IGBTs</t>
  </si>
  <si>
    <t>Debouncer of running finished check</t>
  </si>
  <si>
    <t>Time to set all devices off below minimum speed</t>
  </si>
  <si>
    <t>Manual injection</t>
  </si>
  <si>
    <t>V/A/s</t>
  </si>
  <si>
    <t>Resistance estimation algorithm</t>
  </si>
  <si>
    <t>Estimation timeout</t>
  </si>
  <si>
    <t>Current level - 1st plateau</t>
  </si>
  <si>
    <t>Current level - 2nd plateau</t>
  </si>
  <si>
    <t>Current level - 3rd plateau</t>
  </si>
  <si>
    <t>Time of 1st plateau</t>
  </si>
  <si>
    <t>Time of 2nd plateau</t>
  </si>
  <si>
    <t>Time of 3rd plateau</t>
  </si>
  <si>
    <t>Voltage step for 1st plateau</t>
  </si>
  <si>
    <t>Voltage step for 2nd plateau</t>
  </si>
  <si>
    <t>Voltage step for 3nd plateau</t>
  </si>
  <si>
    <t>Oscillation check timer</t>
  </si>
  <si>
    <t>Minimum numer of samples to average</t>
  </si>
  <si>
    <t>Nominal resistance</t>
  </si>
  <si>
    <t>Timeout 1st plateau</t>
  </si>
  <si>
    <t>Timeout 2nd plateau</t>
  </si>
  <si>
    <t>Oscillation speed threshold</t>
  </si>
  <si>
    <t>Temperature coefficient</t>
  </si>
  <si>
    <t>degC/Ohm</t>
  </si>
  <si>
    <t>Base temperature coefficient</t>
  </si>
  <si>
    <t>Base temperature</t>
  </si>
  <si>
    <t>degC</t>
  </si>
  <si>
    <t>=OBSERVER_SPEED_PLL_KP</t>
  </si>
  <si>
    <t>=0.5*OBSERVER_TS</t>
  </si>
  <si>
    <t>=(32768 / (BASE_SPEED_RPM * POLE_PAIRS * 2 * PI() / 60))</t>
  </si>
  <si>
    <t>Speed controller post scaler</t>
  </si>
  <si>
    <t>DQ Controllers call rate (sampling time)</t>
  </si>
  <si>
    <t>Motor Control Block - starting (build flux) algorithm</t>
  </si>
  <si>
    <t>Build_Flux.Forced_Flux_Ref_After_Build_Flux</t>
  </si>
  <si>
    <t>Build_Flux.Forced_Flux_Plateau_After_Ramp</t>
  </si>
  <si>
    <t>Build_Flux.Min_Current_Build_Flux</t>
  </si>
  <si>
    <t>Build_Flux.Build_Flux_Increment</t>
  </si>
  <si>
    <t>Running.Min_Speed_Before_All_Devices_Off</t>
  </si>
  <si>
    <t>Running.Min_Speed_Before_Stopping</t>
  </si>
  <si>
    <t>Running.Debounce_Off_Running_Finished</t>
  </si>
  <si>
    <t>Running.Time_All_Dev_Below_Min_Speed</t>
  </si>
  <si>
    <t>Build flux starting algorithm</t>
  </si>
  <si>
    <t>ResTempCalc.RsBaseTemp</t>
  </si>
  <si>
    <t>ResTempCalc.Temp_Coeff</t>
  </si>
  <si>
    <t>ResTempCalc.Base_Temp_Coeff</t>
  </si>
  <si>
    <t>ResTempCalc.Base_Temp</t>
  </si>
  <si>
    <t>Time to reset resistance (declare resistance as outdated)</t>
  </si>
  <si>
    <t>Resistance estimation call rate (sampling time)</t>
  </si>
  <si>
    <t>Resistance estimation handler rate (sampling time)</t>
  </si>
  <si>
    <t>Phase resistance calibrated at temperature</t>
  </si>
  <si>
    <t>=BASE_SPEED_RPM</t>
  </si>
  <si>
    <t>=BASE_RADIAL</t>
  </si>
  <si>
    <t xml:space="preserve">Torque base </t>
  </si>
  <si>
    <t>Speed base</t>
  </si>
  <si>
    <t>Radial base</t>
  </si>
  <si>
    <t>=BASE_TORQ</t>
  </si>
  <si>
    <t>=BASE_VOLTAGE_BUS</t>
  </si>
  <si>
    <t>Phase current base</t>
  </si>
  <si>
    <t>DC bus voltage base</t>
  </si>
  <si>
    <t>=BASE_CURRENT</t>
  </si>
  <si>
    <t>Spin speed to trigger resistance on next start up</t>
  </si>
  <si>
    <t>Time between measurement after reset</t>
  </si>
  <si>
    <t>Number of estimation after reset</t>
  </si>
  <si>
    <t>min</t>
  </si>
  <si>
    <t>Time between measurement under normal operation</t>
  </si>
  <si>
    <t>Number of estimation in a row after spin</t>
  </si>
  <si>
    <t>d current (Flux) controller Kp</t>
  </si>
  <si>
    <t>d current (Flux) controller Ki</t>
  </si>
  <si>
    <t>q current (Torque) controller Kp</t>
  </si>
  <si>
    <t>q current (Torque) controller Ki</t>
  </si>
  <si>
    <t>Motor Control Block - Manual control of inverter outputs</t>
  </si>
  <si>
    <t>Manual_Injection.gains[0].torque_kp</t>
  </si>
  <si>
    <t>Manual_Injection.gains[0].torque_ki</t>
  </si>
  <si>
    <t>Manual_Injection.gains[0].flux_kp</t>
  </si>
  <si>
    <t>Manual_Injection.gains[0].flux_Ki</t>
  </si>
  <si>
    <t>Manual_Injection.Vd_Max</t>
  </si>
  <si>
    <t>Current controller call rate</t>
  </si>
  <si>
    <t>=(( (32768 * STATOR_RESISTANCE)/BASE_Z))</t>
  </si>
  <si>
    <t>=( ((OBSERVER_G_INTEG_GAIN * BASE_Z * OBSERVER_TS * (2^30)) / BASE_FLUX))</t>
  </si>
  <si>
    <t>=((OBS_RESIS_ADAPT_CURRENT_THRES * 32768 / BASE_CURRENT))</t>
  </si>
  <si>
    <t>=((OBS_RESIS_ADAPT_SPEED_THRES * 32768 / BASE_SPEED_RPM))</t>
  </si>
  <si>
    <t>=(((ROTOR_LAMBDAM * 32768)/BASE_FLUX))</t>
  </si>
  <si>
    <t>=(((OBSERVER_G_GAIN * BASE_FLUX * 32768) / BASE_VOLTAGE))</t>
  </si>
  <si>
    <t>=(((0.5 * BASE_VOLTAGE * OBSERVER_TS * (2^30)) / BASE_FLUX))</t>
  </si>
  <si>
    <t>=(((OBSERVER_MIN_FLUX_ZERO_SPEED * 32768)/BASE_FLUX))</t>
  </si>
  <si>
    <t>=(POLE_PAIRS)</t>
  </si>
  <si>
    <t>=((  (1/OBSERVER_TS) * (2^15))/BASE_OMEGA)</t>
  </si>
  <si>
    <t>=OBSERVER_SPEED_PLL_KI * (0.5*OBSERVER_TS)</t>
  </si>
  <si>
    <t>=( (DIRECT_CURR_POS_0 * 32768)/BASE_CURRENT)</t>
  </si>
  <si>
    <t>=( (DIRECT_CURR_POS_1 * 32768)/BASE_CURRENT)</t>
  </si>
  <si>
    <t>=( (DIRECT_CURR_POS_2 * 32768)/BASE_CURRENT)</t>
  </si>
  <si>
    <t>=( (DIRECT_CURR_POS_3 * 32768)/BASE_CURRENT)</t>
  </si>
  <si>
    <t>=( (DIRECT_CURR_POS_4 * 32768)/BASE_CURRENT)</t>
  </si>
  <si>
    <t>=( (DIRECT_CURR_POS_5 * 32768)/BASE_CURRENT)</t>
  </si>
  <si>
    <t>=( (DIRECT_CURR_POS_6 * 32768)/BASE_CURRENT)</t>
  </si>
  <si>
    <t>=( (DIRECT_CURR_POS_7 * 32768)/BASE_CURRENT)</t>
  </si>
  <si>
    <t>=( (DIRECT_IND_POS_0 * 32768)/BASE_IND)</t>
  </si>
  <si>
    <t>=( (DIRECT_IND_POS_1 * 32768)/BASE_IND)</t>
  </si>
  <si>
    <t>=( (DIRECT_IND_POS_2 * 32768)/BASE_IND)</t>
  </si>
  <si>
    <t>=( (DIRECT_IND_POS_3 * 32768)/BASE_IND)</t>
  </si>
  <si>
    <t>=( (DIRECT_IND_POS_4 * 32768)/BASE_IND)</t>
  </si>
  <si>
    <t>=( (DIRECT_IND_POS_5 * 32768)/BASE_IND)</t>
  </si>
  <si>
    <t>=( (DIRECT_IND_POS_6 * 32768)/BASE_IND)</t>
  </si>
  <si>
    <t>=( (DIRECT_IND_POS_7 * 32768)/BASE_IND)</t>
  </si>
  <si>
    <t>=( (QUAD_CURR_POS_0 * 32768)/BASE_CURRENT)</t>
  </si>
  <si>
    <t>=( (QUAD_CURR_POS_1 * 32768)/BASE_CURRENT)</t>
  </si>
  <si>
    <t>=( (QUAD_CURR_POS_2 * 32768)/BASE_CURRENT)</t>
  </si>
  <si>
    <t>=( (QUAD_CURR_POS_3 * 32768)/BASE_CURRENT)</t>
  </si>
  <si>
    <t>=( (QUAD_CURR_POS_4 * 32768)/BASE_CURRENT)</t>
  </si>
  <si>
    <t>=( (QUAD_CURR_POS_5 * 32768)/BASE_CURRENT)</t>
  </si>
  <si>
    <t>=( (QUAD_CURR_POS_6 * 32768)/BASE_CURRENT)</t>
  </si>
  <si>
    <t>=( (QUAD_CURR_POS_7 * 32768)/BASE_CURRENT)</t>
  </si>
  <si>
    <t>=( (QUAD_IND_POS_0 * 32768)/BASE_IND)</t>
  </si>
  <si>
    <t>=( (QUAD_IND_POS_1 * 32768)/BASE_IND)</t>
  </si>
  <si>
    <t>=( (QUAD_IND_POS_2 * 32768)/BASE_IND)</t>
  </si>
  <si>
    <t>=( (QUAD_IND_POS_3 * 32768)/BASE_IND)</t>
  </si>
  <si>
    <t>=( (QUAD_IND_POS_4 * 32768)/BASE_IND)</t>
  </si>
  <si>
    <t>=( (QUAD_IND_POS_5 * 32768)/BASE_IND)</t>
  </si>
  <si>
    <t>=( (QUAD_IND_POS_6 * 32768)/BASE_IND)</t>
  </si>
  <si>
    <t>=( (QUAD_IND_POS_7 * 32768)/BASE_IND)</t>
  </si>
  <si>
    <t>=(((DQ_TORQUE_KP_REGION_0 * BASE_TORQ * (2^15)) / BASE_VOLTAGE))</t>
  </si>
  <si>
    <t>=(((DQ_TORQUE_KI_REGION_0 * BASE_TORQ * OBSERVER_TS * (2^15)) / BASE_VOLTAGE))</t>
  </si>
  <si>
    <t>=(((DQ_FLUX_KP_REGION_0 * BASE_FLUX * (2^15)) / BASE_VOLTAGE))</t>
  </si>
  <si>
    <t>=(((DQ_FLUX_KI_REGION_0  * BASE_FLUX * OBSERVER_TS * (2^15)) / BASE_VOLTAGE))</t>
  </si>
  <si>
    <t>=((DQ_SPEED_THRESHOLD_REGION_0 * (32768/BASE_SPEED_RPM)))</t>
  </si>
  <si>
    <t>=(DQ_GAINS_SWTICHING_TIME_REGION_0/0.025)</t>
  </si>
  <si>
    <t>=(((DQ_TORQUE_KP_REGION_1 * BASE_TORQ * (2^15)) / BASE_VOLTAGE))</t>
  </si>
  <si>
    <t>=(((DQ_TORQUE_KI_REGION_1 * BASE_TORQ * OBSERVER_TS * (2^15)) / BASE_VOLTAGE))</t>
  </si>
  <si>
    <t>=(((DQ_FLUX_KP_REGION_1 * BASE_FLUX * (2^15)) / BASE_VOLTAGE))</t>
  </si>
  <si>
    <t>=(((DQ_FLUX_KI_REGION_1  * BASE_FLUX * OBSERVER_TS * (2^15)) / BASE_VOLTAGE))</t>
  </si>
  <si>
    <t>=((DQ_SPEED_THRESHOLD_REGION_1 * (32768/BASE_SPEED_RPM)))</t>
  </si>
  <si>
    <t>=(DQ_GAINS_SWTICHING_TIME_REGION_1/0.025)</t>
  </si>
  <si>
    <t>=(((DQ_TORQUE_KP_REGION_2 * BASE_TORQ * (2^15)) / BASE_VOLTAGE))</t>
  </si>
  <si>
    <t>=(((DQ_TORQUE_KI_REGION_2 * BASE_TORQ * OBSERVER_TS * (2^15)) / BASE_VOLTAGE))</t>
  </si>
  <si>
    <t>=(((DQ_FLUX_KP_REGION_2 * BASE_FLUX * (2^15)) / BASE_VOLTAGE))</t>
  </si>
  <si>
    <t>=(((DQ_FLUX_KI_REGION_2  * BASE_FLUX * OBSERVER_TS * (2^15)) / BASE_VOLTAGE))</t>
  </si>
  <si>
    <t>=((DQ_SPEED_THRESHOLD_REGION_2 * (32768/BASE_SPEED_RPM)))</t>
  </si>
  <si>
    <t>=(DQ_GAINS_SWTICHING_TIME_REGION_2/0.025)</t>
  </si>
  <si>
    <t>=(DQ_CONTROLLER_MAX_FLUX/100*32768)</t>
  </si>
  <si>
    <t>=(DQ_CONTROLLER_OVER_FLUX_DECREMENT/BASE_FLUX*32768)</t>
  </si>
  <si>
    <t>=(DQ_CONTROLLER_MAX_INPUT_VOLT_FACTOR/100*32768)</t>
  </si>
  <si>
    <t>=(((ALGO_RUNNING_MIN_SPEED_2_IGBTS_OFF * 32768)/BASE_SPEED_RPM))</t>
  </si>
  <si>
    <t>=(((ALGO_RUNNING_MIN_SPEED_BEFORE_STOPPING * 32768)/BASE_SPEED_RPM))</t>
  </si>
  <si>
    <t>=(ALGO_RUNNING_DEBOUNCER_2_IGBTS_OFF)</t>
  </si>
  <si>
    <t>=(ALGO_RUNNING_TIME_IGBTS_OFF_BELOW_MIN_SPEED/0.025)</t>
  </si>
  <si>
    <t>=(ALGO_BUILD_FLUX_STARTING_TIME/ALGO_BUILD_FLUX_TS)</t>
  </si>
  <si>
    <t>=((ALGO_BUILD_FLUX_MIN_CURRENT * (32768/BASE_CURRENT)))</t>
  </si>
  <si>
    <t>=(((ALGO_BUILD_FLUX_RATIO_2_FORCE_FLUX/100)*ROTOR_LAMBDAM)*(32768/BASE_FLUX))</t>
  </si>
  <si>
    <t>=(ALGO_BUILD_FLUX_INCREMENT/BASE_FLUX*32768)</t>
  </si>
  <si>
    <t>=((ALGO_RES_EST_TIMEOUT_THRESHOLD * (1/ALGO_RES_EST_TS)))</t>
  </si>
  <si>
    <t>=((ALGO_RES_EST_CURR_1ST_PLATEAU/BASE_CURRENT)*32768)</t>
  </si>
  <si>
    <t>=((ALGO_RES_EST_CURR_2ND_PLATEAU/BASE_CURRENT)*32768)</t>
  </si>
  <si>
    <t>=((ALGO_RES_EST_CURR_3RD_PLATEAU/BASE_CURRENT)*32768)</t>
  </si>
  <si>
    <t>=(ALGO_RES_EST_1ST_PLATEAU_TIME/ALGO_RES_EST_TS)</t>
  </si>
  <si>
    <t>=(ALGO_RES_EST_2ND_PLATEAU_TIME/ALGO_RES_EST_TS)</t>
  </si>
  <si>
    <t>=(ALGO_RES_EST_3RD_PLATEAU_TIME/ALGO_RES_EST_TS)</t>
  </si>
  <si>
    <t>=((ALGO_RES_EST_VOLTAGE_STEP_1ST_PLATEAU/BASE_VOLTAGE)*32768)</t>
  </si>
  <si>
    <t>=((ALGO_RES_EST_VOLTAGE_STEP_2ND_PLATEAU/BASE_VOLTAGE)*32768)</t>
  </si>
  <si>
    <t>=((ALGO_RES_EST_VOLTAGE_STEP_3RD_PLATEAU/BASE_VOLTAGE)*32768)</t>
  </si>
  <si>
    <t>=(ALGO_RES_EST_OSCILLATION_CHECK_TIME/ALGO_RES_EST_TS)</t>
  </si>
  <si>
    <t>=(ALGO_RES_EST_NUMBER_OF_SAMPLES)</t>
  </si>
  <si>
    <t>=((ALGO_RES_EST_STATOR_RESISTANCE/BASE_Z)*32768)</t>
  </si>
  <si>
    <t>=(((4 - ALGO_RES_EST_TIMEOUT_1ST_PLATEAU) / ALGO_RES_EST_TS))</t>
  </si>
  <si>
    <t>=(((4 - ALGO_RES_EST_TIMEOUT_2ND_PLATEAU) / ALGO_RES_EST_TS))</t>
  </si>
  <si>
    <t>=((ALGO_RES_EST_OSCILLATION_SPEED_THRESHOLD/BASE_SPEED_RPM)*32768)</t>
  </si>
  <si>
    <t>=((4 / ALGO_RES_EST_TS))</t>
  </si>
  <si>
    <t>=(ALGO_RES_EST_TS/ALGO_RES_EST_HANDLER_TS)-1</t>
  </si>
  <si>
    <t>=((ALGO_RES_EST_TIME_BETWEEN_MEAS_AFTER_RESET*60)/0.025)</t>
  </si>
  <si>
    <t>=(ALGO_RES_EST_NR_OF_ESTIMATION_AFTER_RESET)</t>
  </si>
  <si>
    <t>=((ALGO_RES_EST_TIME_BETWEEN_MEAS_NORMAL_OPERATION*60)/0.025)</t>
  </si>
  <si>
    <t>=(ALGO_RES_EST_NR_OF_ESTIMATION_IN_ROW_AFTER_SPIN)</t>
  </si>
  <si>
    <t>=((32768*ALGO_RES_EST_RS_FROM_BASE_TEMP)/BASE_Z)</t>
  </si>
  <si>
    <t>=((ALGO_RES_EST_TEMP_COEFF * 32768) / ALGO_RES_EST_BASE_TEMP_COEFF)</t>
  </si>
  <si>
    <t>=(ALGO_RES_EST_BASE_TEMP_COEFF)</t>
  </si>
  <si>
    <t>=(ALGO_RES_EST_BASE_TEMP)</t>
  </si>
  <si>
    <t>=((2^25)/BASE_SPEED_RPM)</t>
  </si>
  <si>
    <t>=((2^25)/BASE_SPEED_RPM*OBSERVER_TS)</t>
  </si>
  <si>
    <t>=(D_CURR_CONTROL_KP/BASE_VOLTAGE*BASE_CURRENT)</t>
  </si>
  <si>
    <t>=(D_CURR_CONTROL_KI/BASE_VOLTAGE*BASE_CURRENT/DQ_CURRENT_CONTROL_TS)</t>
  </si>
  <si>
    <t>=(Q_CURR_CONTROL_KP/BASE_VOLTAGE*BASE_CURRENT)</t>
  </si>
  <si>
    <t>=(Q_CURR_CONTROL_KI/BASE_VOLTAGE*BASE_CURRENT/DQ_CURRENT_CONTROL_TS)</t>
  </si>
  <si>
    <t>32 bit (HEXA)</t>
  </si>
  <si>
    <t>Parameters to Settings File- Displacement Motor Params (DTC Variant)</t>
  </si>
  <si>
    <t>Parameters to Settings File- Displacement Motor LUTs</t>
  </si>
  <si>
    <t>Motor LUTs</t>
  </si>
  <si>
    <t>Motor Control Block - Speed Controller</t>
  </si>
  <si>
    <t xml:space="preserve">Max_Squared_Inv_Current </t>
  </si>
  <si>
    <t>=(((MAX_PHASE_CURR*MAX_PHASE_CURR  * 32768* 32768)/(BASE_CURRENT * BASE_CURRENT)))</t>
  </si>
  <si>
    <t xml:space="preserve">Max_Design_Motor_Torque </t>
  </si>
  <si>
    <t>=((TE_MAX * 32768)/BASE_TORQ)</t>
  </si>
  <si>
    <t xml:space="preserve">Max_Starting_Torque     </t>
  </si>
  <si>
    <t>=((FORCE_MAX_STARTING_TORQUE * (32768/BASE_TORQ)))</t>
  </si>
  <si>
    <t>Max_Starting_Torque_Time</t>
  </si>
  <si>
    <t>Rotor_Flux_Nominal</t>
  </si>
  <si>
    <t>Max_Nominal_Flux</t>
  </si>
  <si>
    <t>=(((((STATOR_INDUCTANCE_D/1000)*MAX_PHASE_CURR + ROTOR_LAMBDAM)/BASE_FLUX)*32768))</t>
  </si>
  <si>
    <t xml:space="preserve">Ld                      </t>
  </si>
  <si>
    <t>=(((STATOR_INDUCTANCE_D * 32768)/BASE_IND))</t>
  </si>
  <si>
    <t xml:space="preserve">Gain_Kp                 </t>
  </si>
  <si>
    <t>=(((SPEED_KP_REGION_0 * BASE_SPEED_RPM * (2^15)) / BASE_TORQ))</t>
  </si>
  <si>
    <t xml:space="preserve">Gain_Ki                 </t>
  </si>
  <si>
    <t>=(((SPEED_KI_REGION_0 * BASE_SPEED_RPM * OBSERVER_TS * (2^20)) / BASE_TORQ))</t>
  </si>
  <si>
    <t>Force_Default_Gains_Time</t>
  </si>
  <si>
    <t>load_angle.Max_Cos</t>
  </si>
  <si>
    <t>=((LOAD_ANGLE_COS_MAX * 32768))</t>
  </si>
  <si>
    <t>load_angle.Kp</t>
  </si>
  <si>
    <t>=(((LOAD_ANGLE_KP * (2^15)) / BASE_TORQ))</t>
  </si>
  <si>
    <t>load_angle.Ki</t>
  </si>
  <si>
    <t>=(((LOAD_ANGLE_KI * OBSERVER_TS * (2^15)) / BASE_TORQ))</t>
  </si>
  <si>
    <t>Controller_Post_Scaler</t>
  </si>
  <si>
    <t>=(SPEED_CONTROLLER_POSTSCALER)</t>
  </si>
  <si>
    <t>speed_gains_table[0].kp</t>
  </si>
  <si>
    <t>speed_gains_table[0].ki</t>
  </si>
  <si>
    <t>speed_gains_table[0].speed_abs</t>
  </si>
  <si>
    <t>=((SPEED_THRESHOLD_REGION_0 * (32768/BASE_SPEED_RPM)))</t>
  </si>
  <si>
    <t>speed_gains_table[0].transtion_time</t>
  </si>
  <si>
    <t>=(SPEED_TIME_TO_SWITCH_REGION_0/0.025)</t>
  </si>
  <si>
    <t>speed_gains_table[1].kp</t>
  </si>
  <si>
    <t>=(((SPEED_KP_REGION_1 * BASE_SPEED_RPM * (2^15)) / BASE_TORQ))</t>
  </si>
  <si>
    <t>speed_gains_table[1].ki</t>
  </si>
  <si>
    <t>=(((SPEED_KI_REGION_1 * BASE_SPEED_RPM * OBSERVER_TS * (2^20)) / BASE_TORQ))</t>
  </si>
  <si>
    <t>speed_gains_table[1].speed_abs</t>
  </si>
  <si>
    <t>=((SPEED_THRESHOLD_REGION_1 * (32768/BASE_SPEED_RPM)))</t>
  </si>
  <si>
    <t>speed_gains_table[1].transtion_time</t>
  </si>
  <si>
    <t>=(SPEED_TIME_TO_SWITCH_REGION_1/0.025)</t>
  </si>
  <si>
    <t>speed_gains_table[2].kp</t>
  </si>
  <si>
    <t>=(((SPEED_KP_REGION_2 * BASE_SPEED_RPM * (2^15)) / BASE_TORQ))</t>
  </si>
  <si>
    <t>speed_gains_table[2].ki</t>
  </si>
  <si>
    <t>=(((SPEED_KI_REGION_2 * BASE_SPEED_RPM * OBSERVER_TS * (2^20)) / BASE_TORQ))</t>
  </si>
  <si>
    <t>speed_gains_table[2].speed_abs</t>
  </si>
  <si>
    <t>=((SPEED_THRESHOLD_REGION_2 * (32768/BASE_SPEED_RPM)))</t>
  </si>
  <si>
    <t>speed_gains_table[2].transtion_time</t>
  </si>
  <si>
    <t>=(SPEED_TIME_TO_SWITCH_REGION_2/0.025)</t>
  </si>
  <si>
    <t>speed_gains_table[3].kp</t>
  </si>
  <si>
    <t>=(((SPEED_KP_REGION_3 * BASE_SPEED_RPM * (2^15)) / BASE_TORQ))</t>
  </si>
  <si>
    <t>speed_gains_table[3].ki</t>
  </si>
  <si>
    <t>=(((SPEED_KI_REGION_3 * BASE_SPEED_RPM * OBSERVER_TS * (2^20)) / BASE_TORQ))</t>
  </si>
  <si>
    <t>speed_gains_table[3].speed_abs</t>
  </si>
  <si>
    <t>=((SPEED_THRESHOLD_REGION_3 * (32768/BASE_SPEED_RPM)))</t>
  </si>
  <si>
    <t>speed_gains_table[3].transtion_time</t>
  </si>
  <si>
    <t>=(SPEED_TIME_TO_SWITCH_REGION_3/0.025)</t>
  </si>
  <si>
    <t>speed_gains_table[4].kp</t>
  </si>
  <si>
    <t>=(((SPEED_KP_REGION_4 * BASE_SPEED_RPM * (2^15)) / BASE_TORQ))</t>
  </si>
  <si>
    <t>speed_gains_table[4].ki</t>
  </si>
  <si>
    <t>=(((SPEED_KI_REGION_4 * BASE_SPEED_RPM * OBSERVER_TS * (2^20)) / BASE_TORQ))</t>
  </si>
  <si>
    <t>speed_gains_table[4].speed_abs</t>
  </si>
  <si>
    <t>=((SPEED_THRESHOLD_REGION_4 * (32768/BASE_SPEED_RPM)))</t>
  </si>
  <si>
    <t>speed_gains_table[4].transtion_time</t>
  </si>
  <si>
    <t>=(SPEED_TIME_TO_SWITCH_REGION_4/0.025)</t>
  </si>
  <si>
    <t>Short_Circuit_Current</t>
  </si>
  <si>
    <t>=((ROTOR_LAMBDAM * 1000 * 32768 / (BASE_CURRENT * LS_INDUCTANCE)))</t>
  </si>
  <si>
    <t xml:space="preserve">Braking_Current     </t>
  </si>
  <si>
    <t>=((BRAKING_CURRENT_AT_LOW_SPEED * 32768 / BASE_CURRENT))</t>
  </si>
  <si>
    <t xml:space="preserve">Inductance_Ls       </t>
  </si>
  <si>
    <t>=(((LS_INDUCTANCE * 32768) / BASE_IND))</t>
  </si>
  <si>
    <t>delta_speed_rpm_2pu</t>
  </si>
  <si>
    <t>=(32768 / (BASE_SPEED_RPM))</t>
  </si>
  <si>
    <t>Parameters to Settings File- Displacement Speed Controller</t>
  </si>
  <si>
    <t>Motor Control Block - PWM Modulator</t>
  </si>
  <si>
    <t>Speed_Threshold_InvComp</t>
  </si>
  <si>
    <t>=((PWM_SPEED_THRESHOLD_PWM_COMP * (32768/BASE_SPEED_RPM)))</t>
  </si>
  <si>
    <t>Version</t>
  </si>
  <si>
    <t>Parameters to Settings File- Displacement Variant\Version</t>
  </si>
  <si>
    <t>Variant</t>
  </si>
  <si>
    <t>Value</t>
  </si>
  <si>
    <t>-</t>
  </si>
  <si>
    <t>GUI</t>
  </si>
  <si>
    <t>MOTOR &amp; BOARD</t>
  </si>
  <si>
    <t>OBSERVER</t>
  </si>
  <si>
    <t>SPEED CTRL</t>
  </si>
  <si>
    <t>DQ REF CNTRL</t>
  </si>
  <si>
    <t>PWM</t>
  </si>
  <si>
    <t>OTHER</t>
  </si>
  <si>
    <t>RESISTANCE EST.</t>
  </si>
  <si>
    <t>32 bit (DECIMAL)</t>
  </si>
  <si>
    <t>=0</t>
  </si>
  <si>
    <t>SpeedRef_Default_Accel</t>
  </si>
  <si>
    <t>SpeedRef_Min_Speed_Default_Accel</t>
  </si>
  <si>
    <t>RotorFlux</t>
  </si>
  <si>
    <t>=(ALGO_RES_EST_SPEED_TO_MEAS_AGAIN)</t>
  </si>
  <si>
    <t>time_estimate_resistance_normal</t>
  </si>
  <si>
    <t>Flux_Ref_Scale_Time</t>
  </si>
  <si>
    <t>=((1/OBSERVER_TS) * FLUX_REF_SCALE_TIME))</t>
  </si>
  <si>
    <t>Flux Reference Scale Time</t>
  </si>
  <si>
    <t>Locked_Rotor_Starting_Or_Running</t>
  </si>
  <si>
    <t>Locked_Rotor_Starting_Threshold</t>
  </si>
  <si>
    <t>Locked_Rotor_Running_Threshold</t>
  </si>
  <si>
    <t>Locked_Rotor_Current_Threshold</t>
  </si>
  <si>
    <t>Starting debounce time to run with torque at its maximum</t>
  </si>
  <si>
    <t>Running debounce time to run with torque at its maximum</t>
  </si>
  <si>
    <t>Speed Reference Generator</t>
  </si>
  <si>
    <t>Default Acceleration</t>
  </si>
  <si>
    <t>Min Speed Default Acceleration</t>
  </si>
  <si>
    <t>rpm/s</t>
  </si>
  <si>
    <t>=((((2^25) / BASE_SPEED_RPM) * OBSERVER_TS) * SPEED_REF_DEFAULT_ACCEL)</t>
  </si>
  <si>
    <t>=(SPEED_REF_MIN_SPEED_DEFAULT_ACCEL * 32768/BASE_SPEED_RPM)</t>
  </si>
  <si>
    <t>=(ALGO_RUNNING_LOCKED_ROTOR_STARTING_THRESHOLD / 0,005)</t>
  </si>
  <si>
    <t>=(ALGO_RUNNING_LOCKED_ROTOR_RUNNING_THRESHOLD / 0,005)</t>
  </si>
  <si>
    <t>ResTempCalc.Samples_Number</t>
  </si>
  <si>
    <t>Samples Number</t>
  </si>
  <si>
    <t>=(SAMPLES_NUMBER)</t>
  </si>
  <si>
    <t>Speed_Over_Flux_Thereshold</t>
  </si>
  <si>
    <t>Over_Flux_Max_Factor</t>
  </si>
  <si>
    <t>Speed_Drop_Factor</t>
  </si>
  <si>
    <t>sBPM_Speed_Over_Flux_Threshold</t>
  </si>
  <si>
    <t>sBPM_Flux_Start_Factor</t>
  </si>
  <si>
    <t>sBPM_Flux_Ref_Factor</t>
  </si>
  <si>
    <t>=(SPEED_OVERFLUX_THRESHOLD * 32768/BASE_SPEED_RPM)</t>
  </si>
  <si>
    <t>Speed threshold to enable/disable overflux</t>
  </si>
  <si>
    <t>Porcentage to be applied of extra flux</t>
  </si>
  <si>
    <t>=(OVERFLUX_FACTOR/100 * 32768)</t>
  </si>
  <si>
    <t>=(SBPM_SPEED_OVERFLUX_THRESHOLD * 32768/BASE_SPEED_RPM)</t>
  </si>
  <si>
    <t>=(SBPM_OVERFLUX_FACTOR/100 * 32768)</t>
  </si>
  <si>
    <t>=(SBPM_MIN_OVERFLUX_FACTOR/100 * 32768)</t>
  </si>
  <si>
    <t>Max_Speed_Drop_Factor</t>
  </si>
  <si>
    <t>Min_Voltage_Factor</t>
  </si>
  <si>
    <t>=(DQREF_MAX_SPEED_DROP_FACTOR)</t>
  </si>
  <si>
    <t>Start to decreasing speed</t>
  </si>
  <si>
    <t>Minimum voltage factor</t>
  </si>
  <si>
    <t xml:space="preserve">% </t>
  </si>
  <si>
    <t>=(DQREF_MIN_AVAILABLE_VOLT_FACTOR/100 * 32768)</t>
  </si>
  <si>
    <t>=(DQREF_SPEED_DROP_FACTOR)</t>
  </si>
  <si>
    <t>Speed decreasing value</t>
  </si>
  <si>
    <t xml:space="preserve">rpm </t>
  </si>
  <si>
    <t>sBPM Speed threshold to enable/disable overflux</t>
  </si>
  <si>
    <t>sBPM Porcentage to be applied of extra flux.</t>
  </si>
  <si>
    <t>sBPM Porcentage to be applied of minimum extra flux.</t>
  </si>
  <si>
    <t>=((((STATOR_RESISTANCE * 1.5) * MAX_PHASE_CURR + PI_VOLT_MARGIN) * 32768/BASE_VOLTAGE))</t>
  </si>
  <si>
    <t>Pi Volt Margin for Vd_Max</t>
  </si>
  <si>
    <t>=((PHASE_ADVANCE_COEFF * (OBSERVER_TS*32768)/BASE_TIME))</t>
  </si>
  <si>
    <t>Flux base</t>
  </si>
  <si>
    <t>=BASE_FLUX</t>
  </si>
  <si>
    <t>MTPA Lut</t>
  </si>
  <si>
    <t>MTPATorque_0</t>
  </si>
  <si>
    <t>MTPATorque_1</t>
  </si>
  <si>
    <t>MTPATorque_2</t>
  </si>
  <si>
    <t>MTPATorque_3</t>
  </si>
  <si>
    <t>MTPATorque_4</t>
  </si>
  <si>
    <t>MTPATorque_5</t>
  </si>
  <si>
    <t>MTPATorque_6</t>
  </si>
  <si>
    <t>MTPATorque_7</t>
  </si>
  <si>
    <t>MTPATorque_8</t>
  </si>
  <si>
    <t>MTPATorque_9</t>
  </si>
  <si>
    <t>MTPATorque_10</t>
  </si>
  <si>
    <t>MTPATorque_11</t>
  </si>
  <si>
    <t>MTPATorque_12</t>
  </si>
  <si>
    <t>MTPATorque_13</t>
  </si>
  <si>
    <t>MTPATorque_14</t>
  </si>
  <si>
    <t>MTPATorque_15</t>
  </si>
  <si>
    <t>MTPATorque_16</t>
  </si>
  <si>
    <t>MTPATorque_17</t>
  </si>
  <si>
    <t>MTPATorque_18</t>
  </si>
  <si>
    <t>MTPATorque_19</t>
  </si>
  <si>
    <t>MTPATorque_20</t>
  </si>
  <si>
    <t>MTPATorque_21</t>
  </si>
  <si>
    <t>MTPATorque_22</t>
  </si>
  <si>
    <t>MTPATorque_23</t>
  </si>
  <si>
    <t>MTPATorque_24</t>
  </si>
  <si>
    <t>MTPAFlux_0</t>
  </si>
  <si>
    <t>MTPAFlux_1</t>
  </si>
  <si>
    <t>MTPAFlux_2</t>
  </si>
  <si>
    <t>MTPAFlux_3</t>
  </si>
  <si>
    <t>MTPAFlux_4</t>
  </si>
  <si>
    <t>MTPAFlux_5</t>
  </si>
  <si>
    <t>MTPAFlux_6</t>
  </si>
  <si>
    <t>MTPAFlux_7</t>
  </si>
  <si>
    <t>MTPAFlux_8</t>
  </si>
  <si>
    <t>MTPAFlux_9</t>
  </si>
  <si>
    <t>MTPAFlux_10</t>
  </si>
  <si>
    <t>MTPAFlux_11</t>
  </si>
  <si>
    <t>MTPAFlux_12</t>
  </si>
  <si>
    <t>MTPAFlux_13</t>
  </si>
  <si>
    <t>MTPAFlux_14</t>
  </si>
  <si>
    <t>MTPAFlux_15</t>
  </si>
  <si>
    <t>MTPAFlux_16</t>
  </si>
  <si>
    <t>MTPAFlux_17</t>
  </si>
  <si>
    <t>MTPAFlux_18</t>
  </si>
  <si>
    <t>MTPAFlux_19</t>
  </si>
  <si>
    <t>MTPAFlux_20</t>
  </si>
  <si>
    <t>MTPAFlux_21</t>
  </si>
  <si>
    <t>MTPAFlux_22</t>
  </si>
  <si>
    <t>MTPAFlux_23</t>
  </si>
  <si>
    <t>MTPAFlux_24</t>
  </si>
  <si>
    <t>Mtpa_Torque_0</t>
  </si>
  <si>
    <t>Mtpa_Torque_1</t>
  </si>
  <si>
    <t>Mtpa_Torque_2</t>
  </si>
  <si>
    <t>Mtpa_Torque_3</t>
  </si>
  <si>
    <t>Mtpa_Torque_4</t>
  </si>
  <si>
    <t>Mtpa_Torque_5</t>
  </si>
  <si>
    <t>Mtpa_Torque_6</t>
  </si>
  <si>
    <t>Mtpa_Torque_7</t>
  </si>
  <si>
    <t>Mtpa_Torque_8</t>
  </si>
  <si>
    <t>Mtpa_Torque_9</t>
  </si>
  <si>
    <t>Mtpa_Torque_10</t>
  </si>
  <si>
    <t>Mtpa_Torque_11</t>
  </si>
  <si>
    <t>Mtpa_Torque_12</t>
  </si>
  <si>
    <t>Mtpa_Torque_13</t>
  </si>
  <si>
    <t>Mtpa_Torque_14</t>
  </si>
  <si>
    <t>Mtpa_Torque_15</t>
  </si>
  <si>
    <t>Mtpa_Torque_16</t>
  </si>
  <si>
    <t>Mtpa_Torque_17</t>
  </si>
  <si>
    <t>Mtpa_Torque_18</t>
  </si>
  <si>
    <t>Mtpa_Torque_19</t>
  </si>
  <si>
    <t>Mtpa_Torque_20</t>
  </si>
  <si>
    <t>Mtpa_Torque_21</t>
  </si>
  <si>
    <t>Mtpa_Torque_22</t>
  </si>
  <si>
    <t>Mtpa_Torque_23</t>
  </si>
  <si>
    <t>Mtpa_Torque_24</t>
  </si>
  <si>
    <t>Mtpa_Flux_0</t>
  </si>
  <si>
    <t>Mtpa_Flux_1</t>
  </si>
  <si>
    <t>Mtpa_Flux_2</t>
  </si>
  <si>
    <t>Mtpa_Flux_3</t>
  </si>
  <si>
    <t>Mtpa_Flux_4</t>
  </si>
  <si>
    <t>Mtpa_Flux_5</t>
  </si>
  <si>
    <t>Mtpa_Flux_6</t>
  </si>
  <si>
    <t>Mtpa_Flux_7</t>
  </si>
  <si>
    <t>Mtpa_Flux_8</t>
  </si>
  <si>
    <t>Mtpa_Flux_9</t>
  </si>
  <si>
    <t>Mtpa_Flux_10</t>
  </si>
  <si>
    <t>Mtpa_Flux_11</t>
  </si>
  <si>
    <t>Mtpa_Flux_12</t>
  </si>
  <si>
    <t>Mtpa_Flux_13</t>
  </si>
  <si>
    <t>Mtpa_Flux_14</t>
  </si>
  <si>
    <t>Mtpa_Flux_15</t>
  </si>
  <si>
    <t>Mtpa_Flux_16</t>
  </si>
  <si>
    <t>Mtpa_Flux_17</t>
  </si>
  <si>
    <t>Mtpa_Flux_18</t>
  </si>
  <si>
    <t>Mtpa_Flux_19</t>
  </si>
  <si>
    <t>Mtpa_Flux_20</t>
  </si>
  <si>
    <t>Mtpa_Flux_21</t>
  </si>
  <si>
    <t>Mtpa_Flux_22</t>
  </si>
  <si>
    <t>Mtpa_Flux_23</t>
  </si>
  <si>
    <t>Mtpa_Flux_24</t>
  </si>
  <si>
    <t>=(32768/BASE_TORQ) * MTPATorque_0</t>
  </si>
  <si>
    <t>=(32768/BASE_FLUX) * MTPAFlux_0</t>
  </si>
  <si>
    <t>=(32768/BASE_TORQ) * MTPATorque_1</t>
  </si>
  <si>
    <t>=(32768/BASE_FLUX) * MTPAFlux_1</t>
  </si>
  <si>
    <t>=(32768/BASE_TORQ) * MTPATorque_2</t>
  </si>
  <si>
    <t>=(32768/BASE_FLUX) * MTPAFlux_2</t>
  </si>
  <si>
    <t>=(32768/BASE_TORQ) * MTPATorque_3</t>
  </si>
  <si>
    <t>=(32768/BASE_FLUX) * MTPAFlux_3</t>
  </si>
  <si>
    <t>=(32768/BASE_TORQ) * MTPATorque_4</t>
  </si>
  <si>
    <t>=(32768/BASE_FLUX) * MTPAFlux_4</t>
  </si>
  <si>
    <t>=(32768/BASE_TORQ) * MTPATorque_5</t>
  </si>
  <si>
    <t>=(32768/BASE_FLUX) * MTPAFlux_5</t>
  </si>
  <si>
    <t>=(32768/BASE_TORQ) * MTPATorque_6</t>
  </si>
  <si>
    <t>=(32768/BASE_FLUX) * MTPAFlux_6</t>
  </si>
  <si>
    <t>=(32768/BASE_TORQ) * MTPATorque_7</t>
  </si>
  <si>
    <t>=(32768/BASE_FLUX) * MTPAFlux_7</t>
  </si>
  <si>
    <t>=(32768/BASE_TORQ) * MTPATorque_8</t>
  </si>
  <si>
    <t>=(32768/BASE_FLUX) * MTPAFlux_8</t>
  </si>
  <si>
    <t>=(32768/BASE_TORQ) * MTPATorque_9</t>
  </si>
  <si>
    <t>=(32768/BASE_FLUX) * MTPAFlux_9</t>
  </si>
  <si>
    <t>=(32768/BASE_TORQ) * MTPATorque_10</t>
  </si>
  <si>
    <t>=(32768/BASE_FLUX) * MTPAFlux_10</t>
  </si>
  <si>
    <t>=(32768/BASE_TORQ) * MTPATorque_11</t>
  </si>
  <si>
    <t>=(32768/BASE_FLUX) * MTPAFlux_11</t>
  </si>
  <si>
    <t>=(32768/BASE_TORQ) * MTPATorque_12</t>
  </si>
  <si>
    <t>=(32768/BASE_FLUX) * MTPAFlux_12</t>
  </si>
  <si>
    <t>=(32768/BASE_TORQ) * MTPATorque_13</t>
  </si>
  <si>
    <t>=(32768/BASE_FLUX) * MTPAFlux_13</t>
  </si>
  <si>
    <t>=(32768/BASE_TORQ) * MTPATorque_14</t>
  </si>
  <si>
    <t>=(32768/BASE_FLUX) * MTPAFlux_14</t>
  </si>
  <si>
    <t>=(32768/BASE_TORQ) * MTPATorque_15</t>
  </si>
  <si>
    <t>=(32768/BASE_FLUX) * MTPAFlux_15</t>
  </si>
  <si>
    <t>=(32768/BASE_TORQ) * MTPATorque_16</t>
  </si>
  <si>
    <t>=(32768/BASE_FLUX) * MTPAFlux_16</t>
  </si>
  <si>
    <t>=(32768/BASE_TORQ) * MTPATorque_17</t>
  </si>
  <si>
    <t>=(32768/BASE_FLUX) * MTPAFlux_17</t>
  </si>
  <si>
    <t>=(32768/BASE_TORQ) * MTPATorque_18</t>
  </si>
  <si>
    <t>=(32768/BASE_FLUX) * MTPAFlux_18</t>
  </si>
  <si>
    <t>=(32768/BASE_TORQ) * MTPATorque_19</t>
  </si>
  <si>
    <t>=(32768/BASE_FLUX) * MTPAFlux_19</t>
  </si>
  <si>
    <t>=(32768/BASE_TORQ) * MTPATorque_20</t>
  </si>
  <si>
    <t>=(32768/BASE_FLUX) * MTPAFlux_20</t>
  </si>
  <si>
    <t>=(32768/BASE_TORQ) * MTPATorque_21</t>
  </si>
  <si>
    <t>=(32768/BASE_FLUX) * MTPAFlux_21</t>
  </si>
  <si>
    <t>=(32768/BASE_TORQ) * MTPATorque_22</t>
  </si>
  <si>
    <t>=(32768/BASE_FLUX) * MTPAFlux_22</t>
  </si>
  <si>
    <t>=(32768/BASE_TORQ) * MTPATorque_23</t>
  </si>
  <si>
    <t>=(32768/BASE_FLUX) * MTPAFlux_23</t>
  </si>
  <si>
    <t>=(32768/BASE_TORQ) * MTPATorque_24</t>
  </si>
  <si>
    <t>=(32768/BASE_FLUX) * MTPAFlux_24</t>
  </si>
  <si>
    <t>MTPV Lut</t>
  </si>
  <si>
    <t>MTPVTorque_0</t>
  </si>
  <si>
    <t>MTPVTorque_1</t>
  </si>
  <si>
    <t>MTPVTorque_2</t>
  </si>
  <si>
    <t>MTPVTorque_3</t>
  </si>
  <si>
    <t>MTPVTorque_4</t>
  </si>
  <si>
    <t>MTPVTorque_5</t>
  </si>
  <si>
    <t>MTPVTorque_6</t>
  </si>
  <si>
    <t>MTPVTorque_7</t>
  </si>
  <si>
    <t>MTPVTorque_8</t>
  </si>
  <si>
    <t>MTPVTorque_9</t>
  </si>
  <si>
    <t>MTPVTorque_10</t>
  </si>
  <si>
    <t>MTPVTorque_11</t>
  </si>
  <si>
    <t>MTPVTorque_12</t>
  </si>
  <si>
    <t>MTPVTorque_13</t>
  </si>
  <si>
    <t>MTPVTorque_14</t>
  </si>
  <si>
    <t>MTPVTorque_15</t>
  </si>
  <si>
    <t>MTPVTorque_16</t>
  </si>
  <si>
    <t>MTPVTorque_17</t>
  </si>
  <si>
    <t>MTPVTorque_18</t>
  </si>
  <si>
    <t>MTPVTorque_19</t>
  </si>
  <si>
    <t>MTPVTorque_20</t>
  </si>
  <si>
    <t>MTPVTorque_21</t>
  </si>
  <si>
    <t>MTPVTorque_22</t>
  </si>
  <si>
    <t>MTPVTorque_23</t>
  </si>
  <si>
    <t>MTPVTorque_24</t>
  </si>
  <si>
    <t>MTPVFlux_0</t>
  </si>
  <si>
    <t>MTPVFlux_1</t>
  </si>
  <si>
    <t>MTPVFlux_2</t>
  </si>
  <si>
    <t>MTPVFlux_3</t>
  </si>
  <si>
    <t>MTPVFlux_4</t>
  </si>
  <si>
    <t>MTPVFlux_5</t>
  </si>
  <si>
    <t>MTPVFlux_6</t>
  </si>
  <si>
    <t>MTPVFlux_7</t>
  </si>
  <si>
    <t>MTPVFlux_8</t>
  </si>
  <si>
    <t>MTPVFlux_9</t>
  </si>
  <si>
    <t>MTPVFlux_10</t>
  </si>
  <si>
    <t>MTPVFlux_11</t>
  </si>
  <si>
    <t>MTPVFlux_12</t>
  </si>
  <si>
    <t>MTPVFlux_13</t>
  </si>
  <si>
    <t>MTPVFlux_14</t>
  </si>
  <si>
    <t>MTPVFlux_15</t>
  </si>
  <si>
    <t>MTPVFlux_16</t>
  </si>
  <si>
    <t>MTPVFlux_17</t>
  </si>
  <si>
    <t>MTPVFlux_18</t>
  </si>
  <si>
    <t>MTPVFlux_19</t>
  </si>
  <si>
    <t>MTPVFlux_20</t>
  </si>
  <si>
    <t>MTPVFlux_21</t>
  </si>
  <si>
    <t>MTPVFlux_22</t>
  </si>
  <si>
    <t>MTPVFlux_23</t>
  </si>
  <si>
    <t>MTPVFlux_24</t>
  </si>
  <si>
    <t>Mtpv_Flux_0</t>
  </si>
  <si>
    <t>Mtpv_Torque_0</t>
  </si>
  <si>
    <t>Mtpv_Flux_1</t>
  </si>
  <si>
    <t>Mtpv_Torque_1</t>
  </si>
  <si>
    <t>Mtpv_Flux_2</t>
  </si>
  <si>
    <t>Mtpv_Torque_2</t>
  </si>
  <si>
    <t>Mtpv_Flux_3</t>
  </si>
  <si>
    <t>Mtpv_Torque_3</t>
  </si>
  <si>
    <t>Mtpv_Flux_4</t>
  </si>
  <si>
    <t>Mtpv_Torque_4</t>
  </si>
  <si>
    <t>Mtpv_Flux_5</t>
  </si>
  <si>
    <t>Mtpv_Torque_5</t>
  </si>
  <si>
    <t>Mtpv_Flux_6</t>
  </si>
  <si>
    <t>Mtpv_Torque_6</t>
  </si>
  <si>
    <t>Mtpv_Flux_7</t>
  </si>
  <si>
    <t>Mtpv_Torque_7</t>
  </si>
  <si>
    <t>Mtpv_Flux_8</t>
  </si>
  <si>
    <t>Mtpv_Torque_8</t>
  </si>
  <si>
    <t>Mtpv_Flux_9</t>
  </si>
  <si>
    <t>Mtpv_Torque_9</t>
  </si>
  <si>
    <t>Mtpv_Flux_10</t>
  </si>
  <si>
    <t>Mtpv_Torque_10</t>
  </si>
  <si>
    <t>Mtpv_Flux_11</t>
  </si>
  <si>
    <t>Mtpv_Torque_11</t>
  </si>
  <si>
    <t>Mtpv_Flux_12</t>
  </si>
  <si>
    <t>Mtpv_Torque_12</t>
  </si>
  <si>
    <t>Mtpv_Flux_13</t>
  </si>
  <si>
    <t>Mtpv_Torque_13</t>
  </si>
  <si>
    <t>Mtpv_Flux_14</t>
  </si>
  <si>
    <t>Mtpv_Torque_14</t>
  </si>
  <si>
    <t>Mtpv_Flux_15</t>
  </si>
  <si>
    <t>Mtpv_Torque_15</t>
  </si>
  <si>
    <t>Mtpv_Flux_16</t>
  </si>
  <si>
    <t>Mtpv_Torque_16</t>
  </si>
  <si>
    <t>Mtpv_Flux_17</t>
  </si>
  <si>
    <t>Mtpv_Torque_17</t>
  </si>
  <si>
    <t>Mtpv_Flux_18</t>
  </si>
  <si>
    <t>Mtpv_Torque_18</t>
  </si>
  <si>
    <t>Mtpv_Flux_19</t>
  </si>
  <si>
    <t>Mtpv_Torque_19</t>
  </si>
  <si>
    <t>Mtpv_Flux_20</t>
  </si>
  <si>
    <t>Mtpv_Torque_20</t>
  </si>
  <si>
    <t>Mtpv_Flux_21</t>
  </si>
  <si>
    <t>Mtpv_Torque_21</t>
  </si>
  <si>
    <t>Mtpv_Flux_22</t>
  </si>
  <si>
    <t>Mtpv_Torque_22</t>
  </si>
  <si>
    <t>Mtpv_Flux_23</t>
  </si>
  <si>
    <t>Mtpv_Torque_23</t>
  </si>
  <si>
    <t>Mtpv_Flux_24</t>
  </si>
  <si>
    <t>Mtpv_Torque_24</t>
  </si>
  <si>
    <t>=(32768/BASE_FLUX) * MTPVFlux_0</t>
  </si>
  <si>
    <t>=(32768/BASE_TORQ) * MTPVTorque_0</t>
  </si>
  <si>
    <t>=(32768/BASE_FLUX) * MTPVFlux_1</t>
  </si>
  <si>
    <t>=(32768/BASE_TORQ) * MTPVTorque_1</t>
  </si>
  <si>
    <t>=(32768/BASE_FLUX) * MTPVFlux_2</t>
  </si>
  <si>
    <t>=(32768/BASE_TORQ) * MTPVTorque_2</t>
  </si>
  <si>
    <t>=(32768/BASE_FLUX) * MTPVFlux_3</t>
  </si>
  <si>
    <t>=(32768/BASE_TORQ) * MTPVTorque_3</t>
  </si>
  <si>
    <t>=(32768/BASE_FLUX) * MTPVFlux_4</t>
  </si>
  <si>
    <t>=(32768/BASE_TORQ) * MTPVTorque_4</t>
  </si>
  <si>
    <t>=(32768/BASE_FLUX) * MTPVFlux_5</t>
  </si>
  <si>
    <t>=(32768/BASE_TORQ) * MTPVTorque_5</t>
  </si>
  <si>
    <t>=(32768/BASE_FLUX) * MTPVFlux_6</t>
  </si>
  <si>
    <t>=(32768/BASE_TORQ) * MTPVTorque_6</t>
  </si>
  <si>
    <t>=(32768/BASE_FLUX) * MTPVFlux_7</t>
  </si>
  <si>
    <t>=(32768/BASE_TORQ) * MTPVTorque_7</t>
  </si>
  <si>
    <t>=(32768/BASE_FLUX) * MTPVFlux_8</t>
  </si>
  <si>
    <t>=(32768/BASE_TORQ) * MTPVTorque_8</t>
  </si>
  <si>
    <t>=(32768/BASE_FLUX) * MTPVFlux_9</t>
  </si>
  <si>
    <t>=(32768/BASE_TORQ) * MTPVTorque_9</t>
  </si>
  <si>
    <t>=(32768/BASE_FLUX) * MTPVFlux_10</t>
  </si>
  <si>
    <t>=(32768/BASE_TORQ) * MTPVTorque_10</t>
  </si>
  <si>
    <t>=(32768/BASE_FLUX) * MTPVFlux_11</t>
  </si>
  <si>
    <t>=(32768/BASE_TORQ) * MTPVTorque_11</t>
  </si>
  <si>
    <t>=(32768/BASE_FLUX) * MTPVFlux_12</t>
  </si>
  <si>
    <t>=(32768/BASE_TORQ) * MTPVTorque_12</t>
  </si>
  <si>
    <t>=(32768/BASE_FLUX) * MTPVFlux_13</t>
  </si>
  <si>
    <t>=(32768/BASE_TORQ) * MTPVTorque_13</t>
  </si>
  <si>
    <t>=(32768/BASE_FLUX) * MTPVFlux_14</t>
  </si>
  <si>
    <t>=(32768/BASE_TORQ) * MTPVTorque_14</t>
  </si>
  <si>
    <t>=(32768/BASE_FLUX) * MTPVFlux_15</t>
  </si>
  <si>
    <t>=(32768/BASE_TORQ) * MTPVTorque_15</t>
  </si>
  <si>
    <t>=(32768/BASE_FLUX) * MTPVFlux_16</t>
  </si>
  <si>
    <t>=(32768/BASE_TORQ) * MTPVTorque_16</t>
  </si>
  <si>
    <t>=(32768/BASE_FLUX) * MTPVFlux_17</t>
  </si>
  <si>
    <t>=(32768/BASE_TORQ) * MTPVTorque_17</t>
  </si>
  <si>
    <t>=(32768/BASE_FLUX) * MTPVFlux_18</t>
  </si>
  <si>
    <t>=(32768/BASE_TORQ) * MTPVTorque_18</t>
  </si>
  <si>
    <t>=(32768/BASE_FLUX) * MTPVFlux_19</t>
  </si>
  <si>
    <t>=(32768/BASE_TORQ) * MTPVTorque_19</t>
  </si>
  <si>
    <t>=(32768/BASE_FLUX) * MTPVFlux_20</t>
  </si>
  <si>
    <t>=(32768/BASE_TORQ) * MTPVTorque_20</t>
  </si>
  <si>
    <t>=(32768/BASE_FLUX) * MTPVFlux_21</t>
  </si>
  <si>
    <t>=(32768/BASE_TORQ) * MTPVTorque_21</t>
  </si>
  <si>
    <t>=(32768/BASE_FLUX) * MTPVFlux_22</t>
  </si>
  <si>
    <t>=(32768/BASE_TORQ) * MTPVTorque_22</t>
  </si>
  <si>
    <t>=(32768/BASE_FLUX) * MTPVFlux_23</t>
  </si>
  <si>
    <t>=(32768/BASE_TORQ) * MTPVTorque_23</t>
  </si>
  <si>
    <t>=(32768/BASE_FLUX) * MTPVFlux_24</t>
  </si>
  <si>
    <t>=(32768/BASE_TORQ) * MTPVTorque_24</t>
  </si>
  <si>
    <t>Angle base</t>
  </si>
  <si>
    <t>=BASE_ANGLE</t>
  </si>
  <si>
    <t>Inductance base</t>
  </si>
  <si>
    <t>=BASE_IND</t>
  </si>
  <si>
    <t>Maximum peak phase current [high speed]</t>
  </si>
  <si>
    <t>High Speed threshold</t>
  </si>
  <si>
    <t>High_Speed_Thr_Max_Current</t>
  </si>
  <si>
    <t>=(((MAX_PHASE_CURRENT_HIGH_SPEED*MAX_PHASE_CURRENT_HIGH_SPEED  * 32768* 32768)/(BASE_CURRENT * BASE_CURRENT)))</t>
  </si>
  <si>
    <t>=((SPEED_THRESHOLD_MAX_PHASE_CURRENT * (32768/BASE_SPEED_RPM)))</t>
  </si>
  <si>
    <t xml:space="preserve">Max_Squared_Inv_Current_High_Speed </t>
  </si>
  <si>
    <t>Max Current for detecting locked rotor</t>
  </si>
  <si>
    <t>Time threshold for locked rotor at startup or in running</t>
  </si>
  <si>
    <t>step_inv_mtpa</t>
  </si>
  <si>
    <t>=BASE_TORQUE/ (torque[1]-torque[0])</t>
  </si>
  <si>
    <t>step_inv_mtpv</t>
  </si>
  <si>
    <t>=BASE_FLUX/ (flux[1]-flux[0])</t>
  </si>
  <si>
    <t>=((ALGO_RUNNING_LOCKED_ROTOR_CURRENT_THRESHOLD*ALGO_RUNNING_LOCKED_ROTOR_CURRENT_THRESHOLD*32768*32768)/(BASE_CURRENT*BASE_CURRENT))*(3/2)</t>
  </si>
  <si>
    <t>sizeof_lut</t>
  </si>
  <si>
    <t>Lut size - 1</t>
  </si>
  <si>
    <t>sizeof_Ld_Lq_Lut</t>
  </si>
  <si>
    <t>Lut size -1</t>
  </si>
  <si>
    <t>sizeof_mtpv</t>
  </si>
  <si>
    <t>mtpv size -1</t>
  </si>
  <si>
    <t>Max Modulation Index(REF)</t>
  </si>
  <si>
    <t>m_index</t>
  </si>
  <si>
    <t>=(M_INDEX_REF/100 * 32768)</t>
  </si>
  <si>
    <t>=(M_INDEX_CTRL/100 * 32768)</t>
  </si>
  <si>
    <t>Max Modulation Index (CTRL)</t>
  </si>
  <si>
    <t>K (torque error compensation)</t>
  </si>
  <si>
    <t>Torque error compensation saturation</t>
  </si>
  <si>
    <t>1/Nm</t>
  </si>
  <si>
    <t>K_Torque_Err</t>
  </si>
  <si>
    <t>Torque_Error_Sat</t>
  </si>
  <si>
    <t>=(TORQUE_ERROR_SAT * 32768)</t>
  </si>
  <si>
    <t>=(K_TORQUE_ERROR * BASE_TORQ * 32768)</t>
  </si>
  <si>
    <t>SIZE_MTPA</t>
  </si>
  <si>
    <t>SIZE_MTPV</t>
  </si>
  <si>
    <t>Stator_Resistance_Corr_Limits</t>
  </si>
  <si>
    <t>Stator Resistance adaptation limits</t>
  </si>
  <si>
    <t>=32768*OBS_RESIS_ADAPT_LIM/100)</t>
  </si>
  <si>
    <t>Phase advance coefficient (Feedback)</t>
  </si>
  <si>
    <t>Phase_Advance_Coeff_Feedback</t>
  </si>
  <si>
    <t>=((PHASE_ADVANCE_COEF_FDBK * (OBSERVER_TS*32768)/BASE_TIME))</t>
  </si>
  <si>
    <t>=(1000 * TIME_DQ_FORCE_GAINS_STARTING)</t>
  </si>
  <si>
    <t>=((DQ_STARTING_TIME * 1000))</t>
  </si>
  <si>
    <t>=(OBSERVER_STARTING_THRESHOLD * 1000)</t>
  </si>
  <si>
    <t>=((1000 * FORCE_MAX_STARTING_TIME))</t>
  </si>
  <si>
    <t>=(((1000) * TIME_FORCE_USE_DEFAULT_SPEED_GAINS))</t>
  </si>
  <si>
    <t>=(ALGO_RUNNING_LOCKED_ROTOR_START_OR_RUNNING * 1000)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</si>
</sst>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"/>
    <numFmt numFmtId="165" formatCode="0.000"/>
    <numFmt numFmtId="166" formatCode="0.0000000000"/>
    <numFmt numFmtId="167" formatCode="0.000000000000000000"/>
    <numFmt numFmtId="168" formatCode="0.0000000000000000000"/>
    <numFmt numFmtId="169" formatCode="0.0000000000000000000000000"/>
    <numFmt numFmtId="170" formatCode="0.00000"/>
    <numFmt numFmtId="171" formatCode="0.000000000"/>
    <numFmt numFmtId="172" formatCode="0.00000000000"/>
    <numFmt numFmtId="173" formatCode="0.000000000000000"/>
    <numFmt numFmtId="174" formatCode="0.000000"/>
    <numFmt numFmtId="175" formatCode="0.0000000"/>
    <numFmt numFmtId="176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3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</font>
    <font>
      <i/>
      <sz val="11"/>
      <color rgb="FF000000"/>
      <name val="Calibri"/>
      <family val="2"/>
    </font>
    <font>
      <b/>
      <i/>
      <sz val="11"/>
      <color rgb="FF00B050"/>
      <name val="Calibri"/>
      <family val="2"/>
    </font>
    <font>
      <b/>
      <i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20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i/>
      <sz val="1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i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8" applyNumberFormat="0" applyAlignment="0" applyProtection="0"/>
    <xf numFmtId="0" fontId="28" fillId="11" borderId="9" applyNumberFormat="0" applyAlignment="0" applyProtection="0"/>
    <xf numFmtId="0" fontId="29" fillId="11" borderId="8" applyNumberFormat="0" applyAlignment="0" applyProtection="0"/>
    <xf numFmtId="0" fontId="30" fillId="0" borderId="10" applyNumberFormat="0" applyFill="0" applyAlignment="0" applyProtection="0"/>
    <xf numFmtId="0" fontId="31" fillId="12" borderId="11" applyNumberFormat="0" applyAlignment="0" applyProtection="0"/>
    <xf numFmtId="0" fontId="32" fillId="0" borderId="0" applyNumberFormat="0" applyFill="0" applyBorder="0" applyAlignment="0" applyProtection="0"/>
    <xf numFmtId="0" fontId="19" fillId="13" borderId="12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3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4" fillId="37" borderId="0" applyNumberFormat="0" applyBorder="0" applyAlignment="0" applyProtection="0"/>
  </cellStyleXfs>
  <cellXfs count="112">
    <xf numFmtId="0" fontId="0" fillId="0" borderId="0" xfId="0"/>
    <xf numFmtId="0" fontId="1" fillId="0" borderId="0" xfId="0" applyFont="1"/>
    <xf numFmtId="0" fontId="0" fillId="0" borderId="0" xfId="0" quotePrefix="1"/>
    <xf numFmtId="0" fontId="3" fillId="3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applyFill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quotePrefix="1" applyAlignment="1"/>
    <xf numFmtId="165" fontId="6" fillId="0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15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wrapText="1"/>
    </xf>
    <xf numFmtId="0" fontId="16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vertical="center" wrapText="1"/>
    </xf>
    <xf numFmtId="1" fontId="6" fillId="0" borderId="1" xfId="0" applyNumberFormat="1" applyFont="1" applyFill="1" applyBorder="1" applyAlignment="1">
      <alignment horizontal="center"/>
    </xf>
    <xf numFmtId="167" fontId="6" fillId="0" borderId="1" xfId="0" applyNumberFormat="1" applyFont="1" applyFill="1" applyBorder="1" applyAlignment="1">
      <alignment horizontal="center"/>
    </xf>
    <xf numFmtId="169" fontId="0" fillId="0" borderId="0" xfId="0" applyNumberFormat="1"/>
    <xf numFmtId="168" fontId="6" fillId="0" borderId="1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/>
    </xf>
    <xf numFmtId="171" fontId="6" fillId="4" borderId="1" xfId="0" applyNumberFormat="1" applyFont="1" applyFill="1" applyBorder="1" applyAlignment="1">
      <alignment horizontal="center"/>
    </xf>
    <xf numFmtId="172" fontId="6" fillId="4" borderId="1" xfId="0" applyNumberFormat="1" applyFont="1" applyFill="1" applyBorder="1" applyAlignment="1">
      <alignment horizontal="center"/>
    </xf>
    <xf numFmtId="173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 vertical="center"/>
    </xf>
    <xf numFmtId="174" fontId="6" fillId="4" borderId="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 wrapText="1"/>
    </xf>
    <xf numFmtId="0" fontId="0" fillId="0" borderId="0" xfId="0" applyAlignment="1">
      <alignment horizontal="right"/>
    </xf>
    <xf numFmtId="175" fontId="0" fillId="0" borderId="0" xfId="0" applyNumberFormat="1" applyAlignment="1">
      <alignment wrapText="1"/>
    </xf>
    <xf numFmtId="0" fontId="17" fillId="5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8" fillId="6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quotePrefix="1"/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Fill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165" fontId="6" fillId="0" borderId="1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left"/>
    </xf>
    <xf numFmtId="174" fontId="6" fillId="0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Fill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7" fillId="5" borderId="0" xfId="0" applyFont="1" applyFill="1" applyAlignment="1">
      <alignment horizontal="left" vertical="center"/>
    </xf>
    <xf numFmtId="0" fontId="0" fillId="0" borderId="0" xfId="0"/>
    <xf numFmtId="0" fontId="0" fillId="0" borderId="0" xfId="0" applyFont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38" borderId="1" xfId="0" applyFont="1" applyFill="1" applyBorder="1" applyAlignment="1">
      <alignment horizontal="center"/>
    </xf>
    <xf numFmtId="0" fontId="0" fillId="38" borderId="0" xfId="0" quotePrefix="1" applyFill="1"/>
    <xf numFmtId="0" fontId="0" fillId="38" borderId="0" xfId="0" applyFill="1" applyAlignment="1">
      <alignment wrapText="1"/>
    </xf>
    <xf numFmtId="165" fontId="6" fillId="39" borderId="1" xfId="0" applyNumberFormat="1" applyFont="1" applyFill="1" applyBorder="1" applyAlignment="1">
      <alignment horizontal="center"/>
    </xf>
    <xf numFmtId="0" fontId="0" fillId="0" borderId="0" xfId="0"/>
    <xf numFmtId="0" fontId="0" fillId="38" borderId="0" xfId="0" applyFill="1"/>
    <xf numFmtId="0" fontId="35" fillId="0" borderId="1" xfId="0" applyFont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0" fontId="0" fillId="0" borderId="0" xfId="0" applyFill="1" applyBorder="1"/>
    <xf numFmtId="0" fontId="2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3" fillId="5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D246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3629025</xdr:colOff>
          <xdr:row>1</xdr:row>
          <xdr:rowOff>85725</xdr:rowOff>
        </xdr:from>
        <xdr:to>
          <xdr:col>5</xdr:col>
          <xdr:colOff>533400</xdr:colOff>
          <xdr:row>3</xdr:row>
          <xdr:rowOff>104775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500" b="1" i="0" u="none" strike="noStrike" baseline="0">
                  <a:solidFill>
                    <a:srgbClr val="000000"/>
                  </a:solidFill>
                  <a:latin typeface="Calibri"/>
                </a:rPr>
                <a:t>Generate Mcl_Prm.h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C11"/>
  <sheetViews>
    <sheetView workbookViewId="0">
      <selection activeCell="C13" sqref="C13"/>
    </sheetView>
  </sheetViews>
  <sheetFormatPr defaultRowHeight="15" x14ac:dyDescent="0.25"/>
  <sheetData>
    <row r="3" spans="3:3" x14ac:dyDescent="0.25">
      <c r="C3" s="1" t="s">
        <v>5</v>
      </c>
    </row>
    <row r="5" spans="3:3" x14ac:dyDescent="0.25">
      <c r="C5" t="s">
        <v>8</v>
      </c>
    </row>
    <row r="6" spans="3:3" x14ac:dyDescent="0.25">
      <c r="C6" s="17" t="s">
        <v>6</v>
      </c>
    </row>
    <row r="7" spans="3:3" x14ac:dyDescent="0.25">
      <c r="C7" s="2" t="s">
        <v>7</v>
      </c>
    </row>
    <row r="8" spans="3:3" x14ac:dyDescent="0.25">
      <c r="C8" s="2" t="s">
        <v>9</v>
      </c>
    </row>
    <row r="11" spans="3:3" x14ac:dyDescent="0.25">
      <c r="C11" s="19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C8"/>
  <sheetViews>
    <sheetView workbookViewId="0">
      <selection activeCell="C27" sqref="C27"/>
    </sheetView>
  </sheetViews>
  <sheetFormatPr defaultRowHeight="15" x14ac:dyDescent="0.25"/>
  <sheetData>
    <row r="3" spans="3:3" x14ac:dyDescent="0.25">
      <c r="C3" t="s">
        <v>12</v>
      </c>
    </row>
    <row r="5" spans="3:3" x14ac:dyDescent="0.25">
      <c r="C5" s="1" t="s">
        <v>11</v>
      </c>
    </row>
    <row r="6" spans="3:3" x14ac:dyDescent="0.25">
      <c r="C6" t="s">
        <v>13</v>
      </c>
    </row>
    <row r="7" spans="3:3" x14ac:dyDescent="0.25">
      <c r="C7" t="s">
        <v>14</v>
      </c>
    </row>
    <row r="8" spans="3:3" x14ac:dyDescent="0.25">
      <c r="C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57"/>
  <sheetViews>
    <sheetView topLeftCell="A67" zoomScaleNormal="100" workbookViewId="0">
      <selection activeCell="C94" sqref="C94"/>
    </sheetView>
  </sheetViews>
  <sheetFormatPr defaultRowHeight="15" x14ac:dyDescent="0.25"/>
  <cols>
    <col min="1" max="1" width="59.7109375" customWidth="1"/>
    <col min="2" max="2" width="15.5703125" bestFit="1" customWidth="1"/>
    <col min="3" max="3" width="24.7109375" customWidth="1"/>
    <col min="4" max="4" width="15" bestFit="1" customWidth="1"/>
    <col min="5" max="5" width="16.140625" bestFit="1" customWidth="1"/>
    <col min="6" max="6" width="14" bestFit="1" customWidth="1"/>
    <col min="7" max="7" width="20.85546875" customWidth="1"/>
    <col min="8" max="8" width="26.5703125" customWidth="1"/>
    <col min="9" max="9" width="28" customWidth="1"/>
    <col min="13" max="13" width="22.28515625" bestFit="1" customWidth="1"/>
  </cols>
  <sheetData>
    <row r="1" spans="1:7" ht="17.25" x14ac:dyDescent="0.3">
      <c r="A1" s="107" t="s">
        <v>176</v>
      </c>
      <c r="B1" s="107"/>
      <c r="C1" s="107"/>
      <c r="D1" s="107"/>
      <c r="E1" s="107"/>
      <c r="F1" s="107"/>
      <c r="G1" t="s">
        <v>594</v>
      </c>
    </row>
    <row r="2" spans="1:7" x14ac:dyDescent="0.25">
      <c r="A2" s="3" t="s">
        <v>0</v>
      </c>
      <c r="B2" s="3" t="s">
        <v>1</v>
      </c>
      <c r="C2" s="3" t="s">
        <v>2</v>
      </c>
      <c r="D2" s="3" t="s">
        <v>4</v>
      </c>
      <c r="E2" s="3" t="s">
        <v>3</v>
      </c>
      <c r="F2" s="3" t="s">
        <v>21</v>
      </c>
      <c r="G2" t="s">
        <v>595</v>
      </c>
    </row>
    <row r="3" spans="1:7" x14ac:dyDescent="0.25">
      <c r="A3" s="4" t="s">
        <v>20</v>
      </c>
      <c r="B3" s="5" t="s">
        <v>19</v>
      </c>
      <c r="C3" s="53">
        <v>99.998000000000005</v>
      </c>
      <c r="D3" s="5"/>
      <c r="E3" s="5">
        <v>99.9</v>
      </c>
      <c r="F3" s="5">
        <v>1E-4</v>
      </c>
      <c r="G3" t="s">
        <v>595</v>
      </c>
    </row>
    <row r="4" spans="1:7" x14ac:dyDescent="0.25">
      <c r="A4" s="5" t="s">
        <v>163</v>
      </c>
      <c r="B4" s="5" t="s">
        <v>165</v>
      </c>
      <c r="C4" s="7">
        <v>8000</v>
      </c>
      <c r="D4" s="5"/>
      <c r="E4" s="5"/>
      <c r="F4" s="5">
        <v>1E-4</v>
      </c>
      <c r="G4" t="s">
        <v>595</v>
      </c>
    </row>
    <row r="5" spans="1:7" x14ac:dyDescent="0.25">
      <c r="A5" s="5"/>
      <c r="B5" s="5"/>
      <c r="C5" s="8"/>
      <c r="D5" s="5"/>
      <c r="E5" s="5"/>
      <c r="F5" s="5"/>
      <c r="G5" t="s">
        <v>595</v>
      </c>
    </row>
    <row r="6" spans="1:7" ht="17.25" x14ac:dyDescent="0.3">
      <c r="A6" s="107" t="s">
        <v>177</v>
      </c>
      <c r="B6" s="107"/>
      <c r="C6" s="107"/>
      <c r="D6" s="107"/>
      <c r="E6" s="107"/>
      <c r="F6" s="107"/>
      <c r="G6" t="s">
        <v>595</v>
      </c>
    </row>
    <row r="7" spans="1:7" x14ac:dyDescent="0.25">
      <c r="A7" s="3" t="s">
        <v>0</v>
      </c>
      <c r="B7" s="3" t="s">
        <v>1</v>
      </c>
      <c r="C7" s="3" t="s">
        <v>2</v>
      </c>
      <c r="D7" s="3" t="s">
        <v>4</v>
      </c>
      <c r="E7" s="3" t="s">
        <v>3</v>
      </c>
      <c r="F7" s="3" t="s">
        <v>21</v>
      </c>
      <c r="G7" t="s">
        <v>595</v>
      </c>
    </row>
    <row r="8" spans="1:7" x14ac:dyDescent="0.25">
      <c r="A8" s="5" t="s">
        <v>175</v>
      </c>
      <c r="B8" s="5" t="s">
        <v>166</v>
      </c>
      <c r="C8" s="66">
        <f>5.6/2</f>
        <v>2.8</v>
      </c>
      <c r="D8" s="5"/>
      <c r="E8" s="5"/>
      <c r="F8" s="5"/>
      <c r="G8" t="s">
        <v>595</v>
      </c>
    </row>
    <row r="9" spans="1:7" x14ac:dyDescent="0.25">
      <c r="A9" s="5" t="s">
        <v>180</v>
      </c>
      <c r="B9" s="5" t="s">
        <v>169</v>
      </c>
      <c r="C9" s="18">
        <v>8.4500000000000006E-2</v>
      </c>
      <c r="D9" s="5"/>
      <c r="E9" s="5"/>
      <c r="F9" s="5"/>
      <c r="G9" t="s">
        <v>595</v>
      </c>
    </row>
    <row r="10" spans="1:7" x14ac:dyDescent="0.25">
      <c r="A10" s="89" t="s">
        <v>181</v>
      </c>
      <c r="B10" s="5" t="s">
        <v>182</v>
      </c>
      <c r="C10" s="18">
        <v>4</v>
      </c>
      <c r="D10" s="5"/>
      <c r="E10" s="5"/>
      <c r="F10" s="5"/>
      <c r="G10" t="s">
        <v>595</v>
      </c>
    </row>
    <row r="11" spans="1:7" x14ac:dyDescent="0.25">
      <c r="A11" s="5" t="s">
        <v>200</v>
      </c>
      <c r="B11" s="5" t="s">
        <v>199</v>
      </c>
      <c r="C11" s="66">
        <v>22.96</v>
      </c>
      <c r="D11" s="5"/>
      <c r="E11" s="5"/>
      <c r="F11" s="5"/>
      <c r="G11" t="s">
        <v>595</v>
      </c>
    </row>
    <row r="12" spans="1:7" x14ac:dyDescent="0.25">
      <c r="A12" s="5" t="s">
        <v>201</v>
      </c>
      <c r="B12" s="5" t="s">
        <v>199</v>
      </c>
      <c r="C12" s="66">
        <v>24.45</v>
      </c>
      <c r="D12" s="5"/>
      <c r="E12" s="5"/>
      <c r="F12" s="5"/>
      <c r="G12" t="s">
        <v>595</v>
      </c>
    </row>
    <row r="13" spans="1:7" x14ac:dyDescent="0.25">
      <c r="A13" s="5" t="s">
        <v>208</v>
      </c>
      <c r="B13" s="5" t="s">
        <v>199</v>
      </c>
      <c r="C13" s="66">
        <v>25</v>
      </c>
      <c r="D13" s="5"/>
      <c r="E13" s="5"/>
      <c r="F13" s="5"/>
      <c r="G13" t="s">
        <v>595</v>
      </c>
    </row>
    <row r="14" spans="1:7" x14ac:dyDescent="0.25">
      <c r="A14" s="5" t="s">
        <v>50</v>
      </c>
      <c r="B14" s="5" t="s">
        <v>69</v>
      </c>
      <c r="C14" s="28">
        <v>4</v>
      </c>
      <c r="D14" s="5">
        <v>2</v>
      </c>
      <c r="E14" s="5" t="s">
        <v>245</v>
      </c>
      <c r="F14" s="5">
        <v>1</v>
      </c>
      <c r="G14" t="s">
        <v>595</v>
      </c>
    </row>
    <row r="15" spans="1:7" x14ac:dyDescent="0.25">
      <c r="A15" s="5"/>
      <c r="B15" s="5"/>
      <c r="C15" s="18"/>
      <c r="D15" s="5"/>
      <c r="E15" s="5"/>
      <c r="F15" s="5"/>
      <c r="G15" t="s">
        <v>595</v>
      </c>
    </row>
    <row r="16" spans="1:7" ht="17.25" x14ac:dyDescent="0.3">
      <c r="A16" s="107" t="s">
        <v>178</v>
      </c>
      <c r="B16" s="107"/>
      <c r="C16" s="107"/>
      <c r="D16" s="107"/>
      <c r="E16" s="107"/>
      <c r="F16" s="107"/>
      <c r="G16" t="s">
        <v>595</v>
      </c>
    </row>
    <row r="17" spans="1:7" x14ac:dyDescent="0.25">
      <c r="A17" s="3" t="s">
        <v>0</v>
      </c>
      <c r="B17" s="3" t="s">
        <v>1</v>
      </c>
      <c r="C17" s="3" t="s">
        <v>2</v>
      </c>
      <c r="D17" s="3" t="s">
        <v>4</v>
      </c>
      <c r="E17" s="3" t="s">
        <v>3</v>
      </c>
      <c r="F17" s="3" t="s">
        <v>21</v>
      </c>
      <c r="G17" t="s">
        <v>595</v>
      </c>
    </row>
    <row r="18" spans="1:7" x14ac:dyDescent="0.25">
      <c r="A18" s="5" t="s">
        <v>183</v>
      </c>
      <c r="B18" s="5" t="s">
        <v>185</v>
      </c>
      <c r="C18" s="18">
        <v>443.40499999999997</v>
      </c>
      <c r="D18" s="5"/>
      <c r="E18" s="5"/>
      <c r="F18" s="5"/>
      <c r="G18" t="s">
        <v>595</v>
      </c>
    </row>
    <row r="19" spans="1:7" x14ac:dyDescent="0.25">
      <c r="A19" s="5" t="s">
        <v>184</v>
      </c>
      <c r="B19" s="5" t="s">
        <v>167</v>
      </c>
      <c r="C19" s="18">
        <v>7</v>
      </c>
      <c r="D19" s="5"/>
      <c r="E19" s="5"/>
      <c r="F19" s="5"/>
      <c r="G19" t="s">
        <v>595</v>
      </c>
    </row>
    <row r="20" spans="1:7" s="101" customFormat="1" x14ac:dyDescent="0.25">
      <c r="A20" s="89" t="s">
        <v>966</v>
      </c>
      <c r="B20" s="89" t="s">
        <v>167</v>
      </c>
      <c r="C20" s="66">
        <v>4.0999999999999996</v>
      </c>
      <c r="D20" s="89"/>
      <c r="E20" s="89"/>
      <c r="F20" s="89"/>
    </row>
    <row r="21" spans="1:7" s="101" customFormat="1" x14ac:dyDescent="0.25">
      <c r="A21" s="89" t="s">
        <v>967</v>
      </c>
      <c r="B21" s="89" t="s">
        <v>168</v>
      </c>
      <c r="C21" s="66">
        <v>6000</v>
      </c>
      <c r="D21" s="89"/>
      <c r="E21" s="89"/>
      <c r="F21" s="89"/>
    </row>
    <row r="22" spans="1:7" s="101" customFormat="1" x14ac:dyDescent="0.25">
      <c r="A22" s="97" t="s">
        <v>656</v>
      </c>
      <c r="B22" s="89" t="s">
        <v>185</v>
      </c>
      <c r="C22" s="66">
        <v>140</v>
      </c>
      <c r="D22" s="89"/>
      <c r="E22" s="89"/>
      <c r="F22" s="89"/>
    </row>
    <row r="23" spans="1:7" x14ac:dyDescent="0.25">
      <c r="A23" s="5"/>
      <c r="B23" s="5"/>
      <c r="C23" s="18"/>
      <c r="D23" s="5"/>
      <c r="E23" s="5"/>
      <c r="F23" s="5"/>
      <c r="G23" t="s">
        <v>595</v>
      </c>
    </row>
    <row r="24" spans="1:7" ht="17.25" x14ac:dyDescent="0.3">
      <c r="A24" s="107" t="s">
        <v>179</v>
      </c>
      <c r="B24" s="107"/>
      <c r="C24" s="107"/>
      <c r="D24" s="107"/>
      <c r="E24" s="107"/>
      <c r="F24" s="107"/>
      <c r="G24" t="s">
        <v>595</v>
      </c>
    </row>
    <row r="25" spans="1:7" x14ac:dyDescent="0.25">
      <c r="A25" s="3" t="s">
        <v>0</v>
      </c>
      <c r="B25" s="3" t="s">
        <v>1</v>
      </c>
      <c r="C25" s="3" t="s">
        <v>2</v>
      </c>
      <c r="D25" s="3" t="s">
        <v>4</v>
      </c>
      <c r="E25" s="3" t="s">
        <v>3</v>
      </c>
      <c r="F25" s="3" t="s">
        <v>21</v>
      </c>
      <c r="G25" t="s">
        <v>595</v>
      </c>
    </row>
    <row r="26" spans="1:7" x14ac:dyDescent="0.25">
      <c r="A26" s="108" t="s">
        <v>202</v>
      </c>
      <c r="B26" s="108"/>
      <c r="C26" s="108"/>
      <c r="D26" s="108"/>
      <c r="E26" s="108"/>
      <c r="F26" s="109"/>
      <c r="G26" t="s">
        <v>595</v>
      </c>
    </row>
    <row r="27" spans="1:7" x14ac:dyDescent="0.25">
      <c r="A27" s="5" t="s">
        <v>187</v>
      </c>
      <c r="B27" s="5" t="s">
        <v>185</v>
      </c>
      <c r="C27" s="18">
        <f>256</f>
        <v>256</v>
      </c>
      <c r="D27" s="5"/>
      <c r="E27" s="5"/>
      <c r="F27" s="5"/>
      <c r="G27" t="s">
        <v>595</v>
      </c>
    </row>
    <row r="28" spans="1:7" x14ac:dyDescent="0.25">
      <c r="A28" s="5" t="s">
        <v>186</v>
      </c>
      <c r="B28" s="5" t="s">
        <v>185</v>
      </c>
      <c r="C28" s="18">
        <f>DC_BUS_MAX_VOLTAGE</f>
        <v>443.40499999999997</v>
      </c>
      <c r="D28" s="5"/>
      <c r="E28" s="5"/>
      <c r="F28" s="5"/>
      <c r="G28" t="s">
        <v>595</v>
      </c>
    </row>
    <row r="29" spans="1:7" x14ac:dyDescent="0.25">
      <c r="A29" s="5" t="s">
        <v>188</v>
      </c>
      <c r="B29" s="5" t="s">
        <v>167</v>
      </c>
      <c r="C29" s="18">
        <v>8.2200000000000006</v>
      </c>
      <c r="D29" s="5"/>
      <c r="E29" s="5"/>
      <c r="F29" s="5"/>
      <c r="G29" t="s">
        <v>595</v>
      </c>
    </row>
    <row r="30" spans="1:7" x14ac:dyDescent="0.25">
      <c r="A30" s="5" t="s">
        <v>189</v>
      </c>
      <c r="B30" s="5" t="s">
        <v>198</v>
      </c>
      <c r="C30" s="18">
        <v>180</v>
      </c>
      <c r="D30" s="5"/>
      <c r="E30" s="5"/>
      <c r="F30" s="5"/>
      <c r="G30" t="s">
        <v>595</v>
      </c>
    </row>
    <row r="31" spans="1:7" x14ac:dyDescent="0.25">
      <c r="A31" s="5" t="s">
        <v>190</v>
      </c>
      <c r="B31" s="5" t="s">
        <v>197</v>
      </c>
      <c r="C31" s="18">
        <f>PI()</f>
        <v>3.1415926535897931</v>
      </c>
      <c r="D31" s="5"/>
      <c r="E31" s="5"/>
      <c r="F31" s="5"/>
      <c r="G31" t="s">
        <v>595</v>
      </c>
    </row>
    <row r="32" spans="1:7" x14ac:dyDescent="0.25">
      <c r="A32" s="108" t="s">
        <v>203</v>
      </c>
      <c r="B32" s="108"/>
      <c r="C32" s="108"/>
      <c r="D32" s="108"/>
      <c r="E32" s="108"/>
      <c r="F32" s="109"/>
      <c r="G32" t="s">
        <v>595</v>
      </c>
    </row>
    <row r="33" spans="1:7" x14ac:dyDescent="0.25">
      <c r="A33" s="5" t="s">
        <v>191</v>
      </c>
      <c r="B33" s="5" t="s">
        <v>169</v>
      </c>
      <c r="C33" s="18">
        <f>(LS_INDUCTANCE/1000) * MAX_PHASE_CURR + ROTOR_LAMBDAM+ 0.02</f>
        <v>0.27950000000000003</v>
      </c>
      <c r="D33" s="5"/>
      <c r="E33" s="5"/>
      <c r="F33" s="5"/>
      <c r="G33" t="s">
        <v>595</v>
      </c>
    </row>
    <row r="34" spans="1:7" x14ac:dyDescent="0.25">
      <c r="A34" s="5" t="s">
        <v>192</v>
      </c>
      <c r="B34" s="5" t="s">
        <v>182</v>
      </c>
      <c r="C34" s="18">
        <f>(1.5 * POLE_PAIRS * BASE_FLUX * BASE_CURRENT)</f>
        <v>13.784940000000001</v>
      </c>
      <c r="D34" s="5"/>
      <c r="E34" s="5"/>
      <c r="F34" s="5"/>
      <c r="G34" t="s">
        <v>595</v>
      </c>
    </row>
    <row r="35" spans="1:7" x14ac:dyDescent="0.25">
      <c r="A35" s="5" t="s">
        <v>193</v>
      </c>
      <c r="B35" s="5" t="s">
        <v>204</v>
      </c>
      <c r="C35" s="18">
        <f>1.5 * BASE_VOLTAGE * BASE_CURRENT</f>
        <v>3156.4800000000005</v>
      </c>
      <c r="D35" s="5"/>
      <c r="E35" s="5"/>
      <c r="F35" s="5"/>
      <c r="G35" t="s">
        <v>595</v>
      </c>
    </row>
    <row r="36" spans="1:7" x14ac:dyDescent="0.25">
      <c r="A36" s="5" t="s">
        <v>194</v>
      </c>
      <c r="B36" s="5" t="s">
        <v>199</v>
      </c>
      <c r="C36" s="18">
        <f>(BASE_FLUX * 1000 / BASE_CURRENT)</f>
        <v>34.002433090024326</v>
      </c>
      <c r="D36" s="5"/>
      <c r="E36" s="5"/>
      <c r="F36" s="5"/>
      <c r="G36" t="s">
        <v>595</v>
      </c>
    </row>
    <row r="37" spans="1:7" x14ac:dyDescent="0.25">
      <c r="A37" s="5" t="s">
        <v>195</v>
      </c>
      <c r="B37" s="5" t="s">
        <v>166</v>
      </c>
      <c r="C37" s="18">
        <f>BASE_VOLTAGE / BASE_CURRENT</f>
        <v>31.143552311435521</v>
      </c>
      <c r="D37" s="5"/>
      <c r="E37" s="5"/>
      <c r="F37" s="5"/>
      <c r="G37" t="s">
        <v>595</v>
      </c>
    </row>
    <row r="38" spans="1:7" x14ac:dyDescent="0.25">
      <c r="A38" s="5" t="s">
        <v>206</v>
      </c>
      <c r="B38" s="5" t="s">
        <v>205</v>
      </c>
      <c r="C38" s="18">
        <f>BASE_VOLTAGE / BASE_FLUX</f>
        <v>915.92128801431113</v>
      </c>
      <c r="D38" s="5"/>
      <c r="E38" s="5"/>
      <c r="F38" s="5"/>
      <c r="G38" t="s">
        <v>595</v>
      </c>
    </row>
    <row r="39" spans="1:7" x14ac:dyDescent="0.25">
      <c r="A39" s="5" t="s">
        <v>207</v>
      </c>
      <c r="B39" s="5" t="s">
        <v>168</v>
      </c>
      <c r="C39" s="18">
        <f>(BASE_OMEGA * 60) / (2 * PI() * POLE_PAIRS)</f>
        <v>2186.6010070585976</v>
      </c>
      <c r="D39" s="5"/>
      <c r="E39" s="5"/>
      <c r="F39" s="5"/>
      <c r="G39" t="s">
        <v>595</v>
      </c>
    </row>
    <row r="40" spans="1:7" x14ac:dyDescent="0.25">
      <c r="A40" s="5" t="s">
        <v>196</v>
      </c>
      <c r="B40" s="5" t="s">
        <v>173</v>
      </c>
      <c r="C40" s="18">
        <f>(PI() / BASE_OMEGA)</f>
        <v>3.4299810417122941E-3</v>
      </c>
      <c r="D40" s="5"/>
      <c r="E40" s="5"/>
      <c r="F40" s="5"/>
      <c r="G40" t="s">
        <v>595</v>
      </c>
    </row>
    <row r="41" spans="1:7" x14ac:dyDescent="0.25">
      <c r="A41" s="5"/>
      <c r="B41" s="5"/>
      <c r="C41" s="18"/>
      <c r="D41" s="5"/>
      <c r="E41" s="5"/>
      <c r="F41" s="5"/>
      <c r="G41" t="s">
        <v>595</v>
      </c>
    </row>
    <row r="42" spans="1:7" ht="17.25" x14ac:dyDescent="0.3">
      <c r="A42" s="107" t="s">
        <v>243</v>
      </c>
      <c r="B42" s="107"/>
      <c r="C42" s="107"/>
      <c r="D42" s="107"/>
      <c r="E42" s="107"/>
      <c r="F42" s="107"/>
      <c r="G42" t="s">
        <v>596</v>
      </c>
    </row>
    <row r="43" spans="1:7" x14ac:dyDescent="0.25">
      <c r="A43" s="3" t="s">
        <v>0</v>
      </c>
      <c r="B43" s="3" t="s">
        <v>1</v>
      </c>
      <c r="C43" s="3" t="s">
        <v>2</v>
      </c>
      <c r="D43" s="3" t="s">
        <v>4</v>
      </c>
      <c r="E43" s="3" t="s">
        <v>3</v>
      </c>
      <c r="F43" s="3" t="s">
        <v>21</v>
      </c>
      <c r="G43" t="s">
        <v>596</v>
      </c>
    </row>
    <row r="44" spans="1:7" x14ac:dyDescent="0.25">
      <c r="A44" s="4" t="s">
        <v>42</v>
      </c>
      <c r="B44" s="5" t="s">
        <v>166</v>
      </c>
      <c r="C44" s="18">
        <f>STATOR_RESISTANCE</f>
        <v>2.8</v>
      </c>
      <c r="D44" s="5"/>
      <c r="E44" s="5"/>
      <c r="F44" s="5"/>
      <c r="G44" t="s">
        <v>596</v>
      </c>
    </row>
    <row r="45" spans="1:7" s="101" customFormat="1" x14ac:dyDescent="0.25">
      <c r="A45" s="88" t="s">
        <v>1000</v>
      </c>
      <c r="B45" s="89" t="s">
        <v>19</v>
      </c>
      <c r="C45" s="66">
        <v>50</v>
      </c>
      <c r="D45" s="89"/>
      <c r="E45" s="89"/>
      <c r="F45" s="89"/>
      <c r="G45" s="101" t="s">
        <v>596</v>
      </c>
    </row>
    <row r="46" spans="1:7" x14ac:dyDescent="0.25">
      <c r="A46" s="4" t="s">
        <v>43</v>
      </c>
      <c r="B46" s="5" t="s">
        <v>170</v>
      </c>
      <c r="C46" s="18">
        <v>0</v>
      </c>
      <c r="D46" s="5"/>
      <c r="E46" s="5"/>
      <c r="F46" s="5"/>
      <c r="G46" t="s">
        <v>596</v>
      </c>
    </row>
    <row r="47" spans="1:7" x14ac:dyDescent="0.25">
      <c r="A47" s="4" t="s">
        <v>44</v>
      </c>
      <c r="B47" s="5" t="s">
        <v>167</v>
      </c>
      <c r="C47" s="18">
        <v>0.7</v>
      </c>
      <c r="D47" s="5"/>
      <c r="E47" s="5"/>
      <c r="F47" s="5"/>
      <c r="G47" t="s">
        <v>596</v>
      </c>
    </row>
    <row r="48" spans="1:7" x14ac:dyDescent="0.25">
      <c r="A48" s="4" t="s">
        <v>45</v>
      </c>
      <c r="B48" s="5" t="s">
        <v>168</v>
      </c>
      <c r="C48" s="18">
        <v>80</v>
      </c>
      <c r="D48" s="5"/>
      <c r="E48" s="5"/>
      <c r="F48" s="5"/>
      <c r="G48" t="s">
        <v>596</v>
      </c>
    </row>
    <row r="49" spans="1:8" x14ac:dyDescent="0.25">
      <c r="A49" s="4" t="s">
        <v>46</v>
      </c>
      <c r="B49" s="5" t="s">
        <v>169</v>
      </c>
      <c r="C49" s="18">
        <f>ROTOR_LAMBDAM</f>
        <v>8.4500000000000006E-2</v>
      </c>
      <c r="D49" s="5"/>
      <c r="E49" s="5"/>
      <c r="F49" s="5"/>
      <c r="G49" t="s">
        <v>596</v>
      </c>
    </row>
    <row r="50" spans="1:8" x14ac:dyDescent="0.25">
      <c r="A50" s="4" t="s">
        <v>47</v>
      </c>
      <c r="B50" s="5" t="s">
        <v>172</v>
      </c>
      <c r="C50" s="18">
        <v>60</v>
      </c>
      <c r="D50" s="5"/>
      <c r="E50" s="5"/>
      <c r="F50" s="5"/>
      <c r="G50" t="s">
        <v>596</v>
      </c>
    </row>
    <row r="51" spans="1:8" x14ac:dyDescent="0.25">
      <c r="A51" s="4" t="s">
        <v>48</v>
      </c>
      <c r="B51" s="5" t="s">
        <v>171</v>
      </c>
      <c r="C51" s="18">
        <f>(0.5 * BASE_VOLTAGE * OBSERVER_TS) / BASE_FLUX</f>
        <v>5.7245080500894448E-2</v>
      </c>
      <c r="D51" s="5"/>
      <c r="E51" s="5"/>
      <c r="F51" s="5"/>
      <c r="G51" t="s">
        <v>596</v>
      </c>
    </row>
    <row r="52" spans="1:8" x14ac:dyDescent="0.25">
      <c r="A52" s="4" t="s">
        <v>49</v>
      </c>
      <c r="B52" s="5" t="s">
        <v>168</v>
      </c>
      <c r="C52" s="18">
        <v>0.01</v>
      </c>
      <c r="D52" s="5"/>
      <c r="E52" s="5"/>
      <c r="F52" s="5"/>
      <c r="G52" t="s">
        <v>596</v>
      </c>
    </row>
    <row r="53" spans="1:8" x14ac:dyDescent="0.25">
      <c r="A53" s="4" t="s">
        <v>50</v>
      </c>
      <c r="B53" s="5" t="s">
        <v>69</v>
      </c>
      <c r="C53" s="28">
        <f>POLE_PAIRS</f>
        <v>4</v>
      </c>
      <c r="D53" s="5"/>
      <c r="E53" s="5"/>
      <c r="F53" s="5"/>
      <c r="G53" t="s">
        <v>596</v>
      </c>
    </row>
    <row r="54" spans="1:8" x14ac:dyDescent="0.25">
      <c r="A54" s="4" t="s">
        <v>51</v>
      </c>
      <c r="B54" s="5" t="s">
        <v>242</v>
      </c>
      <c r="C54" s="29">
        <f>(  (1/OBSERVER_TS)/BASE_OMEGA  )</f>
        <v>8.7343750000000018</v>
      </c>
      <c r="D54" s="5"/>
      <c r="E54" s="5"/>
      <c r="F54" s="5"/>
      <c r="G54" t="s">
        <v>596</v>
      </c>
      <c r="H54" s="30"/>
    </row>
    <row r="55" spans="1:8" s="101" customFormat="1" x14ac:dyDescent="0.25">
      <c r="A55" s="88" t="s">
        <v>1002</v>
      </c>
      <c r="B55" s="89" t="s">
        <v>69</v>
      </c>
      <c r="C55" s="66">
        <v>0</v>
      </c>
      <c r="D55" s="89"/>
      <c r="E55" s="89"/>
      <c r="F55" s="89"/>
      <c r="G55" s="101" t="s">
        <v>596</v>
      </c>
      <c r="H55" s="30"/>
    </row>
    <row r="56" spans="1:8" x14ac:dyDescent="0.25">
      <c r="A56" s="4" t="s">
        <v>52</v>
      </c>
      <c r="B56" s="5" t="s">
        <v>173</v>
      </c>
      <c r="C56" s="18">
        <v>0.5</v>
      </c>
      <c r="D56" s="5"/>
      <c r="E56" s="5"/>
      <c r="F56" s="5"/>
      <c r="G56" t="s">
        <v>596</v>
      </c>
    </row>
    <row r="57" spans="1:8" x14ac:dyDescent="0.25">
      <c r="A57" s="4" t="s">
        <v>53</v>
      </c>
      <c r="B57" s="5"/>
      <c r="C57" s="18">
        <v>118</v>
      </c>
      <c r="D57" s="5"/>
      <c r="E57" s="5"/>
      <c r="F57" s="5"/>
      <c r="G57" t="s">
        <v>596</v>
      </c>
    </row>
    <row r="58" spans="1:8" x14ac:dyDescent="0.25">
      <c r="A58" s="4" t="s">
        <v>54</v>
      </c>
      <c r="B58" s="5"/>
      <c r="C58" s="18">
        <v>3410</v>
      </c>
      <c r="D58" s="5"/>
      <c r="E58" s="5"/>
      <c r="F58" s="5"/>
      <c r="G58" t="s">
        <v>596</v>
      </c>
    </row>
    <row r="59" spans="1:8" x14ac:dyDescent="0.25">
      <c r="A59" s="4" t="s">
        <v>55</v>
      </c>
      <c r="B59" s="5"/>
      <c r="C59" s="31">
        <f>(OBSERVER_TS * 0.5)</f>
        <v>6.2500000000000001E-5</v>
      </c>
      <c r="D59" s="5"/>
      <c r="E59" s="5"/>
      <c r="F59" s="5"/>
      <c r="G59" t="s">
        <v>596</v>
      </c>
    </row>
    <row r="60" spans="1:8" x14ac:dyDescent="0.25">
      <c r="A60" s="4" t="s">
        <v>56</v>
      </c>
      <c r="B60" s="5"/>
      <c r="C60" s="31">
        <f>60 / (BASE_SPEED_RPM * POLE_PAIRS * 2 * PI())</f>
        <v>1.0917968750000001E-3</v>
      </c>
      <c r="D60" s="5"/>
      <c r="E60" s="5"/>
      <c r="F60" s="5"/>
      <c r="G60" t="s">
        <v>596</v>
      </c>
    </row>
    <row r="61" spans="1:8" x14ac:dyDescent="0.25">
      <c r="A61" s="4" t="s">
        <v>209</v>
      </c>
      <c r="B61" s="5" t="s">
        <v>173</v>
      </c>
      <c r="C61" s="69">
        <f>1/8000</f>
        <v>1.25E-4</v>
      </c>
      <c r="D61" s="5"/>
      <c r="E61" s="5"/>
      <c r="F61" s="5"/>
      <c r="G61" t="s">
        <v>596</v>
      </c>
    </row>
    <row r="62" spans="1:8" x14ac:dyDescent="0.25">
      <c r="A62" s="4" t="s">
        <v>210</v>
      </c>
      <c r="B62" s="5" t="s">
        <v>199</v>
      </c>
      <c r="C62" s="66">
        <v>21.17</v>
      </c>
      <c r="D62" s="5"/>
      <c r="E62" s="5"/>
      <c r="F62" s="5"/>
      <c r="G62" t="s">
        <v>596</v>
      </c>
    </row>
    <row r="63" spans="1:8" x14ac:dyDescent="0.25">
      <c r="A63" s="4" t="s">
        <v>211</v>
      </c>
      <c r="B63" s="5" t="s">
        <v>199</v>
      </c>
      <c r="C63" s="66">
        <v>21.17</v>
      </c>
      <c r="D63" s="5"/>
      <c r="E63" s="5"/>
      <c r="F63" s="5"/>
      <c r="G63" t="s">
        <v>596</v>
      </c>
    </row>
    <row r="64" spans="1:8" x14ac:dyDescent="0.25">
      <c r="A64" s="4" t="s">
        <v>212</v>
      </c>
      <c r="B64" s="5" t="s">
        <v>199</v>
      </c>
      <c r="C64" s="66">
        <v>21.17</v>
      </c>
      <c r="D64" s="5"/>
      <c r="E64" s="5"/>
      <c r="F64" s="5"/>
      <c r="G64" t="s">
        <v>596</v>
      </c>
    </row>
    <row r="65" spans="1:7" x14ac:dyDescent="0.25">
      <c r="A65" s="4" t="s">
        <v>213</v>
      </c>
      <c r="B65" s="5" t="s">
        <v>199</v>
      </c>
      <c r="C65" s="66">
        <v>21.17</v>
      </c>
      <c r="D65" s="5"/>
      <c r="E65" s="5"/>
      <c r="F65" s="5"/>
      <c r="G65" t="s">
        <v>596</v>
      </c>
    </row>
    <row r="66" spans="1:7" x14ac:dyDescent="0.25">
      <c r="A66" s="4" t="s">
        <v>214</v>
      </c>
      <c r="B66" s="5" t="s">
        <v>199</v>
      </c>
      <c r="C66" s="66">
        <v>21.17</v>
      </c>
      <c r="D66" s="5"/>
      <c r="E66" s="5"/>
      <c r="F66" s="5"/>
      <c r="G66" t="s">
        <v>596</v>
      </c>
    </row>
    <row r="67" spans="1:7" x14ac:dyDescent="0.25">
      <c r="A67" s="4" t="s">
        <v>215</v>
      </c>
      <c r="B67" s="5" t="s">
        <v>199</v>
      </c>
      <c r="C67" s="66">
        <v>21.17</v>
      </c>
      <c r="D67" s="5"/>
      <c r="E67" s="5"/>
      <c r="F67" s="5"/>
      <c r="G67" t="s">
        <v>596</v>
      </c>
    </row>
    <row r="68" spans="1:7" x14ac:dyDescent="0.25">
      <c r="A68" s="4" t="s">
        <v>216</v>
      </c>
      <c r="B68" s="5" t="s">
        <v>199</v>
      </c>
      <c r="C68" s="66">
        <v>21.17</v>
      </c>
      <c r="D68" s="5"/>
      <c r="E68" s="5"/>
      <c r="F68" s="5"/>
      <c r="G68" t="s">
        <v>596</v>
      </c>
    </row>
    <row r="69" spans="1:7" x14ac:dyDescent="0.25">
      <c r="A69" s="4" t="s">
        <v>217</v>
      </c>
      <c r="B69" s="5" t="s">
        <v>199</v>
      </c>
      <c r="C69" s="66">
        <v>21.17</v>
      </c>
      <c r="D69" s="5"/>
      <c r="E69" s="5"/>
      <c r="F69" s="5"/>
      <c r="G69" t="s">
        <v>596</v>
      </c>
    </row>
    <row r="70" spans="1:7" x14ac:dyDescent="0.25">
      <c r="A70" s="4" t="s">
        <v>218</v>
      </c>
      <c r="B70" s="5" t="s">
        <v>167</v>
      </c>
      <c r="C70" s="18">
        <v>0</v>
      </c>
      <c r="D70" s="5"/>
      <c r="E70" s="5"/>
      <c r="F70" s="5"/>
      <c r="G70" t="s">
        <v>596</v>
      </c>
    </row>
    <row r="71" spans="1:7" x14ac:dyDescent="0.25">
      <c r="A71" s="4" t="s">
        <v>219</v>
      </c>
      <c r="B71" s="5" t="s">
        <v>167</v>
      </c>
      <c r="C71" s="18">
        <v>-1</v>
      </c>
      <c r="D71" s="5"/>
      <c r="E71" s="5"/>
      <c r="F71" s="5"/>
      <c r="G71" t="s">
        <v>596</v>
      </c>
    </row>
    <row r="72" spans="1:7" x14ac:dyDescent="0.25">
      <c r="A72" s="4" t="s">
        <v>220</v>
      </c>
      <c r="B72" s="5" t="s">
        <v>167</v>
      </c>
      <c r="C72" s="18">
        <v>-2</v>
      </c>
      <c r="D72" s="5"/>
      <c r="E72" s="5"/>
      <c r="F72" s="5"/>
      <c r="G72" t="s">
        <v>596</v>
      </c>
    </row>
    <row r="73" spans="1:7" x14ac:dyDescent="0.25">
      <c r="A73" s="4" t="s">
        <v>221</v>
      </c>
      <c r="B73" s="5" t="s">
        <v>167</v>
      </c>
      <c r="C73" s="66">
        <v>-3</v>
      </c>
      <c r="D73" s="5"/>
      <c r="E73" s="5"/>
      <c r="F73" s="5"/>
      <c r="G73" t="s">
        <v>596</v>
      </c>
    </row>
    <row r="74" spans="1:7" x14ac:dyDescent="0.25">
      <c r="A74" s="4" t="s">
        <v>222</v>
      </c>
      <c r="B74" s="5" t="s">
        <v>167</v>
      </c>
      <c r="C74" s="66">
        <v>-4</v>
      </c>
      <c r="D74" s="5"/>
      <c r="E74" s="5"/>
      <c r="F74" s="5"/>
      <c r="G74" t="s">
        <v>596</v>
      </c>
    </row>
    <row r="75" spans="1:7" x14ac:dyDescent="0.25">
      <c r="A75" s="4" t="s">
        <v>223</v>
      </c>
      <c r="B75" s="5" t="s">
        <v>167</v>
      </c>
      <c r="C75" s="66">
        <v>-5</v>
      </c>
      <c r="D75" s="5"/>
      <c r="E75" s="5"/>
      <c r="F75" s="5"/>
      <c r="G75" t="s">
        <v>596</v>
      </c>
    </row>
    <row r="76" spans="1:7" x14ac:dyDescent="0.25">
      <c r="A76" s="4" t="s">
        <v>224</v>
      </c>
      <c r="B76" s="5" t="s">
        <v>167</v>
      </c>
      <c r="C76" s="66">
        <v>-6</v>
      </c>
      <c r="D76" s="5"/>
      <c r="E76" s="5"/>
      <c r="F76" s="5"/>
      <c r="G76" t="s">
        <v>596</v>
      </c>
    </row>
    <row r="77" spans="1:7" x14ac:dyDescent="0.25">
      <c r="A77" s="4" t="s">
        <v>225</v>
      </c>
      <c r="B77" s="5" t="s">
        <v>167</v>
      </c>
      <c r="C77" s="66">
        <v>-6</v>
      </c>
      <c r="D77" s="5"/>
      <c r="E77" s="5"/>
      <c r="F77" s="5"/>
      <c r="G77" t="s">
        <v>596</v>
      </c>
    </row>
    <row r="78" spans="1:7" x14ac:dyDescent="0.25">
      <c r="A78" s="4" t="s">
        <v>226</v>
      </c>
      <c r="B78" s="5" t="s">
        <v>199</v>
      </c>
      <c r="C78" s="66">
        <v>27.44</v>
      </c>
      <c r="D78" s="5"/>
      <c r="E78" s="5"/>
      <c r="F78" s="5"/>
      <c r="G78" t="s">
        <v>596</v>
      </c>
    </row>
    <row r="79" spans="1:7" x14ac:dyDescent="0.25">
      <c r="A79" s="4" t="s">
        <v>227</v>
      </c>
      <c r="B79" s="5" t="s">
        <v>199</v>
      </c>
      <c r="C79" s="66">
        <v>27.77</v>
      </c>
      <c r="D79" s="5"/>
      <c r="E79" s="5"/>
      <c r="F79" s="5"/>
      <c r="G79" t="s">
        <v>596</v>
      </c>
    </row>
    <row r="80" spans="1:7" x14ac:dyDescent="0.25">
      <c r="A80" s="4" t="s">
        <v>228</v>
      </c>
      <c r="B80" s="5" t="s">
        <v>199</v>
      </c>
      <c r="C80" s="66">
        <v>27.42</v>
      </c>
      <c r="D80" s="5"/>
      <c r="E80" s="5"/>
      <c r="F80" s="5"/>
      <c r="G80" t="s">
        <v>596</v>
      </c>
    </row>
    <row r="81" spans="1:7" x14ac:dyDescent="0.25">
      <c r="A81" s="4" t="s">
        <v>229</v>
      </c>
      <c r="B81" s="5" t="s">
        <v>199</v>
      </c>
      <c r="C81" s="66">
        <v>26.46</v>
      </c>
      <c r="D81" s="5"/>
      <c r="E81" s="5"/>
      <c r="F81" s="5"/>
      <c r="G81" t="s">
        <v>596</v>
      </c>
    </row>
    <row r="82" spans="1:7" x14ac:dyDescent="0.25">
      <c r="A82" s="4" t="s">
        <v>230</v>
      </c>
      <c r="B82" s="5" t="s">
        <v>199</v>
      </c>
      <c r="C82" s="66">
        <v>24.26</v>
      </c>
      <c r="D82" s="5"/>
      <c r="E82" s="5"/>
      <c r="F82" s="5"/>
      <c r="G82" t="s">
        <v>596</v>
      </c>
    </row>
    <row r="83" spans="1:7" x14ac:dyDescent="0.25">
      <c r="A83" s="4" t="s">
        <v>231</v>
      </c>
      <c r="B83" s="5" t="s">
        <v>199</v>
      </c>
      <c r="C83" s="66">
        <v>23.29</v>
      </c>
      <c r="D83" s="5"/>
      <c r="E83" s="5"/>
      <c r="F83" s="5"/>
      <c r="G83" t="s">
        <v>596</v>
      </c>
    </row>
    <row r="84" spans="1:7" x14ac:dyDescent="0.25">
      <c r="A84" s="4" t="s">
        <v>232</v>
      </c>
      <c r="B84" s="5" t="s">
        <v>199</v>
      </c>
      <c r="C84" s="66">
        <v>22.41</v>
      </c>
      <c r="D84" s="5"/>
      <c r="E84" s="5"/>
      <c r="F84" s="5"/>
      <c r="G84" t="s">
        <v>596</v>
      </c>
    </row>
    <row r="85" spans="1:7" x14ac:dyDescent="0.25">
      <c r="A85" s="4" t="s">
        <v>233</v>
      </c>
      <c r="B85" s="5" t="s">
        <v>199</v>
      </c>
      <c r="C85" s="66">
        <v>22.41</v>
      </c>
      <c r="D85" s="5"/>
      <c r="E85" s="5"/>
      <c r="F85" s="5"/>
      <c r="G85" t="s">
        <v>596</v>
      </c>
    </row>
    <row r="86" spans="1:7" x14ac:dyDescent="0.25">
      <c r="A86" s="4" t="s">
        <v>234</v>
      </c>
      <c r="B86" s="5" t="s">
        <v>167</v>
      </c>
      <c r="C86" s="66">
        <v>0</v>
      </c>
      <c r="D86" s="5"/>
      <c r="E86" s="5"/>
      <c r="F86" s="5"/>
      <c r="G86" t="s">
        <v>596</v>
      </c>
    </row>
    <row r="87" spans="1:7" x14ac:dyDescent="0.25">
      <c r="A87" s="4" t="s">
        <v>235</v>
      </c>
      <c r="B87" s="5" t="s">
        <v>167</v>
      </c>
      <c r="C87" s="66">
        <v>1</v>
      </c>
      <c r="D87" s="5"/>
      <c r="E87" s="5"/>
      <c r="F87" s="5"/>
      <c r="G87" t="s">
        <v>596</v>
      </c>
    </row>
    <row r="88" spans="1:7" x14ac:dyDescent="0.25">
      <c r="A88" s="4" t="s">
        <v>236</v>
      </c>
      <c r="B88" s="5" t="s">
        <v>167</v>
      </c>
      <c r="C88" s="66">
        <v>2</v>
      </c>
      <c r="D88" s="5"/>
      <c r="E88" s="5"/>
      <c r="F88" s="5"/>
      <c r="G88" t="s">
        <v>596</v>
      </c>
    </row>
    <row r="89" spans="1:7" x14ac:dyDescent="0.25">
      <c r="A89" s="4" t="s">
        <v>237</v>
      </c>
      <c r="B89" s="5" t="s">
        <v>167</v>
      </c>
      <c r="C89" s="66">
        <v>3</v>
      </c>
      <c r="D89" s="5"/>
      <c r="E89" s="5"/>
      <c r="F89" s="5"/>
      <c r="G89" t="s">
        <v>596</v>
      </c>
    </row>
    <row r="90" spans="1:7" x14ac:dyDescent="0.25">
      <c r="A90" s="4" t="s">
        <v>238</v>
      </c>
      <c r="B90" s="5" t="s">
        <v>167</v>
      </c>
      <c r="C90" s="66">
        <v>4</v>
      </c>
      <c r="D90" s="5"/>
      <c r="E90" s="5"/>
      <c r="F90" s="5"/>
      <c r="G90" t="s">
        <v>596</v>
      </c>
    </row>
    <row r="91" spans="1:7" x14ac:dyDescent="0.25">
      <c r="A91" s="4" t="s">
        <v>239</v>
      </c>
      <c r="B91" s="5" t="s">
        <v>167</v>
      </c>
      <c r="C91" s="66">
        <v>5</v>
      </c>
      <c r="D91" s="5"/>
      <c r="E91" s="5"/>
      <c r="F91" s="5"/>
      <c r="G91" t="s">
        <v>596</v>
      </c>
    </row>
    <row r="92" spans="1:7" x14ac:dyDescent="0.25">
      <c r="A92" s="4" t="s">
        <v>240</v>
      </c>
      <c r="B92" s="5" t="s">
        <v>167</v>
      </c>
      <c r="C92" s="66">
        <v>6</v>
      </c>
      <c r="D92" s="5"/>
      <c r="E92" s="5"/>
      <c r="F92" s="5"/>
      <c r="G92" t="s">
        <v>596</v>
      </c>
    </row>
    <row r="93" spans="1:7" x14ac:dyDescent="0.25">
      <c r="A93" s="4" t="s">
        <v>241</v>
      </c>
      <c r="B93" s="5" t="s">
        <v>167</v>
      </c>
      <c r="C93" s="66">
        <v>6</v>
      </c>
      <c r="D93" s="5"/>
      <c r="E93" s="5"/>
      <c r="F93" s="5"/>
      <c r="G93" t="s">
        <v>596</v>
      </c>
    </row>
    <row r="94" spans="1:7" x14ac:dyDescent="0.25">
      <c r="A94" s="4" t="s">
        <v>246</v>
      </c>
      <c r="B94" s="5" t="s">
        <v>199</v>
      </c>
      <c r="C94" s="18">
        <v>0</v>
      </c>
      <c r="D94" s="5"/>
      <c r="E94" s="5"/>
      <c r="F94" s="5"/>
      <c r="G94" t="s">
        <v>596</v>
      </c>
    </row>
    <row r="95" spans="1:7" x14ac:dyDescent="0.25">
      <c r="A95" s="4" t="s">
        <v>247</v>
      </c>
      <c r="B95" s="5" t="s">
        <v>199</v>
      </c>
      <c r="C95" s="18">
        <v>0</v>
      </c>
      <c r="D95" s="5"/>
      <c r="E95" s="5"/>
      <c r="F95" s="5"/>
      <c r="G95" t="s">
        <v>596</v>
      </c>
    </row>
    <row r="96" spans="1:7" x14ac:dyDescent="0.25">
      <c r="A96" s="4" t="s">
        <v>248</v>
      </c>
      <c r="B96" s="5" t="s">
        <v>199</v>
      </c>
      <c r="C96" s="18">
        <v>0</v>
      </c>
      <c r="D96" s="5"/>
      <c r="E96" s="5"/>
      <c r="F96" s="5"/>
      <c r="G96" t="s">
        <v>596</v>
      </c>
    </row>
    <row r="97" spans="1:7" x14ac:dyDescent="0.25">
      <c r="A97" s="4" t="s">
        <v>249</v>
      </c>
      <c r="B97" s="5" t="s">
        <v>199</v>
      </c>
      <c r="C97" s="18">
        <v>0</v>
      </c>
      <c r="D97" s="5"/>
      <c r="E97" s="5"/>
      <c r="F97" s="5"/>
      <c r="G97" t="s">
        <v>596</v>
      </c>
    </row>
    <row r="98" spans="1:7" x14ac:dyDescent="0.25">
      <c r="A98" s="4" t="s">
        <v>250</v>
      </c>
      <c r="B98" s="5" t="s">
        <v>199</v>
      </c>
      <c r="C98" s="18">
        <v>0</v>
      </c>
      <c r="D98" s="5"/>
      <c r="E98" s="5"/>
      <c r="F98" s="5"/>
      <c r="G98" t="s">
        <v>596</v>
      </c>
    </row>
    <row r="99" spans="1:7" x14ac:dyDescent="0.25">
      <c r="A99" s="4" t="s">
        <v>251</v>
      </c>
      <c r="B99" s="5" t="s">
        <v>199</v>
      </c>
      <c r="C99" s="18">
        <v>0</v>
      </c>
      <c r="D99" s="5"/>
      <c r="E99" s="5"/>
      <c r="F99" s="5"/>
      <c r="G99" t="s">
        <v>596</v>
      </c>
    </row>
    <row r="100" spans="1:7" x14ac:dyDescent="0.25">
      <c r="A100" s="4" t="s">
        <v>252</v>
      </c>
      <c r="B100" s="5" t="s">
        <v>199</v>
      </c>
      <c r="C100" s="18">
        <v>0</v>
      </c>
      <c r="D100" s="5"/>
      <c r="E100" s="5"/>
      <c r="F100" s="5"/>
      <c r="G100" t="s">
        <v>596</v>
      </c>
    </row>
    <row r="101" spans="1:7" x14ac:dyDescent="0.25">
      <c r="A101" s="4" t="s">
        <v>253</v>
      </c>
      <c r="B101" s="5" t="s">
        <v>199</v>
      </c>
      <c r="C101" s="18">
        <v>0</v>
      </c>
      <c r="D101" s="5"/>
      <c r="E101" s="5"/>
      <c r="F101" s="5"/>
      <c r="G101" t="s">
        <v>596</v>
      </c>
    </row>
    <row r="102" spans="1:7" x14ac:dyDescent="0.25">
      <c r="A102" s="4" t="s">
        <v>254</v>
      </c>
      <c r="B102" s="5" t="s">
        <v>167</v>
      </c>
      <c r="C102" s="18">
        <v>0</v>
      </c>
      <c r="D102" s="5"/>
      <c r="E102" s="5"/>
      <c r="F102" s="5"/>
      <c r="G102" t="s">
        <v>596</v>
      </c>
    </row>
    <row r="103" spans="1:7" x14ac:dyDescent="0.25">
      <c r="A103" s="4" t="s">
        <v>255</v>
      </c>
      <c r="B103" s="5" t="s">
        <v>167</v>
      </c>
      <c r="C103" s="18">
        <v>0</v>
      </c>
      <c r="D103" s="5"/>
      <c r="E103" s="5"/>
      <c r="F103" s="5"/>
      <c r="G103" t="s">
        <v>596</v>
      </c>
    </row>
    <row r="104" spans="1:7" x14ac:dyDescent="0.25">
      <c r="A104" s="4" t="s">
        <v>256</v>
      </c>
      <c r="B104" s="5" t="s">
        <v>167</v>
      </c>
      <c r="C104" s="18">
        <v>0</v>
      </c>
      <c r="D104" s="5"/>
      <c r="E104" s="5"/>
      <c r="F104" s="5"/>
      <c r="G104" t="s">
        <v>596</v>
      </c>
    </row>
    <row r="105" spans="1:7" x14ac:dyDescent="0.25">
      <c r="A105" s="4" t="s">
        <v>257</v>
      </c>
      <c r="B105" s="5" t="s">
        <v>167</v>
      </c>
      <c r="C105" s="18">
        <v>0</v>
      </c>
      <c r="D105" s="5"/>
      <c r="E105" s="5"/>
      <c r="F105" s="5"/>
      <c r="G105" t="s">
        <v>596</v>
      </c>
    </row>
    <row r="106" spans="1:7" x14ac:dyDescent="0.25">
      <c r="A106" s="4" t="s">
        <v>258</v>
      </c>
      <c r="B106" s="5" t="s">
        <v>167</v>
      </c>
      <c r="C106" s="18">
        <v>0</v>
      </c>
      <c r="D106" s="5"/>
      <c r="E106" s="5"/>
      <c r="F106" s="5"/>
      <c r="G106" t="s">
        <v>596</v>
      </c>
    </row>
    <row r="107" spans="1:7" x14ac:dyDescent="0.25">
      <c r="A107" s="4" t="s">
        <v>259</v>
      </c>
      <c r="B107" s="5" t="s">
        <v>167</v>
      </c>
      <c r="C107" s="18">
        <v>0</v>
      </c>
      <c r="D107" s="5"/>
      <c r="E107" s="5"/>
      <c r="F107" s="5"/>
      <c r="G107" t="s">
        <v>596</v>
      </c>
    </row>
    <row r="108" spans="1:7" x14ac:dyDescent="0.25">
      <c r="A108" s="4" t="s">
        <v>260</v>
      </c>
      <c r="B108" s="5" t="s">
        <v>167</v>
      </c>
      <c r="C108" s="18">
        <v>0</v>
      </c>
      <c r="D108" s="5"/>
      <c r="E108" s="5"/>
      <c r="F108" s="5"/>
      <c r="G108" t="s">
        <v>596</v>
      </c>
    </row>
    <row r="109" spans="1:7" x14ac:dyDescent="0.25">
      <c r="A109" s="4" t="s">
        <v>261</v>
      </c>
      <c r="B109" s="5" t="s">
        <v>167</v>
      </c>
      <c r="C109" s="18">
        <v>0</v>
      </c>
      <c r="D109" s="5"/>
      <c r="E109" s="5"/>
      <c r="F109" s="5"/>
      <c r="G109" t="s">
        <v>596</v>
      </c>
    </row>
    <row r="110" spans="1:7" x14ac:dyDescent="0.25">
      <c r="A110" s="4"/>
      <c r="B110" s="5"/>
      <c r="C110" s="18"/>
      <c r="D110" s="5"/>
      <c r="E110" s="5"/>
      <c r="F110" s="5"/>
      <c r="G110" t="s">
        <v>596</v>
      </c>
    </row>
    <row r="111" spans="1:7" ht="17.25" x14ac:dyDescent="0.3">
      <c r="A111" s="107" t="s">
        <v>244</v>
      </c>
      <c r="B111" s="107"/>
      <c r="C111" s="107"/>
      <c r="D111" s="107"/>
      <c r="E111" s="107"/>
      <c r="F111" s="107"/>
      <c r="G111" t="s">
        <v>597</v>
      </c>
    </row>
    <row r="112" spans="1:7" x14ac:dyDescent="0.25">
      <c r="A112" s="3" t="s">
        <v>0</v>
      </c>
      <c r="B112" s="3" t="s">
        <v>1</v>
      </c>
      <c r="C112" s="3" t="s">
        <v>2</v>
      </c>
      <c r="D112" s="3" t="s">
        <v>4</v>
      </c>
      <c r="E112" s="3" t="s">
        <v>3</v>
      </c>
      <c r="F112" s="3" t="s">
        <v>21</v>
      </c>
      <c r="G112" t="s">
        <v>597</v>
      </c>
    </row>
    <row r="113" spans="1:7" x14ac:dyDescent="0.25">
      <c r="A113" s="4" t="s">
        <v>358</v>
      </c>
      <c r="B113" s="5"/>
      <c r="C113" s="6">
        <v>0</v>
      </c>
      <c r="D113" s="5"/>
      <c r="E113" s="5"/>
      <c r="F113" s="5"/>
      <c r="G113" t="s">
        <v>597</v>
      </c>
    </row>
    <row r="114" spans="1:7" x14ac:dyDescent="0.25">
      <c r="A114" s="4" t="s">
        <v>264</v>
      </c>
      <c r="B114" s="5" t="s">
        <v>69</v>
      </c>
      <c r="C114" s="8">
        <v>-0.26</v>
      </c>
      <c r="D114" s="5"/>
      <c r="E114" s="5"/>
      <c r="F114" s="5"/>
      <c r="G114" t="s">
        <v>597</v>
      </c>
    </row>
    <row r="115" spans="1:7" x14ac:dyDescent="0.25">
      <c r="A115" s="4" t="s">
        <v>265</v>
      </c>
      <c r="B115" s="5"/>
      <c r="C115" s="8">
        <v>0.5</v>
      </c>
      <c r="D115" s="5"/>
      <c r="E115" s="5"/>
      <c r="F115" s="5"/>
      <c r="G115" t="s">
        <v>597</v>
      </c>
    </row>
    <row r="116" spans="1:7" x14ac:dyDescent="0.25">
      <c r="A116" s="4" t="s">
        <v>266</v>
      </c>
      <c r="B116" s="5"/>
      <c r="C116" s="8">
        <v>67000</v>
      </c>
      <c r="D116" s="5"/>
      <c r="E116" s="5"/>
      <c r="F116" s="5"/>
      <c r="G116" t="s">
        <v>597</v>
      </c>
    </row>
    <row r="117" spans="1:7" x14ac:dyDescent="0.25">
      <c r="A117" s="4" t="s">
        <v>267</v>
      </c>
      <c r="B117" s="5" t="s">
        <v>173</v>
      </c>
      <c r="C117" s="8">
        <v>1</v>
      </c>
      <c r="D117" s="5"/>
      <c r="E117" s="5"/>
      <c r="F117" s="5"/>
      <c r="G117" t="s">
        <v>597</v>
      </c>
    </row>
    <row r="118" spans="1:7" x14ac:dyDescent="0.25">
      <c r="A118" s="4" t="s">
        <v>268</v>
      </c>
      <c r="B118" s="5" t="s">
        <v>182</v>
      </c>
      <c r="C118" s="8">
        <v>1.7</v>
      </c>
      <c r="D118" s="5"/>
      <c r="E118" s="5"/>
      <c r="F118" s="5"/>
      <c r="G118" t="s">
        <v>597</v>
      </c>
    </row>
    <row r="119" spans="1:7" x14ac:dyDescent="0.25">
      <c r="A119" s="4" t="s">
        <v>269</v>
      </c>
      <c r="B119" s="5" t="s">
        <v>173</v>
      </c>
      <c r="C119" s="8">
        <v>1</v>
      </c>
      <c r="D119" s="5"/>
      <c r="E119" s="5"/>
      <c r="F119" s="5"/>
      <c r="G119" t="s">
        <v>597</v>
      </c>
    </row>
    <row r="120" spans="1:7" x14ac:dyDescent="0.25">
      <c r="A120" s="4" t="s">
        <v>270</v>
      </c>
      <c r="B120" s="5" t="s">
        <v>263</v>
      </c>
      <c r="C120" s="34">
        <v>8.0000000000000002E-3</v>
      </c>
      <c r="D120" s="5"/>
      <c r="E120" s="5"/>
      <c r="F120" s="5"/>
      <c r="G120" t="s">
        <v>597</v>
      </c>
    </row>
    <row r="121" spans="1:7" x14ac:dyDescent="0.25">
      <c r="A121" s="4" t="s">
        <v>271</v>
      </c>
      <c r="B121" s="5" t="s">
        <v>262</v>
      </c>
      <c r="C121" s="34">
        <v>1.4E-2</v>
      </c>
      <c r="D121" s="5"/>
      <c r="E121" s="5"/>
      <c r="F121" s="5"/>
      <c r="G121" t="s">
        <v>597</v>
      </c>
    </row>
    <row r="122" spans="1:7" x14ac:dyDescent="0.25">
      <c r="A122" s="4" t="s">
        <v>272</v>
      </c>
      <c r="B122" s="5" t="s">
        <v>168</v>
      </c>
      <c r="C122" s="8">
        <v>702</v>
      </c>
      <c r="D122" s="5"/>
      <c r="E122" s="5"/>
      <c r="F122" s="5"/>
      <c r="G122" t="s">
        <v>597</v>
      </c>
    </row>
    <row r="123" spans="1:7" x14ac:dyDescent="0.25">
      <c r="A123" s="4" t="s">
        <v>273</v>
      </c>
      <c r="B123" s="5" t="s">
        <v>173</v>
      </c>
      <c r="C123" s="8">
        <v>2</v>
      </c>
      <c r="D123" s="5"/>
      <c r="E123" s="5"/>
      <c r="F123" s="5"/>
      <c r="G123" t="s">
        <v>597</v>
      </c>
    </row>
    <row r="124" spans="1:7" x14ac:dyDescent="0.25">
      <c r="A124" s="4" t="s">
        <v>274</v>
      </c>
      <c r="B124" s="5" t="s">
        <v>263</v>
      </c>
      <c r="C124" s="8">
        <v>1.2999999999999999E-3</v>
      </c>
      <c r="D124" s="5"/>
      <c r="E124" s="5"/>
      <c r="F124" s="5"/>
      <c r="G124" t="s">
        <v>597</v>
      </c>
    </row>
    <row r="125" spans="1:7" x14ac:dyDescent="0.25">
      <c r="A125" s="4" t="s">
        <v>275</v>
      </c>
      <c r="B125" s="5" t="s">
        <v>262</v>
      </c>
      <c r="C125" s="8">
        <v>5.8999999999999999E-3</v>
      </c>
      <c r="D125" s="5"/>
      <c r="E125" s="5"/>
      <c r="F125" s="5"/>
      <c r="G125" t="s">
        <v>597</v>
      </c>
    </row>
    <row r="126" spans="1:7" x14ac:dyDescent="0.25">
      <c r="A126" s="4" t="s">
        <v>276</v>
      </c>
      <c r="B126" s="5" t="s">
        <v>168</v>
      </c>
      <c r="C126" s="8">
        <v>19000</v>
      </c>
      <c r="D126" s="5"/>
      <c r="E126" s="5"/>
      <c r="F126" s="5"/>
      <c r="G126" t="s">
        <v>597</v>
      </c>
    </row>
    <row r="127" spans="1:7" x14ac:dyDescent="0.25">
      <c r="A127" s="4" t="s">
        <v>277</v>
      </c>
      <c r="B127" s="5" t="s">
        <v>173</v>
      </c>
      <c r="C127" s="8">
        <v>2</v>
      </c>
      <c r="D127" s="5"/>
      <c r="E127" s="5"/>
      <c r="F127" s="5"/>
      <c r="G127" t="s">
        <v>597</v>
      </c>
    </row>
    <row r="128" spans="1:7" x14ac:dyDescent="0.25">
      <c r="A128" s="4" t="s">
        <v>278</v>
      </c>
      <c r="B128" s="5" t="s">
        <v>263</v>
      </c>
      <c r="C128" s="104">
        <v>5.0000000000000001E-4</v>
      </c>
      <c r="D128" s="5"/>
      <c r="E128" s="5"/>
      <c r="F128" s="5"/>
      <c r="G128" t="s">
        <v>597</v>
      </c>
    </row>
    <row r="129" spans="1:7" x14ac:dyDescent="0.25">
      <c r="A129" s="4" t="s">
        <v>279</v>
      </c>
      <c r="B129" s="5" t="s">
        <v>262</v>
      </c>
      <c r="C129" s="104">
        <v>1.9E-3</v>
      </c>
      <c r="D129" s="5"/>
      <c r="E129" s="5"/>
      <c r="F129" s="5"/>
      <c r="G129" t="s">
        <v>597</v>
      </c>
    </row>
    <row r="130" spans="1:7" x14ac:dyDescent="0.25">
      <c r="A130" s="4" t="s">
        <v>280</v>
      </c>
      <c r="B130" s="5" t="s">
        <v>168</v>
      </c>
      <c r="C130" s="8">
        <v>19500</v>
      </c>
      <c r="D130" s="5"/>
      <c r="E130" s="5"/>
      <c r="F130" s="5"/>
      <c r="G130" t="s">
        <v>597</v>
      </c>
    </row>
    <row r="131" spans="1:7" x14ac:dyDescent="0.25">
      <c r="A131" s="4" t="s">
        <v>281</v>
      </c>
      <c r="B131" s="5" t="s">
        <v>173</v>
      </c>
      <c r="C131" s="8">
        <v>2</v>
      </c>
      <c r="D131" s="5"/>
      <c r="E131" s="5"/>
      <c r="F131" s="5"/>
      <c r="G131" t="s">
        <v>597</v>
      </c>
    </row>
    <row r="132" spans="1:7" x14ac:dyDescent="0.25">
      <c r="A132" s="4" t="s">
        <v>282</v>
      </c>
      <c r="B132" s="5" t="s">
        <v>263</v>
      </c>
      <c r="C132" s="8">
        <v>0</v>
      </c>
      <c r="D132" s="5"/>
      <c r="E132" s="5"/>
      <c r="F132" s="5"/>
      <c r="G132" t="s">
        <v>597</v>
      </c>
    </row>
    <row r="133" spans="1:7" x14ac:dyDescent="0.25">
      <c r="A133" s="4" t="s">
        <v>283</v>
      </c>
      <c r="B133" s="5" t="s">
        <v>262</v>
      </c>
      <c r="C133" s="8">
        <v>0</v>
      </c>
      <c r="D133" s="5"/>
      <c r="E133" s="5"/>
      <c r="F133" s="5"/>
      <c r="G133" t="s">
        <v>597</v>
      </c>
    </row>
    <row r="134" spans="1:7" x14ac:dyDescent="0.25">
      <c r="A134" s="4" t="s">
        <v>284</v>
      </c>
      <c r="B134" s="5" t="s">
        <v>168</v>
      </c>
      <c r="C134" s="8">
        <v>0</v>
      </c>
      <c r="D134" s="5"/>
      <c r="E134" s="5"/>
      <c r="F134" s="5"/>
      <c r="G134" t="s">
        <v>597</v>
      </c>
    </row>
    <row r="135" spans="1:7" x14ac:dyDescent="0.25">
      <c r="A135" s="4" t="s">
        <v>285</v>
      </c>
      <c r="B135" s="5" t="s">
        <v>173</v>
      </c>
      <c r="C135" s="8">
        <v>2</v>
      </c>
      <c r="D135" s="5"/>
      <c r="E135" s="5"/>
      <c r="F135" s="5"/>
      <c r="G135" t="s">
        <v>597</v>
      </c>
    </row>
    <row r="136" spans="1:7" x14ac:dyDescent="0.25">
      <c r="A136" s="4" t="s">
        <v>286</v>
      </c>
      <c r="B136" s="5" t="s">
        <v>263</v>
      </c>
      <c r="C136" s="8">
        <v>0</v>
      </c>
      <c r="D136" s="5"/>
      <c r="E136" s="5"/>
      <c r="F136" s="5"/>
      <c r="G136" t="s">
        <v>597</v>
      </c>
    </row>
    <row r="137" spans="1:7" x14ac:dyDescent="0.25">
      <c r="A137" s="4" t="s">
        <v>287</v>
      </c>
      <c r="B137" s="5" t="s">
        <v>262</v>
      </c>
      <c r="C137" s="8">
        <v>0</v>
      </c>
      <c r="D137" s="5"/>
      <c r="E137" s="5"/>
      <c r="F137" s="5"/>
      <c r="G137" t="s">
        <v>597</v>
      </c>
    </row>
    <row r="138" spans="1:7" x14ac:dyDescent="0.25">
      <c r="A138" s="4" t="s">
        <v>288</v>
      </c>
      <c r="B138" s="5" t="s">
        <v>168</v>
      </c>
      <c r="C138" s="8">
        <v>0</v>
      </c>
      <c r="D138" s="5"/>
      <c r="E138" s="5"/>
      <c r="F138" s="5"/>
      <c r="G138" t="s">
        <v>597</v>
      </c>
    </row>
    <row r="139" spans="1:7" x14ac:dyDescent="0.25">
      <c r="A139" s="4" t="s">
        <v>289</v>
      </c>
      <c r="B139" s="5" t="s">
        <v>173</v>
      </c>
      <c r="C139" s="8">
        <v>2</v>
      </c>
      <c r="D139" s="5"/>
      <c r="E139" s="5"/>
      <c r="F139" s="5"/>
      <c r="G139" t="s">
        <v>597</v>
      </c>
    </row>
    <row r="140" spans="1:7" x14ac:dyDescent="0.25">
      <c r="A140" s="4" t="s">
        <v>290</v>
      </c>
      <c r="B140" s="5" t="s">
        <v>167</v>
      </c>
      <c r="C140" s="8">
        <v>1</v>
      </c>
      <c r="D140" s="5"/>
      <c r="E140" s="5"/>
      <c r="F140" s="5"/>
      <c r="G140" t="s">
        <v>597</v>
      </c>
    </row>
    <row r="141" spans="1:7" x14ac:dyDescent="0.25">
      <c r="A141" s="4"/>
      <c r="B141" s="5"/>
      <c r="C141" s="18"/>
      <c r="D141" s="5"/>
      <c r="E141" s="5"/>
      <c r="F141" s="5"/>
      <c r="G141" t="s">
        <v>597</v>
      </c>
    </row>
    <row r="142" spans="1:7" ht="17.25" x14ac:dyDescent="0.3">
      <c r="A142" s="107" t="s">
        <v>318</v>
      </c>
      <c r="B142" s="107"/>
      <c r="C142" s="107"/>
      <c r="D142" s="107"/>
      <c r="E142" s="107"/>
      <c r="F142" s="107"/>
      <c r="G142" t="s">
        <v>598</v>
      </c>
    </row>
    <row r="143" spans="1:7" x14ac:dyDescent="0.25">
      <c r="A143" s="3" t="s">
        <v>0</v>
      </c>
      <c r="B143" s="3" t="s">
        <v>1</v>
      </c>
      <c r="C143" s="3" t="s">
        <v>2</v>
      </c>
      <c r="D143" s="3" t="s">
        <v>4</v>
      </c>
      <c r="E143" s="3" t="s">
        <v>3</v>
      </c>
      <c r="F143" s="3" t="s">
        <v>21</v>
      </c>
      <c r="G143" t="s">
        <v>598</v>
      </c>
    </row>
    <row r="144" spans="1:7" x14ac:dyDescent="0.25">
      <c r="A144" s="4" t="s">
        <v>294</v>
      </c>
      <c r="B144" s="5" t="s">
        <v>173</v>
      </c>
      <c r="C144" s="8">
        <v>1</v>
      </c>
      <c r="D144" s="5"/>
      <c r="E144" s="5"/>
      <c r="F144" s="5"/>
      <c r="G144" t="s">
        <v>598</v>
      </c>
    </row>
    <row r="145" spans="1:7" x14ac:dyDescent="0.25">
      <c r="A145" s="4" t="s">
        <v>297</v>
      </c>
      <c r="B145" s="5" t="s">
        <v>19</v>
      </c>
      <c r="C145" s="90">
        <v>94</v>
      </c>
      <c r="D145" s="5"/>
      <c r="E145" s="5"/>
      <c r="F145" s="5"/>
      <c r="G145" s="86" t="s">
        <v>598</v>
      </c>
    </row>
    <row r="146" spans="1:7" s="86" customFormat="1" x14ac:dyDescent="0.25">
      <c r="A146" s="88" t="s">
        <v>646</v>
      </c>
      <c r="B146" s="89" t="s">
        <v>647</v>
      </c>
      <c r="C146" s="90">
        <v>94</v>
      </c>
      <c r="D146" s="89"/>
      <c r="E146" s="89"/>
      <c r="F146" s="89"/>
      <c r="G146" s="86" t="s">
        <v>598</v>
      </c>
    </row>
    <row r="147" spans="1:7" x14ac:dyDescent="0.25">
      <c r="A147" s="4" t="s">
        <v>296</v>
      </c>
      <c r="B147" s="5" t="s">
        <v>169</v>
      </c>
      <c r="C147" s="33">
        <f>2/32768*BASE_FLUX</f>
        <v>1.7059326171875002E-5</v>
      </c>
      <c r="D147" s="5"/>
      <c r="E147" s="5"/>
      <c r="F147" s="5"/>
      <c r="G147" s="86" t="s">
        <v>598</v>
      </c>
    </row>
    <row r="148" spans="1:7" x14ac:dyDescent="0.25">
      <c r="A148" s="4" t="s">
        <v>295</v>
      </c>
      <c r="B148" s="5" t="s">
        <v>169</v>
      </c>
      <c r="C148" s="8">
        <v>95</v>
      </c>
      <c r="D148" s="5"/>
      <c r="E148" s="5"/>
      <c r="F148" s="5"/>
      <c r="G148" s="86" t="s">
        <v>598</v>
      </c>
    </row>
    <row r="149" spans="1:7" x14ac:dyDescent="0.25">
      <c r="A149" s="4" t="s">
        <v>359</v>
      </c>
      <c r="B149" s="5" t="s">
        <v>173</v>
      </c>
      <c r="C149" s="32">
        <f>OBSERVER_TS</f>
        <v>1.25E-4</v>
      </c>
      <c r="D149" s="5"/>
      <c r="E149" s="5"/>
      <c r="F149" s="5"/>
      <c r="G149" s="86" t="s">
        <v>598</v>
      </c>
    </row>
    <row r="150" spans="1:7" s="59" customFormat="1" x14ac:dyDescent="0.25">
      <c r="A150" s="61" t="s">
        <v>611</v>
      </c>
      <c r="B150" s="62" t="s">
        <v>173</v>
      </c>
      <c r="C150" s="63">
        <v>1.5</v>
      </c>
      <c r="D150" s="62"/>
      <c r="E150" s="62"/>
      <c r="F150" s="62"/>
      <c r="G150" s="86" t="s">
        <v>598</v>
      </c>
    </row>
    <row r="151" spans="1:7" s="86" customFormat="1" x14ac:dyDescent="0.25">
      <c r="A151" s="88" t="s">
        <v>636</v>
      </c>
      <c r="B151" s="89" t="s">
        <v>168</v>
      </c>
      <c r="C151" s="91">
        <v>35</v>
      </c>
      <c r="D151" s="89"/>
      <c r="E151" s="89"/>
      <c r="F151" s="89"/>
      <c r="G151" s="86" t="s">
        <v>598</v>
      </c>
    </row>
    <row r="152" spans="1:7" s="86" customFormat="1" x14ac:dyDescent="0.25">
      <c r="A152" s="88" t="s">
        <v>637</v>
      </c>
      <c r="B152" s="89" t="s">
        <v>19</v>
      </c>
      <c r="C152" s="90">
        <v>112</v>
      </c>
      <c r="D152" s="89"/>
      <c r="E152" s="89"/>
      <c r="F152" s="89"/>
      <c r="G152" s="86" t="s">
        <v>598</v>
      </c>
    </row>
    <row r="153" spans="1:7" s="86" customFormat="1" x14ac:dyDescent="0.25">
      <c r="A153" s="88" t="s">
        <v>645</v>
      </c>
      <c r="B153" s="89" t="s">
        <v>168</v>
      </c>
      <c r="C153" s="91">
        <v>15490</v>
      </c>
      <c r="D153" s="89"/>
      <c r="E153" s="89"/>
      <c r="F153" s="89"/>
      <c r="G153" s="86" t="s">
        <v>598</v>
      </c>
    </row>
    <row r="154" spans="1:7" s="86" customFormat="1" x14ac:dyDescent="0.25">
      <c r="A154" s="88" t="s">
        <v>650</v>
      </c>
      <c r="B154" s="89" t="s">
        <v>651</v>
      </c>
      <c r="C154" s="91">
        <v>15488</v>
      </c>
      <c r="D154" s="89"/>
      <c r="E154" s="89"/>
      <c r="F154" s="89"/>
      <c r="G154" s="86" t="s">
        <v>598</v>
      </c>
    </row>
    <row r="155" spans="1:7" s="86" customFormat="1" x14ac:dyDescent="0.25">
      <c r="A155" s="88" t="s">
        <v>652</v>
      </c>
      <c r="B155" s="89" t="s">
        <v>168</v>
      </c>
      <c r="C155" s="91">
        <v>375</v>
      </c>
      <c r="D155" s="89"/>
      <c r="E155" s="89"/>
      <c r="F155" s="89"/>
      <c r="G155" s="86" t="s">
        <v>598</v>
      </c>
    </row>
    <row r="156" spans="1:7" s="86" customFormat="1" x14ac:dyDescent="0.25">
      <c r="A156" s="88" t="s">
        <v>653</v>
      </c>
      <c r="B156" s="89" t="s">
        <v>19</v>
      </c>
      <c r="C156" s="91">
        <v>10</v>
      </c>
      <c r="D156" s="89"/>
      <c r="E156" s="89"/>
      <c r="F156" s="89"/>
      <c r="G156" s="86" t="s">
        <v>598</v>
      </c>
    </row>
    <row r="157" spans="1:7" s="86" customFormat="1" x14ac:dyDescent="0.25">
      <c r="A157" s="88" t="s">
        <v>654</v>
      </c>
      <c r="B157" s="89" t="s">
        <v>19</v>
      </c>
      <c r="C157" s="91">
        <v>10</v>
      </c>
      <c r="D157" s="89"/>
      <c r="E157" s="89"/>
      <c r="F157" s="89"/>
      <c r="G157" s="86" t="s">
        <v>598</v>
      </c>
    </row>
    <row r="158" spans="1:7" s="101" customFormat="1" x14ac:dyDescent="0.25">
      <c r="A158" s="88" t="s">
        <v>990</v>
      </c>
      <c r="B158" s="89" t="s">
        <v>992</v>
      </c>
      <c r="C158" s="53">
        <v>0.57999999999999996</v>
      </c>
      <c r="D158" s="89"/>
      <c r="E158" s="89"/>
      <c r="F158" s="89">
        <v>3</v>
      </c>
    </row>
    <row r="159" spans="1:7" s="101" customFormat="1" x14ac:dyDescent="0.25">
      <c r="A159" s="88" t="s">
        <v>991</v>
      </c>
      <c r="B159" s="89"/>
      <c r="C159" s="53">
        <v>0.5</v>
      </c>
      <c r="D159" s="89"/>
      <c r="E159" s="89"/>
      <c r="F159" s="89">
        <v>3</v>
      </c>
    </row>
    <row r="160" spans="1:7" s="101" customFormat="1" x14ac:dyDescent="0.25">
      <c r="A160" s="88" t="s">
        <v>985</v>
      </c>
      <c r="B160" s="89" t="s">
        <v>19</v>
      </c>
      <c r="C160" s="91">
        <v>98</v>
      </c>
      <c r="D160" s="89"/>
      <c r="E160" s="89"/>
      <c r="F160" s="89">
        <v>1</v>
      </c>
    </row>
    <row r="161" spans="1:7" x14ac:dyDescent="0.25">
      <c r="A161" s="4"/>
      <c r="B161" s="5"/>
      <c r="C161" s="6"/>
      <c r="D161" s="5"/>
      <c r="E161" s="5"/>
      <c r="F161" s="5"/>
      <c r="G161" t="s">
        <v>598</v>
      </c>
    </row>
    <row r="162" spans="1:7" ht="17.25" x14ac:dyDescent="0.3">
      <c r="A162" s="107" t="s">
        <v>319</v>
      </c>
      <c r="B162" s="107"/>
      <c r="C162" s="107"/>
      <c r="D162" s="107"/>
      <c r="E162" s="107"/>
      <c r="F162" s="107"/>
      <c r="G162" t="s">
        <v>598</v>
      </c>
    </row>
    <row r="163" spans="1:7" x14ac:dyDescent="0.25">
      <c r="A163" s="3" t="s">
        <v>0</v>
      </c>
      <c r="B163" s="3" t="s">
        <v>1</v>
      </c>
      <c r="C163" s="3" t="s">
        <v>2</v>
      </c>
      <c r="D163" s="3" t="s">
        <v>4</v>
      </c>
      <c r="E163" s="3" t="s">
        <v>3</v>
      </c>
      <c r="F163" s="3" t="s">
        <v>21</v>
      </c>
      <c r="G163" t="s">
        <v>598</v>
      </c>
    </row>
    <row r="164" spans="1:7" x14ac:dyDescent="0.25">
      <c r="A164" s="4" t="s">
        <v>291</v>
      </c>
      <c r="B164" s="5" t="s">
        <v>185</v>
      </c>
      <c r="C164" s="8"/>
      <c r="D164" s="5"/>
      <c r="E164" s="5"/>
      <c r="F164" s="5"/>
      <c r="G164" t="s">
        <v>598</v>
      </c>
    </row>
    <row r="165" spans="1:7" x14ac:dyDescent="0.25">
      <c r="A165" s="4" t="s">
        <v>292</v>
      </c>
      <c r="B165" s="5" t="s">
        <v>173</v>
      </c>
      <c r="C165" s="8">
        <v>1</v>
      </c>
      <c r="D165" s="5"/>
      <c r="E165" s="5"/>
      <c r="F165" s="5"/>
      <c r="G165" t="s">
        <v>598</v>
      </c>
    </row>
    <row r="166" spans="1:7" x14ac:dyDescent="0.25">
      <c r="A166" s="4" t="s">
        <v>293</v>
      </c>
      <c r="B166" s="5" t="s">
        <v>69</v>
      </c>
      <c r="C166" s="100">
        <v>1</v>
      </c>
      <c r="D166" s="5"/>
      <c r="E166" s="5"/>
      <c r="F166" s="5"/>
      <c r="G166" t="s">
        <v>598</v>
      </c>
    </row>
    <row r="167" spans="1:7" x14ac:dyDescent="0.25">
      <c r="A167" s="4" t="s">
        <v>298</v>
      </c>
      <c r="B167" s="5"/>
      <c r="C167" s="8">
        <v>10</v>
      </c>
      <c r="D167" s="5"/>
      <c r="E167" s="5"/>
      <c r="F167" s="5"/>
      <c r="G167" t="s">
        <v>598</v>
      </c>
    </row>
    <row r="168" spans="1:7" x14ac:dyDescent="0.25">
      <c r="A168" s="4" t="s">
        <v>299</v>
      </c>
      <c r="B168" s="5"/>
      <c r="C168" s="8">
        <v>2000</v>
      </c>
      <c r="D168" s="5"/>
      <c r="E168" s="5"/>
      <c r="F168" s="5"/>
      <c r="G168" t="s">
        <v>598</v>
      </c>
    </row>
    <row r="169" spans="1:7" x14ac:dyDescent="0.25">
      <c r="A169" s="4" t="s">
        <v>300</v>
      </c>
      <c r="B169" s="5"/>
      <c r="C169" s="8">
        <v>150</v>
      </c>
      <c r="D169" s="5"/>
      <c r="E169" s="5"/>
      <c r="F169" s="5"/>
      <c r="G169" t="s">
        <v>598</v>
      </c>
    </row>
    <row r="170" spans="1:7" x14ac:dyDescent="0.25">
      <c r="A170" s="4" t="s">
        <v>301</v>
      </c>
      <c r="B170" s="5"/>
      <c r="C170" s="8">
        <v>15000</v>
      </c>
      <c r="D170" s="5"/>
      <c r="E170" s="5"/>
      <c r="F170" s="5"/>
      <c r="G170" t="s">
        <v>598</v>
      </c>
    </row>
    <row r="171" spans="1:7" x14ac:dyDescent="0.25">
      <c r="A171" s="4" t="s">
        <v>302</v>
      </c>
      <c r="B171" s="5"/>
      <c r="C171" s="8">
        <v>1905</v>
      </c>
      <c r="D171" s="5"/>
      <c r="E171" s="5"/>
      <c r="F171" s="5"/>
      <c r="G171" t="s">
        <v>598</v>
      </c>
    </row>
    <row r="172" spans="1:7" x14ac:dyDescent="0.25">
      <c r="A172" s="4" t="s">
        <v>303</v>
      </c>
      <c r="B172" s="5"/>
      <c r="C172" s="8">
        <v>2</v>
      </c>
      <c r="D172" s="5"/>
      <c r="E172" s="5"/>
      <c r="F172" s="5"/>
      <c r="G172" t="s">
        <v>598</v>
      </c>
    </row>
    <row r="173" spans="1:7" x14ac:dyDescent="0.25">
      <c r="A173" s="4" t="s">
        <v>304</v>
      </c>
      <c r="B173" s="5"/>
      <c r="C173" s="8">
        <v>150</v>
      </c>
      <c r="D173" s="5"/>
      <c r="E173" s="5"/>
      <c r="F173" s="5"/>
      <c r="G173" t="s">
        <v>598</v>
      </c>
    </row>
    <row r="174" spans="1:7" x14ac:dyDescent="0.25">
      <c r="A174" s="4" t="s">
        <v>305</v>
      </c>
      <c r="B174" s="5"/>
      <c r="C174" s="8">
        <v>12000</v>
      </c>
      <c r="D174" s="5"/>
      <c r="E174" s="5"/>
      <c r="F174" s="5"/>
      <c r="G174" t="s">
        <v>598</v>
      </c>
    </row>
    <row r="175" spans="1:7" x14ac:dyDescent="0.25">
      <c r="A175" s="4" t="s">
        <v>306</v>
      </c>
      <c r="B175" s="5"/>
      <c r="C175" s="8">
        <v>8000</v>
      </c>
      <c r="D175" s="5"/>
      <c r="E175" s="5"/>
      <c r="F175" s="5"/>
      <c r="G175" t="s">
        <v>598</v>
      </c>
    </row>
    <row r="176" spans="1:7" x14ac:dyDescent="0.25">
      <c r="A176" s="4" t="s">
        <v>307</v>
      </c>
      <c r="B176" s="5"/>
      <c r="C176" s="8">
        <v>900000</v>
      </c>
      <c r="D176" s="5"/>
      <c r="E176" s="5"/>
      <c r="F176" s="5"/>
      <c r="G176" t="s">
        <v>598</v>
      </c>
    </row>
    <row r="177" spans="1:13" x14ac:dyDescent="0.25">
      <c r="A177" s="4" t="s">
        <v>308</v>
      </c>
      <c r="B177" s="5"/>
      <c r="C177" s="8">
        <v>14000</v>
      </c>
      <c r="D177" s="5"/>
      <c r="E177" s="5"/>
      <c r="F177" s="5"/>
      <c r="G177" t="s">
        <v>598</v>
      </c>
    </row>
    <row r="178" spans="1:13" x14ac:dyDescent="0.25">
      <c r="A178" s="4" t="s">
        <v>309</v>
      </c>
      <c r="B178" s="5"/>
      <c r="C178" s="8">
        <v>3</v>
      </c>
      <c r="D178" s="5"/>
      <c r="E178" s="5"/>
      <c r="F178" s="5"/>
      <c r="G178" t="s">
        <v>598</v>
      </c>
    </row>
    <row r="179" spans="1:13" x14ac:dyDescent="0.25">
      <c r="A179" s="4" t="s">
        <v>310</v>
      </c>
      <c r="B179" s="5"/>
      <c r="C179" s="53">
        <v>150</v>
      </c>
      <c r="D179" s="5"/>
      <c r="E179" s="5"/>
      <c r="F179" s="5"/>
      <c r="G179" t="s">
        <v>598</v>
      </c>
    </row>
    <row r="180" spans="1:13" x14ac:dyDescent="0.25">
      <c r="A180" s="4" t="s">
        <v>311</v>
      </c>
      <c r="B180" s="5"/>
      <c r="C180" s="53">
        <v>12000</v>
      </c>
      <c r="D180" s="5"/>
      <c r="E180" s="5"/>
      <c r="F180" s="5"/>
      <c r="G180" t="s">
        <v>598</v>
      </c>
    </row>
    <row r="181" spans="1:13" x14ac:dyDescent="0.25">
      <c r="A181" s="4" t="s">
        <v>312</v>
      </c>
      <c r="B181" s="5"/>
      <c r="C181" s="53">
        <v>8000</v>
      </c>
      <c r="D181" s="5"/>
      <c r="E181" s="5"/>
      <c r="F181" s="5"/>
      <c r="G181" t="s">
        <v>598</v>
      </c>
    </row>
    <row r="182" spans="1:13" x14ac:dyDescent="0.25">
      <c r="A182" s="4" t="s">
        <v>313</v>
      </c>
      <c r="B182" s="5"/>
      <c r="C182" s="53">
        <v>900000</v>
      </c>
      <c r="D182" s="5"/>
      <c r="E182" s="5"/>
      <c r="F182" s="5"/>
      <c r="G182" t="s">
        <v>598</v>
      </c>
    </row>
    <row r="183" spans="1:13" x14ac:dyDescent="0.25">
      <c r="A183" s="4" t="s">
        <v>314</v>
      </c>
      <c r="B183" s="5"/>
      <c r="C183" s="53">
        <v>20000</v>
      </c>
      <c r="D183" s="5"/>
      <c r="E183" s="5"/>
      <c r="F183" s="5"/>
      <c r="G183" t="s">
        <v>598</v>
      </c>
    </row>
    <row r="184" spans="1:13" x14ac:dyDescent="0.25">
      <c r="A184" s="4" t="s">
        <v>315</v>
      </c>
      <c r="B184" s="5"/>
      <c r="C184" s="8">
        <v>3</v>
      </c>
      <c r="D184" s="5"/>
      <c r="E184" s="5"/>
      <c r="F184" s="5"/>
      <c r="G184" t="s">
        <v>598</v>
      </c>
    </row>
    <row r="185" spans="1:13" s="101" customFormat="1" x14ac:dyDescent="0.25">
      <c r="A185" s="88" t="s">
        <v>989</v>
      </c>
      <c r="B185" s="89" t="s">
        <v>19</v>
      </c>
      <c r="C185" s="91">
        <v>115</v>
      </c>
      <c r="D185" s="89"/>
      <c r="E185" s="89"/>
      <c r="F185" s="89">
        <v>1</v>
      </c>
      <c r="G185" s="101" t="s">
        <v>598</v>
      </c>
    </row>
    <row r="186" spans="1:13" x14ac:dyDescent="0.25">
      <c r="A186" s="4"/>
      <c r="B186" s="5"/>
      <c r="C186" s="6"/>
      <c r="D186" s="5"/>
      <c r="E186" s="5"/>
      <c r="F186" s="5"/>
    </row>
    <row r="187" spans="1:13" ht="17.25" x14ac:dyDescent="0.3">
      <c r="A187" s="107" t="s">
        <v>320</v>
      </c>
      <c r="B187" s="107"/>
      <c r="C187" s="107"/>
      <c r="D187" s="107"/>
      <c r="E187" s="107"/>
      <c r="F187" s="107"/>
      <c r="G187" s="101" t="s">
        <v>599</v>
      </c>
      <c r="H187" s="106"/>
      <c r="I187" s="106"/>
      <c r="J187" s="106"/>
      <c r="K187" s="106"/>
      <c r="L187" s="106"/>
      <c r="M187" s="106"/>
    </row>
    <row r="188" spans="1:13" x14ac:dyDescent="0.25">
      <c r="A188" s="74" t="s">
        <v>0</v>
      </c>
      <c r="B188" s="74" t="s">
        <v>1</v>
      </c>
      <c r="C188" s="74" t="s">
        <v>2</v>
      </c>
      <c r="D188" s="74" t="s">
        <v>4</v>
      </c>
      <c r="E188" s="74" t="s">
        <v>3</v>
      </c>
      <c r="F188" s="74" t="s">
        <v>21</v>
      </c>
      <c r="G188" s="101" t="s">
        <v>599</v>
      </c>
      <c r="H188" s="106"/>
      <c r="I188" s="106"/>
      <c r="J188" s="106"/>
      <c r="K188" s="106"/>
      <c r="L188" s="106"/>
      <c r="M188" s="106"/>
    </row>
    <row r="189" spans="1:13" x14ac:dyDescent="0.25">
      <c r="A189" s="88" t="s">
        <v>317</v>
      </c>
      <c r="B189" s="89" t="s">
        <v>168</v>
      </c>
      <c r="C189" s="6">
        <v>6000</v>
      </c>
      <c r="D189" s="5"/>
      <c r="E189" s="5"/>
      <c r="F189" s="5"/>
      <c r="H189" s="106"/>
      <c r="I189" s="106"/>
      <c r="J189" s="106"/>
      <c r="K189" s="106"/>
      <c r="L189" s="106"/>
      <c r="M189" s="106"/>
    </row>
    <row r="190" spans="1:13" s="101" customFormat="1" x14ac:dyDescent="0.25">
      <c r="A190" s="88"/>
      <c r="B190" s="89"/>
      <c r="C190" s="90"/>
      <c r="D190" s="89"/>
      <c r="E190" s="89"/>
      <c r="F190" s="89"/>
      <c r="H190" s="106"/>
      <c r="I190" s="106"/>
      <c r="J190" s="106"/>
      <c r="K190" s="106"/>
      <c r="L190" s="106"/>
      <c r="M190" s="106"/>
    </row>
    <row r="191" spans="1:13" ht="17.25" x14ac:dyDescent="0.3">
      <c r="A191" s="107" t="s">
        <v>321</v>
      </c>
      <c r="B191" s="107"/>
      <c r="C191" s="107"/>
      <c r="D191" s="107"/>
      <c r="E191" s="107"/>
      <c r="F191" s="107"/>
      <c r="G191" t="s">
        <v>600</v>
      </c>
      <c r="H191" s="106"/>
      <c r="I191" s="106"/>
      <c r="J191" s="106"/>
      <c r="K191" s="106"/>
      <c r="L191" s="106"/>
      <c r="M191" s="106"/>
    </row>
    <row r="192" spans="1:13" x14ac:dyDescent="0.25">
      <c r="A192" s="3" t="s">
        <v>0</v>
      </c>
      <c r="B192" s="3" t="s">
        <v>1</v>
      </c>
      <c r="C192" s="3" t="s">
        <v>2</v>
      </c>
      <c r="D192" s="3" t="s">
        <v>4</v>
      </c>
      <c r="E192" s="3" t="s">
        <v>3</v>
      </c>
      <c r="F192" s="3" t="s">
        <v>21</v>
      </c>
      <c r="G192" t="s">
        <v>600</v>
      </c>
      <c r="H192" s="106"/>
      <c r="I192" s="106"/>
      <c r="J192" s="106"/>
      <c r="K192" s="106"/>
      <c r="L192" s="106"/>
      <c r="M192" s="106"/>
    </row>
    <row r="193" spans="1:13" x14ac:dyDescent="0.25">
      <c r="A193" s="4" t="s">
        <v>369</v>
      </c>
      <c r="B193" s="5" t="s">
        <v>173</v>
      </c>
      <c r="C193" s="36">
        <f>OBSERVER_TS</f>
        <v>1.25E-4</v>
      </c>
      <c r="D193" s="5"/>
      <c r="E193" s="5"/>
      <c r="F193" s="5"/>
      <c r="G193" t="s">
        <v>600</v>
      </c>
      <c r="H193" s="106"/>
      <c r="I193" s="106"/>
      <c r="J193" s="106"/>
      <c r="K193" s="106"/>
      <c r="L193" s="106"/>
      <c r="M193" s="106"/>
    </row>
    <row r="194" spans="1:13" x14ac:dyDescent="0.25">
      <c r="A194" s="4" t="s">
        <v>322</v>
      </c>
      <c r="B194" s="5" t="s">
        <v>173</v>
      </c>
      <c r="C194" s="8">
        <v>1</v>
      </c>
      <c r="D194" s="5"/>
      <c r="E194" s="5"/>
      <c r="F194" s="5"/>
      <c r="G194" t="s">
        <v>600</v>
      </c>
      <c r="H194" s="106"/>
      <c r="I194" s="106"/>
      <c r="J194" s="106"/>
      <c r="K194" s="106"/>
      <c r="L194" s="106"/>
      <c r="M194" s="106"/>
    </row>
    <row r="195" spans="1:13" x14ac:dyDescent="0.25">
      <c r="A195" s="4" t="s">
        <v>323</v>
      </c>
      <c r="B195" s="5" t="s">
        <v>167</v>
      </c>
      <c r="C195" s="8">
        <v>0.75</v>
      </c>
      <c r="D195" s="5"/>
      <c r="E195" s="5"/>
      <c r="F195" s="5"/>
      <c r="G195" t="s">
        <v>600</v>
      </c>
      <c r="H195" s="106"/>
      <c r="I195" s="106"/>
      <c r="J195" s="106"/>
      <c r="K195" s="106"/>
      <c r="L195" s="106"/>
      <c r="M195" s="106"/>
    </row>
    <row r="196" spans="1:13" x14ac:dyDescent="0.25">
      <c r="A196" s="4" t="s">
        <v>324</v>
      </c>
      <c r="B196" s="5" t="s">
        <v>19</v>
      </c>
      <c r="C196" s="8">
        <v>112</v>
      </c>
      <c r="D196" s="5"/>
      <c r="E196" s="5"/>
      <c r="F196" s="5"/>
      <c r="G196" t="s">
        <v>600</v>
      </c>
    </row>
    <row r="197" spans="1:13" x14ac:dyDescent="0.25">
      <c r="A197" s="4" t="s">
        <v>325</v>
      </c>
      <c r="B197" s="5" t="s">
        <v>169</v>
      </c>
      <c r="C197" s="37">
        <f>2*BASE_FLUX/32768</f>
        <v>1.7059326171875002E-5</v>
      </c>
      <c r="D197" s="5"/>
      <c r="E197" s="5"/>
      <c r="F197" s="5"/>
      <c r="G197" t="s">
        <v>600</v>
      </c>
    </row>
    <row r="198" spans="1:13" x14ac:dyDescent="0.25">
      <c r="A198" s="4"/>
      <c r="B198" s="5"/>
      <c r="C198" s="6"/>
      <c r="D198" s="5"/>
      <c r="E198" s="5"/>
      <c r="F198" s="5"/>
      <c r="G198" t="s">
        <v>600</v>
      </c>
    </row>
    <row r="199" spans="1:13" ht="17.25" x14ac:dyDescent="0.3">
      <c r="A199" s="107" t="s">
        <v>326</v>
      </c>
      <c r="B199" s="107"/>
      <c r="C199" s="107"/>
      <c r="D199" s="107"/>
      <c r="E199" s="107"/>
      <c r="F199" s="107"/>
      <c r="G199" t="s">
        <v>600</v>
      </c>
    </row>
    <row r="200" spans="1:13" x14ac:dyDescent="0.25">
      <c r="A200" s="3" t="s">
        <v>0</v>
      </c>
      <c r="B200" s="3" t="s">
        <v>1</v>
      </c>
      <c r="C200" s="3" t="s">
        <v>2</v>
      </c>
      <c r="D200" s="3" t="s">
        <v>4</v>
      </c>
      <c r="E200" s="3" t="s">
        <v>3</v>
      </c>
      <c r="F200" s="3" t="s">
        <v>21</v>
      </c>
      <c r="G200" t="s">
        <v>600</v>
      </c>
    </row>
    <row r="201" spans="1:13" x14ac:dyDescent="0.25">
      <c r="A201" s="4" t="s">
        <v>327</v>
      </c>
      <c r="B201" s="5" t="s">
        <v>168</v>
      </c>
      <c r="C201" s="53">
        <f>20*11.4</f>
        <v>228</v>
      </c>
      <c r="D201" s="5"/>
      <c r="E201" s="5"/>
      <c r="F201" s="5"/>
      <c r="G201" t="s">
        <v>600</v>
      </c>
    </row>
    <row r="202" spans="1:13" x14ac:dyDescent="0.25">
      <c r="A202" s="4" t="s">
        <v>328</v>
      </c>
      <c r="B202" s="5" t="s">
        <v>168</v>
      </c>
      <c r="C202" s="8">
        <f>60*11.4</f>
        <v>684</v>
      </c>
      <c r="D202" s="5"/>
      <c r="E202" s="5"/>
      <c r="F202" s="5"/>
      <c r="G202" t="s">
        <v>600</v>
      </c>
    </row>
    <row r="203" spans="1:13" s="59" customFormat="1" x14ac:dyDescent="0.25">
      <c r="A203" s="4" t="s">
        <v>329</v>
      </c>
      <c r="B203" s="5" t="s">
        <v>69</v>
      </c>
      <c r="C203" s="6">
        <v>5</v>
      </c>
      <c r="D203" s="5">
        <v>0</v>
      </c>
      <c r="E203" s="89">
        <v>65535</v>
      </c>
      <c r="F203" s="5"/>
      <c r="G203" t="s">
        <v>600</v>
      </c>
    </row>
    <row r="204" spans="1:13" s="59" customFormat="1" x14ac:dyDescent="0.25">
      <c r="A204" s="4" t="s">
        <v>330</v>
      </c>
      <c r="B204" s="5" t="s">
        <v>173</v>
      </c>
      <c r="C204" s="8">
        <v>1.8</v>
      </c>
      <c r="D204" s="5">
        <v>0</v>
      </c>
      <c r="E204" s="5">
        <v>1638</v>
      </c>
      <c r="F204" s="5"/>
      <c r="G204" t="s">
        <v>600</v>
      </c>
    </row>
    <row r="205" spans="1:13" s="59" customFormat="1" x14ac:dyDescent="0.25">
      <c r="A205" s="61" t="s">
        <v>973</v>
      </c>
      <c r="B205" s="62" t="s">
        <v>173</v>
      </c>
      <c r="C205" s="63">
        <v>4</v>
      </c>
      <c r="D205" s="62"/>
      <c r="E205" s="62"/>
      <c r="F205" s="62"/>
    </row>
    <row r="206" spans="1:13" s="101" customFormat="1" x14ac:dyDescent="0.25">
      <c r="A206" s="61" t="s">
        <v>616</v>
      </c>
      <c r="B206" s="62" t="s">
        <v>173</v>
      </c>
      <c r="C206" s="63">
        <v>3</v>
      </c>
      <c r="D206" s="62"/>
      <c r="E206" s="62"/>
      <c r="F206" s="62"/>
      <c r="G206" s="59"/>
    </row>
    <row r="207" spans="1:13" x14ac:dyDescent="0.25">
      <c r="A207" s="61" t="s">
        <v>617</v>
      </c>
      <c r="B207" s="62" t="s">
        <v>173</v>
      </c>
      <c r="C207" s="63">
        <v>10</v>
      </c>
      <c r="D207" s="62"/>
      <c r="E207" s="62"/>
      <c r="F207" s="62"/>
      <c r="G207" s="59"/>
    </row>
    <row r="208" spans="1:13" x14ac:dyDescent="0.25">
      <c r="A208" s="88" t="s">
        <v>972</v>
      </c>
      <c r="B208" s="89" t="s">
        <v>167</v>
      </c>
      <c r="C208" s="105">
        <v>7</v>
      </c>
      <c r="D208" s="89"/>
      <c r="E208" s="89"/>
      <c r="F208" s="89"/>
      <c r="G208" s="101"/>
    </row>
    <row r="209" spans="1:7" x14ac:dyDescent="0.25">
      <c r="A209" s="4"/>
      <c r="B209" s="5"/>
      <c r="C209" s="6"/>
      <c r="D209" s="5"/>
      <c r="E209" s="5"/>
      <c r="F209" s="5"/>
      <c r="G209" t="s">
        <v>600</v>
      </c>
    </row>
    <row r="210" spans="1:7" ht="17.25" x14ac:dyDescent="0.3">
      <c r="A210" s="107" t="s">
        <v>331</v>
      </c>
      <c r="B210" s="107"/>
      <c r="C210" s="107"/>
      <c r="D210" s="107"/>
      <c r="E210" s="107"/>
      <c r="F210" s="107"/>
      <c r="G210" t="s">
        <v>600</v>
      </c>
    </row>
    <row r="211" spans="1:7" x14ac:dyDescent="0.25">
      <c r="A211" s="3" t="s">
        <v>0</v>
      </c>
      <c r="B211" s="3" t="s">
        <v>1</v>
      </c>
      <c r="C211" s="3" t="s">
        <v>2</v>
      </c>
      <c r="D211" s="3" t="s">
        <v>4</v>
      </c>
      <c r="E211" s="3" t="s">
        <v>3</v>
      </c>
      <c r="F211" s="3" t="s">
        <v>21</v>
      </c>
      <c r="G211" t="s">
        <v>600</v>
      </c>
    </row>
    <row r="212" spans="1:7" x14ac:dyDescent="0.25">
      <c r="A212" s="4" t="s">
        <v>394</v>
      </c>
      <c r="B212" s="5" t="s">
        <v>316</v>
      </c>
      <c r="C212" s="90">
        <f>200*BASE_VOLTAGE/BASE_CURRENT</f>
        <v>6228.7104622871038</v>
      </c>
      <c r="D212" s="5"/>
      <c r="E212" s="5"/>
      <c r="F212" s="5"/>
      <c r="G212" t="s">
        <v>600</v>
      </c>
    </row>
    <row r="213" spans="1:7" x14ac:dyDescent="0.25">
      <c r="A213" s="4" t="s">
        <v>395</v>
      </c>
      <c r="B213" s="5" t="s">
        <v>332</v>
      </c>
      <c r="C213" s="35">
        <f>10*BASE_VOLTAGE/BASE_CURRENT*DQ_CURRENT_CONTROL_TS</f>
        <v>3.8929440389294398E-2</v>
      </c>
      <c r="D213" s="5"/>
      <c r="E213" s="5"/>
      <c r="F213" s="5"/>
      <c r="G213" t="s">
        <v>600</v>
      </c>
    </row>
    <row r="214" spans="1:7" x14ac:dyDescent="0.25">
      <c r="A214" s="4" t="s">
        <v>396</v>
      </c>
      <c r="B214" s="5" t="s">
        <v>316</v>
      </c>
      <c r="C214" s="6">
        <f>D_CURR_CONTROL_KP</f>
        <v>6228.7104622871038</v>
      </c>
      <c r="D214" s="5"/>
      <c r="E214" s="5"/>
      <c r="F214" s="5"/>
      <c r="G214" t="s">
        <v>600</v>
      </c>
    </row>
    <row r="215" spans="1:7" x14ac:dyDescent="0.25">
      <c r="A215" s="4" t="s">
        <v>397</v>
      </c>
      <c r="B215" s="5" t="s">
        <v>332</v>
      </c>
      <c r="C215" s="35">
        <f>D_CURR_CONTROL_KI</f>
        <v>3.8929440389294398E-2</v>
      </c>
      <c r="D215" s="5"/>
      <c r="E215" s="5"/>
      <c r="F215" s="5"/>
      <c r="G215" t="s">
        <v>600</v>
      </c>
    </row>
    <row r="216" spans="1:7" x14ac:dyDescent="0.25">
      <c r="A216" s="4" t="s">
        <v>404</v>
      </c>
      <c r="B216" s="5" t="s">
        <v>173</v>
      </c>
      <c r="C216" s="39">
        <f>OBSERVER_TS</f>
        <v>1.25E-4</v>
      </c>
      <c r="D216" s="5"/>
      <c r="E216" s="5"/>
      <c r="F216" s="5"/>
      <c r="G216" t="s">
        <v>600</v>
      </c>
    </row>
    <row r="217" spans="1:7" x14ac:dyDescent="0.25">
      <c r="A217" s="4"/>
      <c r="B217" s="5"/>
      <c r="C217" s="6"/>
      <c r="D217" s="5"/>
      <c r="E217" s="5"/>
      <c r="F217" s="5"/>
      <c r="G217" t="s">
        <v>600</v>
      </c>
    </row>
    <row r="218" spans="1:7" ht="17.25" x14ac:dyDescent="0.3">
      <c r="A218" s="107" t="s">
        <v>333</v>
      </c>
      <c r="B218" s="107"/>
      <c r="C218" s="107"/>
      <c r="D218" s="107"/>
      <c r="E218" s="107"/>
      <c r="F218" s="107"/>
      <c r="G218" t="s">
        <v>600</v>
      </c>
    </row>
    <row r="219" spans="1:7" x14ac:dyDescent="0.25">
      <c r="A219" s="3" t="s">
        <v>0</v>
      </c>
      <c r="B219" s="3" t="s">
        <v>1</v>
      </c>
      <c r="C219" s="3" t="s">
        <v>2</v>
      </c>
      <c r="D219" s="3" t="s">
        <v>4</v>
      </c>
      <c r="E219" s="3" t="s">
        <v>3</v>
      </c>
      <c r="F219" s="3" t="s">
        <v>21</v>
      </c>
      <c r="G219" t="s">
        <v>601</v>
      </c>
    </row>
    <row r="220" spans="1:7" x14ac:dyDescent="0.25">
      <c r="A220" s="4" t="s">
        <v>334</v>
      </c>
      <c r="B220" s="5" t="s">
        <v>173</v>
      </c>
      <c r="C220" s="34">
        <v>2.5</v>
      </c>
      <c r="D220" s="5"/>
      <c r="E220" s="5"/>
      <c r="F220" s="5"/>
      <c r="G220" t="s">
        <v>601</v>
      </c>
    </row>
    <row r="221" spans="1:7" x14ac:dyDescent="0.25">
      <c r="A221" s="4" t="s">
        <v>335</v>
      </c>
      <c r="B221" s="5" t="s">
        <v>167</v>
      </c>
      <c r="C221" s="34">
        <v>4</v>
      </c>
      <c r="D221" s="5"/>
      <c r="E221" s="5"/>
      <c r="F221" s="5"/>
      <c r="G221" t="s">
        <v>601</v>
      </c>
    </row>
    <row r="222" spans="1:7" x14ac:dyDescent="0.25">
      <c r="A222" s="4" t="s">
        <v>336</v>
      </c>
      <c r="B222" s="5" t="s">
        <v>167</v>
      </c>
      <c r="C222" s="34">
        <v>5</v>
      </c>
      <c r="D222" s="5"/>
      <c r="E222" s="5"/>
      <c r="F222" s="5"/>
      <c r="G222" t="s">
        <v>601</v>
      </c>
    </row>
    <row r="223" spans="1:7" x14ac:dyDescent="0.25">
      <c r="A223" s="4" t="s">
        <v>337</v>
      </c>
      <c r="B223" s="5" t="s">
        <v>167</v>
      </c>
      <c r="C223" s="34">
        <v>1</v>
      </c>
      <c r="D223" s="5"/>
      <c r="E223" s="5"/>
      <c r="F223" s="5"/>
      <c r="G223" t="s">
        <v>601</v>
      </c>
    </row>
    <row r="224" spans="1:7" x14ac:dyDescent="0.25">
      <c r="A224" s="4" t="s">
        <v>338</v>
      </c>
      <c r="B224" s="5" t="s">
        <v>173</v>
      </c>
      <c r="C224" s="34">
        <v>0.6</v>
      </c>
      <c r="D224" s="5"/>
      <c r="E224" s="5"/>
      <c r="F224" s="5"/>
      <c r="G224" t="s">
        <v>601</v>
      </c>
    </row>
    <row r="225" spans="1:7" x14ac:dyDescent="0.25">
      <c r="A225" s="4" t="s">
        <v>339</v>
      </c>
      <c r="B225" s="5" t="s">
        <v>173</v>
      </c>
      <c r="C225" s="38">
        <v>0.6</v>
      </c>
      <c r="D225" s="5"/>
      <c r="E225" s="5"/>
      <c r="F225" s="5"/>
      <c r="G225" t="s">
        <v>601</v>
      </c>
    </row>
    <row r="226" spans="1:7" x14ac:dyDescent="0.25">
      <c r="A226" s="4" t="s">
        <v>340</v>
      </c>
      <c r="B226" s="5" t="s">
        <v>173</v>
      </c>
      <c r="C226" s="34">
        <v>0.4</v>
      </c>
      <c r="D226" s="5"/>
      <c r="E226" s="5"/>
      <c r="F226" s="5"/>
      <c r="G226" t="s">
        <v>601</v>
      </c>
    </row>
    <row r="227" spans="1:7" x14ac:dyDescent="0.25">
      <c r="A227" s="4" t="s">
        <v>341</v>
      </c>
      <c r="B227" s="5" t="s">
        <v>185</v>
      </c>
      <c r="C227" s="34">
        <v>7.8125E-2</v>
      </c>
      <c r="D227" s="5"/>
      <c r="E227" s="5"/>
      <c r="F227" s="5"/>
      <c r="G227" t="s">
        <v>601</v>
      </c>
    </row>
    <row r="228" spans="1:7" x14ac:dyDescent="0.25">
      <c r="A228" s="4" t="s">
        <v>342</v>
      </c>
      <c r="B228" s="5" t="s">
        <v>185</v>
      </c>
      <c r="C228" s="34">
        <v>7.8125E-2</v>
      </c>
      <c r="D228" s="5"/>
      <c r="E228" s="5"/>
      <c r="F228" s="5"/>
      <c r="G228" t="s">
        <v>601</v>
      </c>
    </row>
    <row r="229" spans="1:7" x14ac:dyDescent="0.25">
      <c r="A229" s="4" t="s">
        <v>343</v>
      </c>
      <c r="B229" s="5" t="s">
        <v>185</v>
      </c>
      <c r="C229" s="34">
        <v>7.8125E-2</v>
      </c>
      <c r="D229" s="5"/>
      <c r="E229" s="5"/>
      <c r="F229" s="5"/>
      <c r="G229" t="s">
        <v>601</v>
      </c>
    </row>
    <row r="230" spans="1:7" x14ac:dyDescent="0.25">
      <c r="A230" s="4" t="s">
        <v>344</v>
      </c>
      <c r="B230" s="5" t="s">
        <v>173</v>
      </c>
      <c r="C230" s="34">
        <v>0.1</v>
      </c>
      <c r="D230" s="5"/>
      <c r="E230" s="5"/>
      <c r="F230" s="5"/>
      <c r="G230" t="s">
        <v>601</v>
      </c>
    </row>
    <row r="231" spans="1:7" x14ac:dyDescent="0.25">
      <c r="A231" s="4" t="s">
        <v>345</v>
      </c>
      <c r="B231" s="5" t="s">
        <v>69</v>
      </c>
      <c r="C231" s="6">
        <v>300</v>
      </c>
      <c r="D231" s="5"/>
      <c r="E231" s="5"/>
      <c r="F231" s="5"/>
      <c r="G231" t="s">
        <v>601</v>
      </c>
    </row>
    <row r="232" spans="1:7" x14ac:dyDescent="0.25">
      <c r="A232" s="4" t="s">
        <v>346</v>
      </c>
      <c r="B232" s="5" t="s">
        <v>166</v>
      </c>
      <c r="C232" s="34">
        <f>STATOR_RESISTANCE</f>
        <v>2.8</v>
      </c>
      <c r="D232" s="5"/>
      <c r="E232" s="5"/>
      <c r="F232" s="5"/>
      <c r="G232" t="s">
        <v>601</v>
      </c>
    </row>
    <row r="233" spans="1:7" x14ac:dyDescent="0.25">
      <c r="A233" s="4" t="s">
        <v>347</v>
      </c>
      <c r="B233" s="5" t="s">
        <v>173</v>
      </c>
      <c r="C233" s="34">
        <v>3</v>
      </c>
      <c r="D233" s="5"/>
      <c r="E233" s="5"/>
      <c r="F233" s="5"/>
      <c r="G233" t="s">
        <v>601</v>
      </c>
    </row>
    <row r="234" spans="1:7" x14ac:dyDescent="0.25">
      <c r="A234" s="4" t="s">
        <v>348</v>
      </c>
      <c r="B234" s="5" t="s">
        <v>173</v>
      </c>
      <c r="C234" s="34">
        <v>3.5</v>
      </c>
      <c r="D234" s="5"/>
      <c r="E234" s="5"/>
      <c r="F234" s="5"/>
      <c r="G234" t="s">
        <v>601</v>
      </c>
    </row>
    <row r="235" spans="1:7" x14ac:dyDescent="0.25">
      <c r="A235" s="4" t="s">
        <v>349</v>
      </c>
      <c r="B235" s="5" t="s">
        <v>168</v>
      </c>
      <c r="C235" s="34">
        <v>0.3</v>
      </c>
      <c r="D235" s="5"/>
      <c r="E235" s="5"/>
      <c r="F235" s="5"/>
      <c r="G235" t="s">
        <v>601</v>
      </c>
    </row>
    <row r="236" spans="1:7" x14ac:dyDescent="0.25">
      <c r="A236" s="4" t="s">
        <v>374</v>
      </c>
      <c r="B236" s="5" t="s">
        <v>173</v>
      </c>
      <c r="C236" s="34">
        <v>4</v>
      </c>
      <c r="D236" s="5"/>
      <c r="E236" s="5"/>
      <c r="F236" s="5"/>
      <c r="G236" t="s">
        <v>601</v>
      </c>
    </row>
    <row r="237" spans="1:7" x14ac:dyDescent="0.25">
      <c r="A237" s="4" t="s">
        <v>375</v>
      </c>
      <c r="B237" s="5" t="s">
        <v>173</v>
      </c>
      <c r="C237" s="34">
        <f>1/1000</f>
        <v>1E-3</v>
      </c>
      <c r="D237" s="5"/>
      <c r="E237" s="5"/>
      <c r="F237" s="5"/>
      <c r="G237" t="s">
        <v>601</v>
      </c>
    </row>
    <row r="238" spans="1:7" x14ac:dyDescent="0.25">
      <c r="A238" s="4" t="s">
        <v>376</v>
      </c>
      <c r="B238" s="5" t="s">
        <v>173</v>
      </c>
      <c r="C238" s="35">
        <f>OBSERVER_TS</f>
        <v>1.25E-4</v>
      </c>
      <c r="D238" s="5"/>
      <c r="E238" s="5"/>
      <c r="F238" s="5"/>
      <c r="G238" t="s">
        <v>601</v>
      </c>
    </row>
    <row r="239" spans="1:7" x14ac:dyDescent="0.25">
      <c r="A239" s="4"/>
      <c r="B239" s="5"/>
      <c r="C239" s="8"/>
      <c r="D239" s="5"/>
      <c r="E239" s="5"/>
      <c r="F239" s="5"/>
      <c r="G239" t="s">
        <v>601</v>
      </c>
    </row>
    <row r="240" spans="1:7" x14ac:dyDescent="0.25">
      <c r="A240" s="4" t="s">
        <v>388</v>
      </c>
      <c r="B240" s="5" t="s">
        <v>168</v>
      </c>
      <c r="C240" s="8">
        <f>150*11.4</f>
        <v>1710</v>
      </c>
      <c r="D240" s="5"/>
      <c r="E240" s="5"/>
      <c r="F240" s="5"/>
      <c r="G240" t="s">
        <v>601</v>
      </c>
    </row>
    <row r="241" spans="1:7" x14ac:dyDescent="0.25">
      <c r="A241" s="4" t="s">
        <v>389</v>
      </c>
      <c r="B241" s="5" t="s">
        <v>391</v>
      </c>
      <c r="C241" s="8">
        <v>1</v>
      </c>
      <c r="D241" s="5"/>
      <c r="E241" s="5"/>
      <c r="F241" s="5"/>
      <c r="G241" t="s">
        <v>601</v>
      </c>
    </row>
    <row r="242" spans="1:7" x14ac:dyDescent="0.25">
      <c r="A242" s="4" t="s">
        <v>390</v>
      </c>
      <c r="B242" s="5" t="s">
        <v>69</v>
      </c>
      <c r="C242" s="8">
        <v>3</v>
      </c>
      <c r="D242" s="5"/>
      <c r="E242" s="5"/>
      <c r="F242" s="5"/>
      <c r="G242" t="s">
        <v>601</v>
      </c>
    </row>
    <row r="243" spans="1:7" x14ac:dyDescent="0.25">
      <c r="A243" s="4" t="s">
        <v>392</v>
      </c>
      <c r="B243" s="5" t="s">
        <v>391</v>
      </c>
      <c r="C243" s="8">
        <v>5</v>
      </c>
      <c r="D243" s="5"/>
      <c r="E243" s="5"/>
      <c r="F243" s="5"/>
      <c r="G243" t="s">
        <v>601</v>
      </c>
    </row>
    <row r="244" spans="1:7" x14ac:dyDescent="0.25">
      <c r="A244" s="4" t="s">
        <v>393</v>
      </c>
      <c r="B244" s="5" t="s">
        <v>69</v>
      </c>
      <c r="C244" s="100">
        <v>3</v>
      </c>
      <c r="D244" s="5"/>
      <c r="E244" s="5"/>
      <c r="F244" s="5"/>
      <c r="G244" t="s">
        <v>601</v>
      </c>
    </row>
    <row r="245" spans="1:7" x14ac:dyDescent="0.25">
      <c r="A245" s="4"/>
      <c r="B245" s="5"/>
      <c r="C245" s="8"/>
      <c r="D245" s="5"/>
      <c r="E245" s="5"/>
      <c r="F245" s="5"/>
      <c r="G245" t="s">
        <v>601</v>
      </c>
    </row>
    <row r="246" spans="1:7" x14ac:dyDescent="0.25">
      <c r="A246" s="4" t="s">
        <v>377</v>
      </c>
      <c r="B246" s="5" t="s">
        <v>166</v>
      </c>
      <c r="C246" s="8">
        <f>2.8</f>
        <v>2.8</v>
      </c>
      <c r="D246" s="5"/>
      <c r="E246" s="5"/>
      <c r="F246" s="5"/>
      <c r="G246" t="s">
        <v>601</v>
      </c>
    </row>
    <row r="247" spans="1:7" x14ac:dyDescent="0.25">
      <c r="A247" s="4" t="s">
        <v>350</v>
      </c>
      <c r="B247" s="5" t="s">
        <v>351</v>
      </c>
      <c r="C247" s="8">
        <v>232.1</v>
      </c>
      <c r="D247" s="5"/>
      <c r="E247" s="5"/>
      <c r="F247" s="5"/>
      <c r="G247" t="s">
        <v>601</v>
      </c>
    </row>
    <row r="248" spans="1:7" s="70" customFormat="1" x14ac:dyDescent="0.25">
      <c r="A248" s="4" t="s">
        <v>353</v>
      </c>
      <c r="B248" s="5" t="s">
        <v>351</v>
      </c>
      <c r="C248" s="8">
        <v>25</v>
      </c>
      <c r="D248" s="5"/>
      <c r="E248" s="5"/>
      <c r="F248" s="5"/>
      <c r="G248" t="s">
        <v>601</v>
      </c>
    </row>
    <row r="249" spans="1:7" x14ac:dyDescent="0.25">
      <c r="A249" s="4" t="s">
        <v>352</v>
      </c>
      <c r="B249" s="5" t="s">
        <v>354</v>
      </c>
      <c r="C249" s="8">
        <v>250</v>
      </c>
      <c r="D249" s="5"/>
      <c r="E249" s="5"/>
      <c r="F249" s="5"/>
      <c r="G249" t="s">
        <v>601</v>
      </c>
    </row>
    <row r="250" spans="1:7" x14ac:dyDescent="0.25">
      <c r="A250" s="61" t="s">
        <v>627</v>
      </c>
      <c r="B250" s="62" t="s">
        <v>69</v>
      </c>
      <c r="C250" s="6">
        <v>10</v>
      </c>
      <c r="D250" s="62"/>
      <c r="E250" s="62"/>
      <c r="F250" s="62"/>
      <c r="G250" s="70" t="s">
        <v>601</v>
      </c>
    </row>
    <row r="251" spans="1:7" x14ac:dyDescent="0.25">
      <c r="A251" s="4"/>
      <c r="B251" s="5"/>
      <c r="C251" s="8"/>
      <c r="D251" s="5"/>
      <c r="E251" s="5"/>
      <c r="F251" s="5"/>
    </row>
    <row r="252" spans="1:7" ht="17.25" x14ac:dyDescent="0.3">
      <c r="A252" s="107" t="s">
        <v>618</v>
      </c>
      <c r="B252" s="107"/>
      <c r="C252" s="107"/>
      <c r="D252" s="107"/>
      <c r="E252" s="107"/>
      <c r="F252" s="107"/>
    </row>
    <row r="253" spans="1:7" x14ac:dyDescent="0.25">
      <c r="A253" s="3" t="s">
        <v>0</v>
      </c>
      <c r="B253" s="3" t="s">
        <v>1</v>
      </c>
      <c r="C253" s="3" t="s">
        <v>2</v>
      </c>
      <c r="D253" s="3" t="s">
        <v>4</v>
      </c>
      <c r="E253" s="3" t="s">
        <v>3</v>
      </c>
      <c r="F253" s="3" t="s">
        <v>21</v>
      </c>
    </row>
    <row r="254" spans="1:7" x14ac:dyDescent="0.25">
      <c r="A254" s="61" t="s">
        <v>619</v>
      </c>
      <c r="B254" s="62" t="s">
        <v>621</v>
      </c>
      <c r="C254" s="63">
        <v>75</v>
      </c>
      <c r="D254" s="5"/>
      <c r="E254" s="5"/>
      <c r="F254" s="5"/>
    </row>
    <row r="255" spans="1:7" x14ac:dyDescent="0.25">
      <c r="A255" s="61" t="s">
        <v>620</v>
      </c>
      <c r="B255" s="62" t="s">
        <v>168</v>
      </c>
      <c r="C255" s="6">
        <v>15</v>
      </c>
      <c r="D255" s="5"/>
      <c r="E255" s="5"/>
      <c r="F255" s="5"/>
    </row>
    <row r="256" spans="1:7" x14ac:dyDescent="0.25">
      <c r="A256" s="4"/>
      <c r="B256" s="5"/>
      <c r="C256" s="6"/>
      <c r="D256" s="5"/>
      <c r="E256" s="5"/>
      <c r="F256" s="5"/>
    </row>
    <row r="257" spans="1:6" x14ac:dyDescent="0.25">
      <c r="A257" s="76"/>
      <c r="B257" s="76"/>
      <c r="C257" s="76"/>
      <c r="D257" s="76"/>
      <c r="E257" s="76"/>
      <c r="F257" s="76"/>
    </row>
  </sheetData>
  <mergeCells count="16">
    <mergeCell ref="A187:F187"/>
    <mergeCell ref="A199:F199"/>
    <mergeCell ref="A210:F210"/>
    <mergeCell ref="A218:F218"/>
    <mergeCell ref="A252:F252"/>
    <mergeCell ref="A191:F191"/>
    <mergeCell ref="A1:F1"/>
    <mergeCell ref="A42:F42"/>
    <mergeCell ref="A111:F111"/>
    <mergeCell ref="A142:F142"/>
    <mergeCell ref="A162:F162"/>
    <mergeCell ref="A6:F6"/>
    <mergeCell ref="A16:F16"/>
    <mergeCell ref="A24:F24"/>
    <mergeCell ref="A26:F26"/>
    <mergeCell ref="A32:F32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7"/>
  <sheetViews>
    <sheetView topLeftCell="A55" zoomScale="115" zoomScaleNormal="115" workbookViewId="0">
      <selection activeCell="C63" sqref="C63"/>
    </sheetView>
  </sheetViews>
  <sheetFormatPr defaultRowHeight="15" x14ac:dyDescent="0.25"/>
  <cols>
    <col min="1" max="1" width="17.140625" bestFit="1" customWidth="1"/>
    <col min="3" max="3" width="13.5703125" bestFit="1" customWidth="1"/>
  </cols>
  <sheetData>
    <row r="1" spans="1:6" ht="17.25" x14ac:dyDescent="0.3">
      <c r="A1" s="107" t="s">
        <v>660</v>
      </c>
      <c r="B1" s="107"/>
      <c r="C1" s="107"/>
      <c r="D1" s="107"/>
      <c r="E1" s="107"/>
      <c r="F1" s="107"/>
    </row>
    <row r="2" spans="1:6" x14ac:dyDescent="0.25">
      <c r="A2" s="74" t="s">
        <v>0</v>
      </c>
      <c r="B2" s="74" t="s">
        <v>1</v>
      </c>
      <c r="C2" s="74" t="s">
        <v>2</v>
      </c>
      <c r="D2" s="74" t="s">
        <v>4</v>
      </c>
      <c r="E2" s="74" t="s">
        <v>3</v>
      </c>
      <c r="F2" s="74" t="s">
        <v>21</v>
      </c>
    </row>
    <row r="3" spans="1:6" s="101" customFormat="1" x14ac:dyDescent="0.25">
      <c r="A3" s="88" t="s">
        <v>997</v>
      </c>
      <c r="B3" s="89"/>
      <c r="C3" s="90">
        <v>25</v>
      </c>
      <c r="D3" s="76"/>
      <c r="E3" s="76"/>
      <c r="F3" s="76">
        <v>0</v>
      </c>
    </row>
    <row r="4" spans="1:6" x14ac:dyDescent="0.25">
      <c r="A4" s="88" t="s">
        <v>661</v>
      </c>
      <c r="B4" s="89" t="s">
        <v>182</v>
      </c>
      <c r="C4" s="105">
        <v>0</v>
      </c>
      <c r="D4" s="76"/>
      <c r="E4" s="76"/>
      <c r="F4" s="76"/>
    </row>
    <row r="5" spans="1:6" x14ac:dyDescent="0.25">
      <c r="A5" s="88" t="s">
        <v>662</v>
      </c>
      <c r="B5" s="89" t="s">
        <v>182</v>
      </c>
      <c r="C5" s="105">
        <v>0.17163940429687499</v>
      </c>
      <c r="D5" s="76"/>
      <c r="E5" s="76"/>
      <c r="F5" s="76"/>
    </row>
    <row r="6" spans="1:6" x14ac:dyDescent="0.25">
      <c r="A6" s="88" t="s">
        <v>663</v>
      </c>
      <c r="B6" s="89" t="s">
        <v>182</v>
      </c>
      <c r="C6" s="105">
        <v>0.34327880859374998</v>
      </c>
      <c r="D6" s="76"/>
      <c r="E6" s="76"/>
      <c r="F6" s="76"/>
    </row>
    <row r="7" spans="1:6" x14ac:dyDescent="0.25">
      <c r="A7" s="88" t="s">
        <v>664</v>
      </c>
      <c r="B7" s="89" t="s">
        <v>182</v>
      </c>
      <c r="C7" s="105">
        <v>0.514918212890625</v>
      </c>
      <c r="D7" s="76"/>
      <c r="E7" s="76"/>
      <c r="F7" s="76"/>
    </row>
    <row r="8" spans="1:6" x14ac:dyDescent="0.25">
      <c r="A8" s="88" t="s">
        <v>665</v>
      </c>
      <c r="B8" s="89" t="s">
        <v>182</v>
      </c>
      <c r="C8" s="105">
        <v>0.68655761718749997</v>
      </c>
      <c r="D8" s="76"/>
      <c r="E8" s="76"/>
      <c r="F8" s="76"/>
    </row>
    <row r="9" spans="1:6" x14ac:dyDescent="0.25">
      <c r="A9" s="88" t="s">
        <v>666</v>
      </c>
      <c r="B9" s="89" t="s">
        <v>182</v>
      </c>
      <c r="C9" s="105">
        <v>0.85819702148437504</v>
      </c>
      <c r="D9" s="76"/>
      <c r="E9" s="76"/>
      <c r="F9" s="76"/>
    </row>
    <row r="10" spans="1:6" x14ac:dyDescent="0.25">
      <c r="A10" s="88" t="s">
        <v>667</v>
      </c>
      <c r="B10" s="89" t="s">
        <v>182</v>
      </c>
      <c r="C10" s="105">
        <v>1.02983642578125</v>
      </c>
      <c r="D10" s="76"/>
      <c r="E10" s="76"/>
      <c r="F10" s="76"/>
    </row>
    <row r="11" spans="1:6" x14ac:dyDescent="0.25">
      <c r="A11" s="88" t="s">
        <v>668</v>
      </c>
      <c r="B11" s="89" t="s">
        <v>182</v>
      </c>
      <c r="C11" s="105">
        <v>1.2014758300781201</v>
      </c>
      <c r="D11" s="76"/>
      <c r="E11" s="76"/>
      <c r="F11" s="76"/>
    </row>
    <row r="12" spans="1:6" x14ac:dyDescent="0.25">
      <c r="A12" s="88" t="s">
        <v>669</v>
      </c>
      <c r="B12" s="89" t="s">
        <v>182</v>
      </c>
      <c r="C12" s="105">
        <v>1.3731152343749999</v>
      </c>
      <c r="D12" s="76"/>
      <c r="E12" s="76"/>
      <c r="F12" s="76"/>
    </row>
    <row r="13" spans="1:6" x14ac:dyDescent="0.25">
      <c r="A13" s="88" t="s">
        <v>670</v>
      </c>
      <c r="B13" s="89" t="s">
        <v>182</v>
      </c>
      <c r="C13" s="105">
        <v>1.54475463867187</v>
      </c>
      <c r="D13" s="76"/>
      <c r="E13" s="76"/>
      <c r="F13" s="76"/>
    </row>
    <row r="14" spans="1:6" x14ac:dyDescent="0.25">
      <c r="A14" s="88" t="s">
        <v>671</v>
      </c>
      <c r="B14" s="89" t="s">
        <v>182</v>
      </c>
      <c r="C14" s="105">
        <v>1.7163940429687501</v>
      </c>
      <c r="D14" s="76"/>
      <c r="E14" s="76"/>
      <c r="F14" s="76"/>
    </row>
    <row r="15" spans="1:6" x14ac:dyDescent="0.25">
      <c r="A15" s="88" t="s">
        <v>672</v>
      </c>
      <c r="B15" s="89" t="s">
        <v>182</v>
      </c>
      <c r="C15" s="105">
        <v>1.8880334472656199</v>
      </c>
      <c r="D15" s="76"/>
      <c r="E15" s="76"/>
      <c r="F15" s="76"/>
    </row>
    <row r="16" spans="1:6" x14ac:dyDescent="0.25">
      <c r="A16" s="88" t="s">
        <v>673</v>
      </c>
      <c r="B16" s="89" t="s">
        <v>182</v>
      </c>
      <c r="C16" s="105">
        <v>2.0596728515625</v>
      </c>
      <c r="D16" s="76"/>
      <c r="E16" s="76"/>
      <c r="F16" s="76"/>
    </row>
    <row r="17" spans="1:6" x14ac:dyDescent="0.25">
      <c r="A17" s="88" t="s">
        <v>674</v>
      </c>
      <c r="B17" s="89" t="s">
        <v>182</v>
      </c>
      <c r="C17" s="105">
        <v>2.2313122558593701</v>
      </c>
      <c r="D17" s="76"/>
      <c r="E17" s="76"/>
      <c r="F17" s="76"/>
    </row>
    <row r="18" spans="1:6" x14ac:dyDescent="0.25">
      <c r="A18" s="88" t="s">
        <v>675</v>
      </c>
      <c r="B18" s="89" t="s">
        <v>182</v>
      </c>
      <c r="C18" s="105">
        <v>2.4029516601562499</v>
      </c>
      <c r="D18" s="76"/>
      <c r="E18" s="76"/>
      <c r="F18" s="76"/>
    </row>
    <row r="19" spans="1:6" x14ac:dyDescent="0.25">
      <c r="A19" s="88" t="s">
        <v>676</v>
      </c>
      <c r="B19" s="89" t="s">
        <v>182</v>
      </c>
      <c r="C19" s="105">
        <v>2.57459106445312</v>
      </c>
      <c r="D19" s="76"/>
      <c r="E19" s="76"/>
      <c r="F19" s="76"/>
    </row>
    <row r="20" spans="1:6" x14ac:dyDescent="0.25">
      <c r="A20" s="88" t="s">
        <v>677</v>
      </c>
      <c r="B20" s="89" t="s">
        <v>182</v>
      </c>
      <c r="C20" s="105">
        <v>2.7462304687499999</v>
      </c>
      <c r="D20" s="76"/>
      <c r="E20" s="76"/>
      <c r="F20" s="76"/>
    </row>
    <row r="21" spans="1:6" x14ac:dyDescent="0.25">
      <c r="A21" s="88" t="s">
        <v>678</v>
      </c>
      <c r="B21" s="89" t="s">
        <v>182</v>
      </c>
      <c r="C21" s="105">
        <v>2.91786987304687</v>
      </c>
      <c r="D21" s="76"/>
      <c r="E21" s="76"/>
      <c r="F21" s="76"/>
    </row>
    <row r="22" spans="1:6" x14ac:dyDescent="0.25">
      <c r="A22" s="88" t="s">
        <v>679</v>
      </c>
      <c r="B22" s="89" t="s">
        <v>182</v>
      </c>
      <c r="C22" s="105">
        <v>3.0895092773437498</v>
      </c>
      <c r="D22" s="76"/>
      <c r="E22" s="76"/>
      <c r="F22" s="76"/>
    </row>
    <row r="23" spans="1:6" x14ac:dyDescent="0.25">
      <c r="A23" s="88" t="s">
        <v>680</v>
      </c>
      <c r="B23" s="89" t="s">
        <v>182</v>
      </c>
      <c r="C23" s="105">
        <v>3.2611486816406199</v>
      </c>
      <c r="D23" s="76"/>
      <c r="E23" s="76"/>
      <c r="F23" s="76"/>
    </row>
    <row r="24" spans="1:6" x14ac:dyDescent="0.25">
      <c r="A24" s="88" t="s">
        <v>681</v>
      </c>
      <c r="B24" s="89" t="s">
        <v>182</v>
      </c>
      <c r="C24" s="105">
        <v>3.4327880859375002</v>
      </c>
      <c r="D24" s="76"/>
      <c r="E24" s="76"/>
      <c r="F24" s="76"/>
    </row>
    <row r="25" spans="1:6" x14ac:dyDescent="0.25">
      <c r="A25" s="88" t="s">
        <v>682</v>
      </c>
      <c r="B25" s="89" t="s">
        <v>182</v>
      </c>
      <c r="C25" s="105">
        <v>3.6044274902343698</v>
      </c>
      <c r="D25" s="76"/>
      <c r="E25" s="76"/>
      <c r="F25" s="76"/>
    </row>
    <row r="26" spans="1:6" x14ac:dyDescent="0.25">
      <c r="A26" s="88" t="s">
        <v>683</v>
      </c>
      <c r="B26" s="89" t="s">
        <v>182</v>
      </c>
      <c r="C26" s="105">
        <v>3.7760668945312501</v>
      </c>
      <c r="D26" s="76"/>
      <c r="E26" s="76"/>
      <c r="F26" s="76"/>
    </row>
    <row r="27" spans="1:6" x14ac:dyDescent="0.25">
      <c r="A27" s="88" t="s">
        <v>684</v>
      </c>
      <c r="B27" s="89" t="s">
        <v>182</v>
      </c>
      <c r="C27" s="105">
        <v>3.9477062988281202</v>
      </c>
      <c r="D27" s="76"/>
      <c r="E27" s="76"/>
      <c r="F27" s="76"/>
    </row>
    <row r="28" spans="1:6" x14ac:dyDescent="0.25">
      <c r="A28" s="88" t="s">
        <v>685</v>
      </c>
      <c r="B28" s="89" t="s">
        <v>182</v>
      </c>
      <c r="C28" s="105">
        <v>3.9477062988281202</v>
      </c>
      <c r="D28" s="76"/>
      <c r="E28" s="76"/>
      <c r="F28" s="76"/>
    </row>
    <row r="29" spans="1:6" x14ac:dyDescent="0.25">
      <c r="A29" s="103" t="s">
        <v>686</v>
      </c>
      <c r="B29" s="89" t="s">
        <v>205</v>
      </c>
      <c r="C29" s="104">
        <v>8.4500000000000006E-2</v>
      </c>
      <c r="D29" s="76"/>
      <c r="E29" s="76"/>
      <c r="F29" s="76"/>
    </row>
    <row r="30" spans="1:6" x14ac:dyDescent="0.25">
      <c r="A30" s="103" t="s">
        <v>687</v>
      </c>
      <c r="B30" s="89" t="s">
        <v>205</v>
      </c>
      <c r="C30" s="104">
        <v>8.4886557617187497E-2</v>
      </c>
      <c r="D30" s="76"/>
      <c r="E30" s="76"/>
      <c r="F30" s="76"/>
    </row>
    <row r="31" spans="1:6" x14ac:dyDescent="0.25">
      <c r="A31" s="103" t="s">
        <v>688</v>
      </c>
      <c r="B31" s="89" t="s">
        <v>205</v>
      </c>
      <c r="C31" s="104">
        <v>8.5946230468749996E-2</v>
      </c>
      <c r="D31" s="76"/>
      <c r="E31" s="76"/>
      <c r="F31" s="76"/>
    </row>
    <row r="32" spans="1:6" x14ac:dyDescent="0.25">
      <c r="A32" s="103" t="s">
        <v>689</v>
      </c>
      <c r="B32" s="89" t="s">
        <v>205</v>
      </c>
      <c r="C32" s="104">
        <v>8.7708854980468695E-2</v>
      </c>
      <c r="D32" s="76"/>
      <c r="E32" s="76"/>
      <c r="F32" s="76"/>
    </row>
    <row r="33" spans="1:6" x14ac:dyDescent="0.25">
      <c r="A33" s="103" t="s">
        <v>690</v>
      </c>
      <c r="B33" s="89" t="s">
        <v>205</v>
      </c>
      <c r="C33" s="104">
        <v>9.0111806640625E-2</v>
      </c>
      <c r="D33" s="76"/>
      <c r="E33" s="76"/>
      <c r="F33" s="76"/>
    </row>
    <row r="34" spans="1:6" x14ac:dyDescent="0.25">
      <c r="A34" s="103" t="s">
        <v>691</v>
      </c>
      <c r="B34" s="89" t="s">
        <v>205</v>
      </c>
      <c r="C34" s="104">
        <v>9.3147546386718696E-2</v>
      </c>
      <c r="D34" s="76"/>
      <c r="E34" s="76"/>
      <c r="F34" s="76"/>
    </row>
    <row r="35" spans="1:6" x14ac:dyDescent="0.25">
      <c r="A35" s="103" t="s">
        <v>692</v>
      </c>
      <c r="B35" s="89" t="s">
        <v>205</v>
      </c>
      <c r="C35" s="104">
        <v>9.6656401367187506E-2</v>
      </c>
      <c r="D35" s="76"/>
      <c r="E35" s="76"/>
      <c r="F35" s="76"/>
    </row>
    <row r="36" spans="1:6" x14ac:dyDescent="0.25">
      <c r="A36" s="103" t="s">
        <v>693</v>
      </c>
      <c r="B36" s="89" t="s">
        <v>205</v>
      </c>
      <c r="C36" s="104">
        <v>0.100638371582031</v>
      </c>
      <c r="D36" s="76"/>
      <c r="E36" s="76"/>
      <c r="F36" s="76"/>
    </row>
    <row r="37" spans="1:6" x14ac:dyDescent="0.25">
      <c r="A37" s="103" t="s">
        <v>694</v>
      </c>
      <c r="B37" s="89" t="s">
        <v>205</v>
      </c>
      <c r="C37" s="104">
        <v>0.10510099609375</v>
      </c>
      <c r="D37" s="76"/>
      <c r="E37" s="76"/>
      <c r="F37" s="76"/>
    </row>
    <row r="38" spans="1:6" x14ac:dyDescent="0.25">
      <c r="A38" s="103" t="s">
        <v>695</v>
      </c>
      <c r="B38" s="89" t="s">
        <v>205</v>
      </c>
      <c r="C38" s="104">
        <v>0.10886852783203101</v>
      </c>
      <c r="D38" s="76"/>
      <c r="E38" s="76"/>
      <c r="F38" s="76"/>
    </row>
    <row r="39" spans="1:6" x14ac:dyDescent="0.25">
      <c r="A39" s="103" t="s">
        <v>696</v>
      </c>
      <c r="B39" s="89" t="s">
        <v>205</v>
      </c>
      <c r="C39" s="104">
        <v>0.10993115234375</v>
      </c>
      <c r="D39" s="76"/>
      <c r="E39" s="76"/>
      <c r="F39" s="76"/>
    </row>
    <row r="40" spans="1:6" x14ac:dyDescent="0.25">
      <c r="A40" s="103" t="s">
        <v>697</v>
      </c>
      <c r="B40" s="89" t="s">
        <v>205</v>
      </c>
      <c r="C40" s="104">
        <v>0.110952133789062</v>
      </c>
      <c r="D40" s="76"/>
      <c r="E40" s="76"/>
      <c r="F40" s="76"/>
    </row>
    <row r="41" spans="1:6" x14ac:dyDescent="0.25">
      <c r="A41" s="103" t="s">
        <v>698</v>
      </c>
      <c r="B41" s="89" t="s">
        <v>205</v>
      </c>
      <c r="C41" s="104">
        <v>0.11173869140624999</v>
      </c>
      <c r="D41" s="76"/>
      <c r="E41" s="76"/>
      <c r="F41" s="76"/>
    </row>
    <row r="42" spans="1:6" x14ac:dyDescent="0.25">
      <c r="A42" s="103" t="s">
        <v>699</v>
      </c>
      <c r="B42" s="89" t="s">
        <v>205</v>
      </c>
      <c r="C42" s="104">
        <v>0.11242524902343699</v>
      </c>
      <c r="D42" s="76"/>
      <c r="E42" s="76"/>
      <c r="F42" s="76"/>
    </row>
    <row r="43" spans="1:6" x14ac:dyDescent="0.25">
      <c r="A43" s="103" t="s">
        <v>700</v>
      </c>
      <c r="B43" s="89" t="s">
        <v>205</v>
      </c>
      <c r="C43" s="104">
        <v>0.117088549804687</v>
      </c>
      <c r="D43" s="76"/>
      <c r="E43" s="76"/>
      <c r="F43" s="76"/>
    </row>
    <row r="44" spans="1:6" x14ac:dyDescent="0.25">
      <c r="A44" s="103" t="s">
        <v>701</v>
      </c>
      <c r="B44" s="89" t="s">
        <v>205</v>
      </c>
      <c r="C44" s="104">
        <v>0.122337731933593</v>
      </c>
      <c r="D44" s="76"/>
      <c r="E44" s="76"/>
      <c r="F44" s="76"/>
    </row>
    <row r="45" spans="1:6" x14ac:dyDescent="0.25">
      <c r="A45" s="103" t="s">
        <v>702</v>
      </c>
      <c r="B45" s="89" t="s">
        <v>205</v>
      </c>
      <c r="C45" s="104">
        <v>0.12767937499999901</v>
      </c>
      <c r="D45" s="76"/>
      <c r="E45" s="76"/>
      <c r="F45" s="76"/>
    </row>
    <row r="46" spans="1:6" x14ac:dyDescent="0.25">
      <c r="A46" s="103" t="s">
        <v>703</v>
      </c>
      <c r="B46" s="89" t="s">
        <v>205</v>
      </c>
      <c r="C46" s="104">
        <v>0.1332718359375</v>
      </c>
      <c r="D46" s="76"/>
      <c r="E46" s="76"/>
      <c r="F46" s="76"/>
    </row>
    <row r="47" spans="1:6" x14ac:dyDescent="0.25">
      <c r="A47" s="103" t="s">
        <v>704</v>
      </c>
      <c r="B47" s="89" t="s">
        <v>205</v>
      </c>
      <c r="C47" s="104">
        <v>0.13886429687499999</v>
      </c>
      <c r="D47" s="76"/>
      <c r="E47" s="76"/>
      <c r="F47" s="76"/>
    </row>
    <row r="48" spans="1:6" x14ac:dyDescent="0.25">
      <c r="A48" s="103" t="s">
        <v>705</v>
      </c>
      <c r="B48" s="89" t="s">
        <v>205</v>
      </c>
      <c r="C48" s="104">
        <v>0.14457905517578101</v>
      </c>
      <c r="D48" s="76"/>
      <c r="E48" s="76"/>
      <c r="F48" s="76"/>
    </row>
    <row r="49" spans="1:6" x14ac:dyDescent="0.25">
      <c r="A49" s="103" t="s">
        <v>706</v>
      </c>
      <c r="B49" s="89" t="s">
        <v>205</v>
      </c>
      <c r="C49" s="104">
        <v>0.15041479492187401</v>
      </c>
      <c r="D49" s="76"/>
      <c r="E49" s="76"/>
      <c r="F49" s="76"/>
    </row>
    <row r="50" spans="1:6" x14ac:dyDescent="0.25">
      <c r="A50" s="103" t="s">
        <v>707</v>
      </c>
      <c r="B50" s="89" t="s">
        <v>205</v>
      </c>
      <c r="C50" s="104">
        <v>0.15625053466796801</v>
      </c>
      <c r="D50" s="76"/>
      <c r="E50" s="76"/>
      <c r="F50" s="76"/>
    </row>
    <row r="51" spans="1:6" x14ac:dyDescent="0.25">
      <c r="A51" s="103" t="s">
        <v>708</v>
      </c>
      <c r="B51" s="89" t="s">
        <v>205</v>
      </c>
      <c r="C51" s="104">
        <v>0.16208627441406201</v>
      </c>
      <c r="D51" s="76"/>
      <c r="E51" s="76"/>
      <c r="F51" s="76"/>
    </row>
    <row r="52" spans="1:6" x14ac:dyDescent="0.25">
      <c r="A52" s="103" t="s">
        <v>709</v>
      </c>
      <c r="B52" s="89" t="s">
        <v>205</v>
      </c>
      <c r="C52" s="104">
        <v>0.168022014160156</v>
      </c>
      <c r="D52" s="76"/>
      <c r="E52" s="76"/>
      <c r="F52" s="76"/>
    </row>
    <row r="53" spans="1:6" x14ac:dyDescent="0.25">
      <c r="A53" s="103" t="s">
        <v>710</v>
      </c>
      <c r="B53" s="89" t="s">
        <v>205</v>
      </c>
      <c r="C53" s="104">
        <v>0.168022014160156</v>
      </c>
      <c r="D53" s="76"/>
      <c r="E53" s="76"/>
      <c r="F53" s="76"/>
    </row>
    <row r="54" spans="1:6" s="101" customFormat="1" x14ac:dyDescent="0.25">
      <c r="A54" s="103"/>
      <c r="B54" s="89"/>
      <c r="C54" s="104"/>
      <c r="D54" s="76"/>
      <c r="E54" s="76"/>
      <c r="F54" s="76"/>
    </row>
    <row r="55" spans="1:6" ht="17.25" x14ac:dyDescent="0.3">
      <c r="A55" s="107" t="s">
        <v>811</v>
      </c>
      <c r="B55" s="107"/>
      <c r="C55" s="107"/>
      <c r="D55" s="107"/>
      <c r="E55" s="107"/>
      <c r="F55" s="107"/>
    </row>
    <row r="56" spans="1:6" x14ac:dyDescent="0.25">
      <c r="A56" s="74" t="s">
        <v>0</v>
      </c>
      <c r="B56" s="74" t="s">
        <v>1</v>
      </c>
      <c r="C56" s="74" t="s">
        <v>2</v>
      </c>
      <c r="D56" s="74" t="s">
        <v>4</v>
      </c>
      <c r="E56" s="74" t="s">
        <v>3</v>
      </c>
      <c r="F56" s="74" t="s">
        <v>21</v>
      </c>
    </row>
    <row r="57" spans="1:6" s="101" customFormat="1" x14ac:dyDescent="0.25">
      <c r="A57" s="88" t="s">
        <v>998</v>
      </c>
      <c r="B57" s="89"/>
      <c r="C57" s="90">
        <v>25</v>
      </c>
      <c r="D57" s="76"/>
      <c r="E57" s="76"/>
      <c r="F57" s="76"/>
    </row>
    <row r="58" spans="1:6" x14ac:dyDescent="0.25">
      <c r="A58" s="88" t="s">
        <v>837</v>
      </c>
      <c r="B58" s="89" t="s">
        <v>205</v>
      </c>
      <c r="C58" s="53">
        <v>6.9982910156249998E-3</v>
      </c>
      <c r="D58" s="76"/>
      <c r="E58" s="76"/>
      <c r="F58" s="76"/>
    </row>
    <row r="59" spans="1:6" x14ac:dyDescent="0.25">
      <c r="A59" s="88" t="s">
        <v>838</v>
      </c>
      <c r="B59" s="89" t="s">
        <v>205</v>
      </c>
      <c r="C59" s="53">
        <v>1.3911132812499999E-2</v>
      </c>
      <c r="D59" s="76"/>
      <c r="E59" s="76"/>
      <c r="F59" s="76"/>
    </row>
    <row r="60" spans="1:6" x14ac:dyDescent="0.25">
      <c r="A60" s="88" t="s">
        <v>839</v>
      </c>
      <c r="B60" s="89" t="s">
        <v>205</v>
      </c>
      <c r="C60" s="53">
        <v>2.0823974609375E-2</v>
      </c>
      <c r="D60" s="76"/>
      <c r="E60" s="76"/>
      <c r="F60" s="76"/>
    </row>
    <row r="61" spans="1:6" x14ac:dyDescent="0.25">
      <c r="A61" s="88" t="s">
        <v>840</v>
      </c>
      <c r="B61" s="89" t="s">
        <v>205</v>
      </c>
      <c r="C61" s="53">
        <v>2.773681640625E-2</v>
      </c>
      <c r="D61" s="76"/>
      <c r="E61" s="76"/>
      <c r="F61" s="76"/>
    </row>
    <row r="62" spans="1:6" x14ac:dyDescent="0.25">
      <c r="A62" s="88" t="s">
        <v>841</v>
      </c>
      <c r="B62" s="89" t="s">
        <v>205</v>
      </c>
      <c r="C62" s="53">
        <v>3.4649658203125003E-2</v>
      </c>
      <c r="D62" s="76"/>
      <c r="E62" s="76"/>
      <c r="F62" s="76"/>
    </row>
    <row r="63" spans="1:6" x14ac:dyDescent="0.25">
      <c r="A63" s="88" t="s">
        <v>842</v>
      </c>
      <c r="B63" s="89" t="s">
        <v>205</v>
      </c>
      <c r="C63" s="53">
        <v>4.1562500000000002E-2</v>
      </c>
      <c r="D63" s="76"/>
      <c r="E63" s="76"/>
      <c r="F63" s="76"/>
    </row>
    <row r="64" spans="1:6" x14ac:dyDescent="0.25">
      <c r="A64" s="88" t="s">
        <v>843</v>
      </c>
      <c r="B64" s="89" t="s">
        <v>205</v>
      </c>
      <c r="C64" s="53">
        <v>4.8475341796875002E-2</v>
      </c>
      <c r="D64" s="76"/>
      <c r="E64" s="76"/>
      <c r="F64" s="76"/>
    </row>
    <row r="65" spans="1:6" x14ac:dyDescent="0.25">
      <c r="A65" s="88" t="s">
        <v>844</v>
      </c>
      <c r="B65" s="89" t="s">
        <v>205</v>
      </c>
      <c r="C65" s="53">
        <v>5.5388183593750001E-2</v>
      </c>
      <c r="D65" s="76"/>
      <c r="E65" s="76"/>
      <c r="F65" s="76"/>
    </row>
    <row r="66" spans="1:6" x14ac:dyDescent="0.25">
      <c r="A66" s="88" t="s">
        <v>845</v>
      </c>
      <c r="B66" s="89" t="s">
        <v>205</v>
      </c>
      <c r="C66" s="53">
        <v>6.2301025390625001E-2</v>
      </c>
      <c r="D66" s="76"/>
      <c r="E66" s="76"/>
      <c r="F66" s="76"/>
    </row>
    <row r="67" spans="1:6" x14ac:dyDescent="0.25">
      <c r="A67" s="88" t="s">
        <v>846</v>
      </c>
      <c r="B67" s="89" t="s">
        <v>205</v>
      </c>
      <c r="C67" s="53">
        <v>6.92138671875E-2</v>
      </c>
      <c r="D67" s="76"/>
      <c r="E67" s="76"/>
      <c r="F67" s="76"/>
    </row>
    <row r="68" spans="1:6" x14ac:dyDescent="0.25">
      <c r="A68" s="88" t="s">
        <v>847</v>
      </c>
      <c r="B68" s="89" t="s">
        <v>205</v>
      </c>
      <c r="C68" s="53">
        <v>7.6126708984374999E-2</v>
      </c>
      <c r="D68" s="76"/>
      <c r="E68" s="76"/>
      <c r="F68" s="76"/>
    </row>
    <row r="69" spans="1:6" x14ac:dyDescent="0.25">
      <c r="A69" s="88" t="s">
        <v>848</v>
      </c>
      <c r="B69" s="89" t="s">
        <v>205</v>
      </c>
      <c r="C69" s="53">
        <v>8.3039550781249999E-2</v>
      </c>
      <c r="D69" s="76"/>
      <c r="E69" s="76"/>
      <c r="F69" s="76"/>
    </row>
    <row r="70" spans="1:6" x14ac:dyDescent="0.25">
      <c r="A70" s="88" t="s">
        <v>849</v>
      </c>
      <c r="B70" s="89" t="s">
        <v>205</v>
      </c>
      <c r="C70" s="53">
        <v>8.9952392578124998E-2</v>
      </c>
      <c r="D70" s="76"/>
      <c r="E70" s="76"/>
      <c r="F70" s="76"/>
    </row>
    <row r="71" spans="1:6" x14ac:dyDescent="0.25">
      <c r="A71" s="88" t="s">
        <v>850</v>
      </c>
      <c r="B71" s="89" t="s">
        <v>205</v>
      </c>
      <c r="C71" s="53">
        <v>9.6865234374999998E-2</v>
      </c>
      <c r="D71" s="76"/>
      <c r="E71" s="76"/>
      <c r="F71" s="76"/>
    </row>
    <row r="72" spans="1:6" x14ac:dyDescent="0.25">
      <c r="A72" s="88" t="s">
        <v>851</v>
      </c>
      <c r="B72" s="89" t="s">
        <v>205</v>
      </c>
      <c r="C72" s="53">
        <v>0.103778076171875</v>
      </c>
      <c r="D72" s="76"/>
      <c r="E72" s="76"/>
      <c r="F72" s="76"/>
    </row>
    <row r="73" spans="1:6" x14ac:dyDescent="0.25">
      <c r="A73" s="88" t="s">
        <v>852</v>
      </c>
      <c r="B73" s="89" t="s">
        <v>205</v>
      </c>
      <c r="C73" s="53">
        <v>0.11069091796875</v>
      </c>
      <c r="D73" s="76"/>
      <c r="E73" s="76"/>
      <c r="F73" s="76"/>
    </row>
    <row r="74" spans="1:6" x14ac:dyDescent="0.25">
      <c r="A74" s="88" t="s">
        <v>853</v>
      </c>
      <c r="B74" s="89" t="s">
        <v>205</v>
      </c>
      <c r="C74" s="53">
        <v>0.117603759765625</v>
      </c>
      <c r="D74" s="76"/>
      <c r="E74" s="76"/>
      <c r="F74" s="76"/>
    </row>
    <row r="75" spans="1:6" x14ac:dyDescent="0.25">
      <c r="A75" s="88" t="s">
        <v>854</v>
      </c>
      <c r="B75" s="89" t="s">
        <v>205</v>
      </c>
      <c r="C75" s="53">
        <v>0.1245166015625</v>
      </c>
      <c r="D75" s="76"/>
      <c r="E75" s="76"/>
      <c r="F75" s="76"/>
    </row>
    <row r="76" spans="1:6" x14ac:dyDescent="0.25">
      <c r="A76" s="88" t="s">
        <v>855</v>
      </c>
      <c r="B76" s="89" t="s">
        <v>205</v>
      </c>
      <c r="C76" s="53">
        <v>0.13142944335937501</v>
      </c>
      <c r="D76" s="76"/>
      <c r="E76" s="76"/>
      <c r="F76" s="76"/>
    </row>
    <row r="77" spans="1:6" x14ac:dyDescent="0.25">
      <c r="A77" s="88" t="s">
        <v>856</v>
      </c>
      <c r="B77" s="89" t="s">
        <v>205</v>
      </c>
      <c r="C77" s="53">
        <v>0.13834228515624999</v>
      </c>
      <c r="D77" s="76"/>
      <c r="E77" s="76"/>
      <c r="F77" s="76"/>
    </row>
    <row r="78" spans="1:6" x14ac:dyDescent="0.25">
      <c r="A78" s="88" t="s">
        <v>857</v>
      </c>
      <c r="B78" s="89" t="s">
        <v>205</v>
      </c>
      <c r="C78" s="53">
        <v>0.14525512695312501</v>
      </c>
      <c r="D78" s="76"/>
      <c r="E78" s="76"/>
      <c r="F78" s="76"/>
    </row>
    <row r="79" spans="1:6" x14ac:dyDescent="0.25">
      <c r="A79" s="88" t="s">
        <v>858</v>
      </c>
      <c r="B79" s="89" t="s">
        <v>205</v>
      </c>
      <c r="C79" s="53">
        <v>0.15216796874999999</v>
      </c>
      <c r="D79" s="76"/>
      <c r="E79" s="76"/>
      <c r="F79" s="76"/>
    </row>
    <row r="80" spans="1:6" x14ac:dyDescent="0.25">
      <c r="A80" s="88" t="s">
        <v>859</v>
      </c>
      <c r="B80" s="89" t="s">
        <v>205</v>
      </c>
      <c r="C80" s="53">
        <v>0.15908081054687501</v>
      </c>
      <c r="D80" s="76"/>
      <c r="E80" s="76"/>
      <c r="F80" s="76"/>
    </row>
    <row r="81" spans="1:6" x14ac:dyDescent="0.25">
      <c r="A81" s="88" t="s">
        <v>860</v>
      </c>
      <c r="B81" s="89" t="s">
        <v>205</v>
      </c>
      <c r="C81" s="53">
        <v>0.16599365234374999</v>
      </c>
      <c r="D81" s="76"/>
      <c r="E81" s="76"/>
      <c r="F81" s="76"/>
    </row>
    <row r="82" spans="1:6" x14ac:dyDescent="0.25">
      <c r="A82" s="88" t="s">
        <v>861</v>
      </c>
      <c r="B82" s="89" t="s">
        <v>205</v>
      </c>
      <c r="C82" s="53">
        <v>0.16599365234374999</v>
      </c>
      <c r="D82" s="76"/>
      <c r="E82" s="76"/>
      <c r="F82" s="76"/>
    </row>
    <row r="83" spans="1:6" x14ac:dyDescent="0.25">
      <c r="A83" s="88" t="s">
        <v>812</v>
      </c>
      <c r="B83" s="89" t="s">
        <v>182</v>
      </c>
      <c r="C83" s="104">
        <v>6.4100000000000004E-2</v>
      </c>
      <c r="D83" s="76"/>
      <c r="E83" s="76"/>
      <c r="F83" s="76"/>
    </row>
    <row r="84" spans="1:6" x14ac:dyDescent="0.25">
      <c r="A84" s="88" t="s">
        <v>813</v>
      </c>
      <c r="B84" s="89" t="s">
        <v>182</v>
      </c>
      <c r="C84" s="104">
        <v>0.28200722656249999</v>
      </c>
      <c r="D84" s="76"/>
      <c r="E84" s="76"/>
      <c r="F84" s="76"/>
    </row>
    <row r="85" spans="1:6" x14ac:dyDescent="0.25">
      <c r="A85" s="88" t="s">
        <v>814</v>
      </c>
      <c r="B85" s="89" t="s">
        <v>182</v>
      </c>
      <c r="C85" s="104">
        <v>0.45092819824218699</v>
      </c>
      <c r="D85" s="76"/>
      <c r="E85" s="76"/>
      <c r="F85" s="76"/>
    </row>
    <row r="86" spans="1:6" x14ac:dyDescent="0.25">
      <c r="A86" s="88" t="s">
        <v>815</v>
      </c>
      <c r="B86" s="89" t="s">
        <v>182</v>
      </c>
      <c r="C86" s="104">
        <v>0.61082573242187499</v>
      </c>
      <c r="D86" s="76"/>
      <c r="E86" s="76"/>
      <c r="F86" s="76"/>
    </row>
    <row r="87" spans="1:6" x14ac:dyDescent="0.25">
      <c r="A87" s="88" t="s">
        <v>816</v>
      </c>
      <c r="B87" s="89" t="s">
        <v>182</v>
      </c>
      <c r="C87" s="104">
        <v>0.76529248046874998</v>
      </c>
      <c r="D87" s="76"/>
      <c r="E87" s="76"/>
      <c r="F87" s="76"/>
    </row>
    <row r="88" spans="1:6" x14ac:dyDescent="0.25">
      <c r="A88" s="88" t="s">
        <v>817</v>
      </c>
      <c r="B88" s="89" t="s">
        <v>182</v>
      </c>
      <c r="C88" s="104">
        <v>0.91472500000000001</v>
      </c>
      <c r="D88" s="76"/>
      <c r="E88" s="76"/>
      <c r="F88" s="76"/>
    </row>
    <row r="89" spans="1:6" x14ac:dyDescent="0.25">
      <c r="A89" s="88" t="s">
        <v>818</v>
      </c>
      <c r="B89" s="89" t="s">
        <v>182</v>
      </c>
      <c r="C89" s="104">
        <v>1.05889697265625</v>
      </c>
      <c r="D89" s="76"/>
      <c r="E89" s="76"/>
      <c r="F89" s="76"/>
    </row>
    <row r="90" spans="1:6" x14ac:dyDescent="0.25">
      <c r="A90" s="88" t="s">
        <v>819</v>
      </c>
      <c r="B90" s="89" t="s">
        <v>182</v>
      </c>
      <c r="C90" s="104">
        <v>1.1970695800781199</v>
      </c>
      <c r="D90" s="76"/>
      <c r="E90" s="76"/>
      <c r="F90" s="76"/>
    </row>
    <row r="91" spans="1:6" x14ac:dyDescent="0.25">
      <c r="A91" s="88" t="s">
        <v>820</v>
      </c>
      <c r="B91" s="89" t="s">
        <v>182</v>
      </c>
      <c r="C91" s="104">
        <v>1.3286388671875</v>
      </c>
      <c r="D91" s="76"/>
      <c r="E91" s="76"/>
      <c r="F91" s="76"/>
    </row>
    <row r="92" spans="1:6" x14ac:dyDescent="0.25">
      <c r="A92" s="88" t="s">
        <v>821</v>
      </c>
      <c r="B92" s="89" t="s">
        <v>182</v>
      </c>
      <c r="C92" s="104">
        <v>1.452578515625</v>
      </c>
      <c r="D92" s="76"/>
      <c r="E92" s="76"/>
      <c r="F92" s="76"/>
    </row>
    <row r="93" spans="1:6" x14ac:dyDescent="0.25">
      <c r="A93" s="88" t="s">
        <v>822</v>
      </c>
      <c r="B93" s="89" t="s">
        <v>182</v>
      </c>
      <c r="C93" s="104">
        <v>1.5678146728515601</v>
      </c>
      <c r="D93" s="76"/>
      <c r="E93" s="76"/>
      <c r="F93" s="76"/>
    </row>
    <row r="94" spans="1:6" x14ac:dyDescent="0.25">
      <c r="A94" s="88" t="s">
        <v>823</v>
      </c>
      <c r="B94" s="89" t="s">
        <v>182</v>
      </c>
      <c r="C94" s="104">
        <v>1.6617638671874999</v>
      </c>
      <c r="D94" s="76"/>
      <c r="E94" s="76"/>
      <c r="F94" s="76"/>
    </row>
    <row r="95" spans="1:6" x14ac:dyDescent="0.25">
      <c r="A95" s="88" t="s">
        <v>824</v>
      </c>
      <c r="B95" s="89" t="s">
        <v>182</v>
      </c>
      <c r="C95" s="104">
        <v>1.8233385009765599</v>
      </c>
      <c r="D95" s="76"/>
      <c r="E95" s="76"/>
      <c r="F95" s="76"/>
    </row>
    <row r="96" spans="1:6" x14ac:dyDescent="0.25">
      <c r="A96" s="88" t="s">
        <v>825</v>
      </c>
      <c r="B96" s="89" t="s">
        <v>182</v>
      </c>
      <c r="C96" s="104">
        <v>2.0497953125000001</v>
      </c>
      <c r="D96" s="76"/>
      <c r="E96" s="76"/>
      <c r="F96" s="76"/>
    </row>
    <row r="97" spans="1:6" x14ac:dyDescent="0.25">
      <c r="A97" s="88" t="s">
        <v>826</v>
      </c>
      <c r="B97" s="89" t="s">
        <v>182</v>
      </c>
      <c r="C97" s="104">
        <v>2.3167931152343701</v>
      </c>
      <c r="D97" s="76"/>
      <c r="E97" s="76"/>
      <c r="F97" s="76"/>
    </row>
    <row r="98" spans="1:6" x14ac:dyDescent="0.25">
      <c r="A98" s="88" t="s">
        <v>827</v>
      </c>
      <c r="B98" s="89" t="s">
        <v>182</v>
      </c>
      <c r="C98" s="104">
        <v>2.6753659179687501</v>
      </c>
      <c r="D98" s="76"/>
      <c r="E98" s="76"/>
      <c r="F98" s="76"/>
    </row>
    <row r="99" spans="1:6" x14ac:dyDescent="0.25">
      <c r="A99" s="88" t="s">
        <v>828</v>
      </c>
      <c r="B99" s="89" t="s">
        <v>182</v>
      </c>
      <c r="C99" s="104">
        <v>3.0384181396484302</v>
      </c>
      <c r="D99" s="76"/>
      <c r="E99" s="76"/>
      <c r="F99" s="76"/>
    </row>
    <row r="100" spans="1:6" x14ac:dyDescent="0.25">
      <c r="A100" s="88" t="s">
        <v>829</v>
      </c>
      <c r="B100" s="89" t="s">
        <v>182</v>
      </c>
      <c r="C100" s="104">
        <v>3.4027732421875001</v>
      </c>
      <c r="D100" s="76"/>
      <c r="E100" s="76"/>
      <c r="F100" s="76"/>
    </row>
    <row r="101" spans="1:6" x14ac:dyDescent="0.25">
      <c r="A101" s="88" t="s">
        <v>830</v>
      </c>
      <c r="B101" s="89" t="s">
        <v>182</v>
      </c>
      <c r="C101" s="104">
        <v>3.6030000000000002</v>
      </c>
      <c r="D101" s="76"/>
      <c r="E101" s="76"/>
      <c r="F101" s="76"/>
    </row>
    <row r="102" spans="1:6" x14ac:dyDescent="0.25">
      <c r="A102" s="88" t="s">
        <v>831</v>
      </c>
      <c r="B102" s="89" t="s">
        <v>182</v>
      </c>
      <c r="C102" s="104">
        <v>3.6030000000000002</v>
      </c>
      <c r="D102" s="76"/>
      <c r="E102" s="76"/>
      <c r="F102" s="76"/>
    </row>
    <row r="103" spans="1:6" x14ac:dyDescent="0.25">
      <c r="A103" s="88" t="s">
        <v>832</v>
      </c>
      <c r="B103" s="89" t="s">
        <v>182</v>
      </c>
      <c r="C103" s="104">
        <v>3.6030000000000002</v>
      </c>
      <c r="D103" s="76"/>
      <c r="E103" s="76"/>
      <c r="F103" s="76"/>
    </row>
    <row r="104" spans="1:6" x14ac:dyDescent="0.25">
      <c r="A104" s="88" t="s">
        <v>833</v>
      </c>
      <c r="B104" s="89" t="s">
        <v>182</v>
      </c>
      <c r="C104" s="104">
        <v>3.6030000000000002</v>
      </c>
      <c r="D104" s="76"/>
      <c r="E104" s="76"/>
      <c r="F104" s="76"/>
    </row>
    <row r="105" spans="1:6" x14ac:dyDescent="0.25">
      <c r="A105" s="88" t="s">
        <v>834</v>
      </c>
      <c r="B105" s="89" t="s">
        <v>182</v>
      </c>
      <c r="C105" s="104">
        <v>3.6030000000000002</v>
      </c>
      <c r="D105" s="76"/>
      <c r="E105" s="76"/>
      <c r="F105" s="76"/>
    </row>
    <row r="106" spans="1:6" x14ac:dyDescent="0.25">
      <c r="A106" s="88" t="s">
        <v>835</v>
      </c>
      <c r="B106" s="89" t="s">
        <v>182</v>
      </c>
      <c r="C106" s="104">
        <v>3.6030000000000002</v>
      </c>
      <c r="D106" s="76"/>
      <c r="E106" s="76"/>
      <c r="F106" s="76"/>
    </row>
    <row r="107" spans="1:6" x14ac:dyDescent="0.25">
      <c r="A107" s="88" t="s">
        <v>836</v>
      </c>
      <c r="B107" s="89" t="s">
        <v>182</v>
      </c>
      <c r="C107" s="104">
        <v>3.6030000000000002</v>
      </c>
      <c r="D107" s="76"/>
      <c r="E107" s="76"/>
      <c r="F107" s="76"/>
    </row>
  </sheetData>
  <mergeCells count="2">
    <mergeCell ref="A1:F1"/>
    <mergeCell ref="A55:F5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44"/>
  <sheetViews>
    <sheetView zoomScale="85" zoomScaleNormal="85" workbookViewId="0">
      <pane ySplit="5" topLeftCell="A6" activePane="bottomLeft" state="frozen"/>
      <selection activeCell="A285" sqref="A285"/>
      <selection pane="bottomLeft" activeCell="F22" sqref="F22"/>
    </sheetView>
  </sheetViews>
  <sheetFormatPr defaultRowHeight="15" x14ac:dyDescent="0.25"/>
  <cols>
    <col min="1" max="1" width="10.28515625" style="9" bestFit="1" customWidth="1"/>
    <col min="2" max="2" width="6" hidden="1" customWidth="1"/>
    <col min="3" max="3" width="68.42578125" style="42" customWidth="1"/>
    <col min="4" max="4" width="8" bestFit="1" customWidth="1"/>
    <col min="5" max="5" width="14.28515625" customWidth="1"/>
    <col min="6" max="6" width="92.7109375" customWidth="1"/>
    <col min="7" max="7" width="12.140625" customWidth="1"/>
    <col min="8" max="8" width="11.7109375" bestFit="1" customWidth="1"/>
    <col min="9" max="10" width="23.5703125" style="11" customWidth="1"/>
    <col min="11" max="11" width="20.42578125" style="11" customWidth="1"/>
    <col min="12" max="26" width="9.140625" style="11"/>
  </cols>
  <sheetData>
    <row r="1" spans="1:26" ht="28.5" customHeight="1" x14ac:dyDescent="0.25">
      <c r="C1" s="110" t="s">
        <v>590</v>
      </c>
      <c r="D1" s="110"/>
      <c r="E1" s="110"/>
      <c r="F1" s="110"/>
      <c r="G1" s="110"/>
      <c r="H1" s="110"/>
      <c r="I1" s="110"/>
      <c r="J1" s="10"/>
      <c r="K1" s="10"/>
      <c r="L1" s="10"/>
      <c r="M1" s="10"/>
      <c r="N1" s="10"/>
      <c r="O1" s="10"/>
      <c r="P1" s="10"/>
      <c r="Q1" s="10"/>
    </row>
    <row r="2" spans="1:26" s="9" customFormat="1" ht="12.75" customHeight="1" x14ac:dyDescent="0.25">
      <c r="C2" s="40"/>
      <c r="D2" s="16"/>
      <c r="E2" s="16"/>
      <c r="F2" s="16"/>
      <c r="G2" s="16"/>
      <c r="H2" s="16"/>
      <c r="I2" s="13"/>
      <c r="J2" s="16"/>
      <c r="K2" s="16"/>
      <c r="L2" s="16"/>
      <c r="M2" s="16"/>
      <c r="N2" s="16"/>
      <c r="O2" s="16"/>
      <c r="P2" s="16"/>
      <c r="Q2" s="16"/>
      <c r="R2" s="13"/>
      <c r="S2" s="13"/>
      <c r="T2" s="13"/>
      <c r="U2" s="13"/>
      <c r="V2" s="13"/>
      <c r="W2" s="13"/>
      <c r="X2" s="13"/>
      <c r="Y2" s="13"/>
      <c r="Z2" s="13"/>
    </row>
    <row r="3" spans="1:26" s="9" customFormat="1" ht="19.5" customHeight="1" x14ac:dyDescent="0.3">
      <c r="A3" s="23"/>
      <c r="B3" s="23"/>
      <c r="C3" s="111" t="s">
        <v>162</v>
      </c>
      <c r="D3" s="111"/>
      <c r="E3" s="24">
        <f>SUM(E6:E1542)</f>
        <v>2</v>
      </c>
      <c r="F3" s="24"/>
      <c r="G3" s="24"/>
      <c r="H3" s="24"/>
      <c r="I3" s="25"/>
      <c r="J3" s="16"/>
      <c r="K3" s="16"/>
      <c r="L3" s="16"/>
      <c r="M3" s="16"/>
      <c r="N3" s="16"/>
      <c r="O3" s="16"/>
      <c r="P3" s="16"/>
      <c r="Q3" s="16"/>
      <c r="R3" s="13"/>
      <c r="S3" s="13"/>
      <c r="T3" s="13"/>
      <c r="U3" s="13"/>
      <c r="V3" s="13"/>
      <c r="W3" s="13"/>
      <c r="X3" s="13"/>
      <c r="Y3" s="13"/>
      <c r="Z3" s="13"/>
    </row>
    <row r="4" spans="1:26" s="9" customFormat="1" ht="12.75" customHeight="1" x14ac:dyDescent="0.3">
      <c r="A4" s="23"/>
      <c r="B4" s="23"/>
      <c r="C4" s="41"/>
      <c r="D4" s="24"/>
      <c r="E4" s="24"/>
      <c r="F4" s="26"/>
      <c r="G4" s="27"/>
      <c r="H4" s="27"/>
      <c r="I4" s="27"/>
      <c r="J4" s="16"/>
      <c r="K4" s="16"/>
      <c r="L4" s="16"/>
      <c r="M4" s="16"/>
      <c r="N4" s="16"/>
      <c r="O4" s="16"/>
      <c r="P4" s="16"/>
      <c r="Q4" s="16"/>
      <c r="R4" s="13"/>
      <c r="S4" s="13"/>
      <c r="T4" s="13"/>
      <c r="U4" s="13"/>
      <c r="V4" s="13"/>
      <c r="W4" s="13"/>
      <c r="X4" s="13"/>
      <c r="Y4" s="13"/>
      <c r="Z4" s="13"/>
    </row>
    <row r="5" spans="1:26" s="9" customFormat="1" ht="18.75" customHeight="1" x14ac:dyDescent="0.3">
      <c r="A5" s="24" t="s">
        <v>164</v>
      </c>
      <c r="B5" s="23"/>
      <c r="C5" s="41" t="s">
        <v>16</v>
      </c>
      <c r="D5" s="24" t="s">
        <v>161</v>
      </c>
      <c r="E5" s="24" t="s">
        <v>160</v>
      </c>
      <c r="F5" s="24" t="s">
        <v>17</v>
      </c>
      <c r="G5" s="27"/>
      <c r="H5" s="27" t="s">
        <v>592</v>
      </c>
      <c r="I5" s="27"/>
      <c r="J5" s="27"/>
      <c r="K5" s="16"/>
      <c r="L5" s="16"/>
      <c r="M5" s="16"/>
      <c r="N5" s="16"/>
      <c r="O5" s="16"/>
      <c r="P5" s="16"/>
      <c r="Q5" s="16"/>
      <c r="R5" s="13"/>
      <c r="S5" s="13"/>
      <c r="T5" s="13"/>
      <c r="U5" s="13"/>
      <c r="V5" s="13"/>
      <c r="W5" s="13"/>
      <c r="X5" s="13"/>
      <c r="Y5" s="13"/>
      <c r="Z5" s="13"/>
    </row>
    <row r="6" spans="1:26" s="9" customFormat="1" ht="20.25" customHeight="1" x14ac:dyDescent="0.25">
      <c r="A6" s="22" t="str">
        <f>IF(B6&lt;&gt;B5,B6,"")</f>
        <v/>
      </c>
      <c r="C6" s="44" t="s">
        <v>589</v>
      </c>
      <c r="D6" s="21"/>
      <c r="E6" s="21"/>
      <c r="F6" s="21"/>
      <c r="G6" s="21"/>
      <c r="H6" s="21" t="str">
        <f>IF(G6&lt;&gt;"",DEC2HEX(G6,4),"")</f>
        <v/>
      </c>
      <c r="I6" s="21"/>
      <c r="J6" s="21"/>
      <c r="K6" s="16"/>
      <c r="L6" s="16"/>
      <c r="M6" s="16"/>
      <c r="N6" s="16"/>
      <c r="O6" s="16"/>
      <c r="P6" s="16"/>
      <c r="Q6" s="16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 x14ac:dyDescent="0.25">
      <c r="A7" s="22">
        <v>0</v>
      </c>
      <c r="B7" s="9">
        <v>0</v>
      </c>
      <c r="C7" s="45" t="s">
        <v>591</v>
      </c>
      <c r="D7" t="s">
        <v>58</v>
      </c>
      <c r="E7">
        <f>IF(OR(D7="sint64",D7="uint64",D7="double64"), 8, IF(OR(D7="sint32",D7="uint32",D7="float32"),4,IF(OR(D7="sint16",D7="uint16"),2,  IF(OR(D7="sint8",D7="uint8"),1,""))))</f>
        <v>1</v>
      </c>
      <c r="F7" s="2" t="s">
        <v>593</v>
      </c>
      <c r="H7" s="11">
        <v>1</v>
      </c>
      <c r="I7" s="9"/>
    </row>
    <row r="8" spans="1:26" ht="15" customHeight="1" x14ac:dyDescent="0.25">
      <c r="A8" s="22">
        <v>1</v>
      </c>
      <c r="B8" s="9">
        <f>IF(H8&lt;&gt;"",B7+1,B7)</f>
        <v>1</v>
      </c>
      <c r="C8" s="45" t="s">
        <v>589</v>
      </c>
      <c r="D8" t="s">
        <v>58</v>
      </c>
      <c r="E8">
        <f>IF(OR(D8="sint64",D8="uint64",D8="double64"), 8, IF(OR(D8="sint32",D8="uint32",D8="float32"),4,IF(OR(D8="sint16",D8="uint16"),2,  IF(OR(D8="sint8",D8="uint8"),1,""))))</f>
        <v>1</v>
      </c>
      <c r="F8" s="2" t="s">
        <v>593</v>
      </c>
      <c r="H8" s="11">
        <v>1</v>
      </c>
      <c r="I8" s="9"/>
    </row>
    <row r="9" spans="1:26" ht="15" customHeight="1" x14ac:dyDescent="0.25">
      <c r="A9" s="22"/>
      <c r="B9" s="9"/>
      <c r="C9" s="45"/>
      <c r="F9" s="2"/>
      <c r="H9" s="11"/>
      <c r="I9" s="9"/>
    </row>
    <row r="10" spans="1:26" ht="15" customHeight="1" x14ac:dyDescent="0.25">
      <c r="A10" s="22"/>
      <c r="B10" s="9"/>
      <c r="C10" s="45"/>
      <c r="F10" s="2"/>
      <c r="H10" s="11"/>
      <c r="I10" s="9"/>
    </row>
    <row r="11" spans="1:26" ht="15" customHeight="1" x14ac:dyDescent="0.25">
      <c r="A11" s="22"/>
      <c r="B11" s="9"/>
      <c r="C11" s="45"/>
      <c r="F11" s="2"/>
      <c r="H11" s="11"/>
      <c r="I11" s="9"/>
    </row>
    <row r="12" spans="1:26" ht="15" customHeight="1" x14ac:dyDescent="0.25">
      <c r="A12" s="22"/>
      <c r="B12" s="9"/>
      <c r="C12" s="45"/>
      <c r="F12" s="2"/>
      <c r="H12" s="11"/>
      <c r="I12" s="9"/>
    </row>
    <row r="13" spans="1:26" ht="15" customHeight="1" x14ac:dyDescent="0.25">
      <c r="A13" s="22"/>
      <c r="B13" s="9"/>
      <c r="C13" s="45"/>
      <c r="F13" s="2"/>
      <c r="H13" s="11"/>
      <c r="I13" s="9"/>
    </row>
    <row r="14" spans="1:26" ht="15" customHeight="1" x14ac:dyDescent="0.25">
      <c r="A14" s="22"/>
      <c r="B14" s="9"/>
      <c r="C14" s="45"/>
      <c r="F14" s="2"/>
      <c r="H14" s="11"/>
      <c r="I14" s="9"/>
    </row>
    <row r="15" spans="1:26" ht="15" customHeight="1" x14ac:dyDescent="0.25">
      <c r="A15" s="22"/>
      <c r="B15" s="9"/>
      <c r="C15" s="45"/>
      <c r="F15" s="2"/>
      <c r="H15" s="11"/>
      <c r="I15" s="9"/>
    </row>
    <row r="16" spans="1:26" ht="15" customHeight="1" x14ac:dyDescent="0.25">
      <c r="A16" s="22"/>
      <c r="B16" s="9"/>
      <c r="C16" s="45"/>
      <c r="F16" s="2"/>
      <c r="H16" s="11"/>
      <c r="I16" s="9"/>
    </row>
    <row r="17" spans="1:9" ht="15" customHeight="1" x14ac:dyDescent="0.25">
      <c r="A17" s="22"/>
      <c r="B17" s="9"/>
      <c r="C17" s="45"/>
      <c r="F17" s="2"/>
      <c r="H17" s="11"/>
      <c r="I17" s="9"/>
    </row>
    <row r="18" spans="1:9" ht="15" customHeight="1" x14ac:dyDescent="0.25">
      <c r="A18" s="22"/>
      <c r="B18" s="9"/>
      <c r="C18" s="45"/>
      <c r="F18" s="2"/>
      <c r="H18" s="11"/>
      <c r="I18" s="9"/>
    </row>
    <row r="19" spans="1:9" ht="15" customHeight="1" x14ac:dyDescent="0.25">
      <c r="A19" s="22"/>
      <c r="B19" s="9"/>
      <c r="C19" s="45"/>
      <c r="F19" s="2"/>
      <c r="H19" s="11"/>
      <c r="I19" s="9"/>
    </row>
    <row r="20" spans="1:9" ht="15" customHeight="1" x14ac:dyDescent="0.25">
      <c r="A20" s="22"/>
      <c r="B20" s="9"/>
      <c r="C20" s="45"/>
      <c r="F20" s="2"/>
      <c r="H20" s="11"/>
      <c r="I20" s="9"/>
    </row>
    <row r="21" spans="1:9" ht="15" customHeight="1" x14ac:dyDescent="0.25">
      <c r="A21" s="22"/>
      <c r="B21" s="9"/>
      <c r="C21" s="45"/>
      <c r="F21" s="2"/>
      <c r="H21" s="11"/>
      <c r="I21" s="9"/>
    </row>
    <row r="22" spans="1:9" ht="15" customHeight="1" x14ac:dyDescent="0.25">
      <c r="A22" s="22"/>
      <c r="B22" s="9"/>
      <c r="C22" s="45"/>
      <c r="F22" s="2"/>
      <c r="H22" s="11"/>
      <c r="I22" s="9"/>
    </row>
    <row r="23" spans="1:9" ht="15" customHeight="1" x14ac:dyDescent="0.25">
      <c r="A23" s="22"/>
      <c r="B23" s="9"/>
      <c r="C23" s="45"/>
      <c r="F23" s="2"/>
      <c r="H23" s="11"/>
      <c r="I23" s="9"/>
    </row>
    <row r="24" spans="1:9" ht="15" customHeight="1" x14ac:dyDescent="0.25">
      <c r="A24" s="22"/>
      <c r="B24" s="9"/>
      <c r="C24" s="45"/>
      <c r="F24" s="2"/>
      <c r="H24" s="11"/>
      <c r="I24" s="9"/>
    </row>
    <row r="25" spans="1:9" ht="15" customHeight="1" x14ac:dyDescent="0.25">
      <c r="A25" s="22"/>
      <c r="B25" s="9"/>
      <c r="C25" s="45"/>
      <c r="F25" s="2"/>
      <c r="H25" s="11"/>
      <c r="I25" s="9"/>
    </row>
    <row r="26" spans="1:9" ht="15" customHeight="1" x14ac:dyDescent="0.25">
      <c r="A26" s="22"/>
      <c r="B26" s="9"/>
      <c r="C26" s="45"/>
      <c r="F26" s="2"/>
      <c r="H26" s="11"/>
      <c r="I26" s="9"/>
    </row>
    <row r="27" spans="1:9" ht="15" customHeight="1" x14ac:dyDescent="0.25">
      <c r="A27" s="22"/>
      <c r="B27" s="9"/>
      <c r="C27" s="45"/>
      <c r="F27" s="2"/>
      <c r="H27" s="11"/>
      <c r="I27" s="9"/>
    </row>
    <row r="28" spans="1:9" ht="15" customHeight="1" x14ac:dyDescent="0.25">
      <c r="A28" s="22"/>
      <c r="B28" s="9"/>
      <c r="C28" s="45"/>
      <c r="F28" s="2"/>
      <c r="H28" s="11"/>
      <c r="I28" s="9"/>
    </row>
    <row r="29" spans="1:9" ht="15" customHeight="1" x14ac:dyDescent="0.25">
      <c r="A29" s="22"/>
      <c r="B29" s="9"/>
      <c r="C29" s="45"/>
      <c r="F29" s="2"/>
      <c r="H29" s="11"/>
      <c r="I29" s="9"/>
    </row>
    <row r="30" spans="1:9" ht="15" customHeight="1" x14ac:dyDescent="0.25">
      <c r="A30" s="22"/>
      <c r="B30" s="9"/>
      <c r="C30" s="45"/>
      <c r="F30" s="2"/>
      <c r="H30" s="11"/>
      <c r="I30" s="9"/>
    </row>
    <row r="31" spans="1:9" ht="15" customHeight="1" x14ac:dyDescent="0.25">
      <c r="A31" s="22"/>
      <c r="B31" s="9"/>
      <c r="C31" s="45"/>
      <c r="F31" s="2"/>
      <c r="H31" s="11"/>
      <c r="I31" s="9"/>
    </row>
    <row r="32" spans="1:9" ht="15" customHeight="1" x14ac:dyDescent="0.25">
      <c r="A32" s="22"/>
      <c r="B32" s="9"/>
      <c r="C32" s="45"/>
      <c r="F32" s="2"/>
      <c r="H32" s="11"/>
      <c r="I32" s="9"/>
    </row>
    <row r="33" spans="1:9" ht="15" customHeight="1" x14ac:dyDescent="0.25">
      <c r="A33" s="22"/>
      <c r="B33" s="9"/>
      <c r="C33" s="45"/>
      <c r="F33" s="2"/>
      <c r="H33" s="11"/>
      <c r="I33" s="9"/>
    </row>
    <row r="34" spans="1:9" ht="15" customHeight="1" x14ac:dyDescent="0.25">
      <c r="A34" s="22"/>
      <c r="B34" s="9"/>
      <c r="C34" s="45"/>
      <c r="F34" s="2"/>
      <c r="H34" s="11"/>
      <c r="I34" s="9"/>
    </row>
    <row r="35" spans="1:9" ht="15" customHeight="1" x14ac:dyDescent="0.25">
      <c r="A35" s="22"/>
      <c r="B35" s="9"/>
      <c r="C35" s="45"/>
      <c r="F35" s="2"/>
      <c r="H35" s="11"/>
      <c r="I35" s="9"/>
    </row>
    <row r="36" spans="1:9" ht="15" customHeight="1" x14ac:dyDescent="0.25">
      <c r="A36" s="22"/>
      <c r="B36" s="9"/>
      <c r="C36" s="45"/>
      <c r="F36" s="2"/>
      <c r="H36" s="11"/>
      <c r="I36" s="9"/>
    </row>
    <row r="37" spans="1:9" ht="15" customHeight="1" x14ac:dyDescent="0.25">
      <c r="A37" s="22"/>
      <c r="B37" s="9"/>
      <c r="C37" s="45"/>
      <c r="F37" s="2"/>
      <c r="H37" s="11"/>
      <c r="I37" s="9"/>
    </row>
    <row r="38" spans="1:9" ht="15" customHeight="1" x14ac:dyDescent="0.25">
      <c r="A38" s="22"/>
      <c r="B38" s="9"/>
      <c r="C38" s="45"/>
      <c r="F38" s="2"/>
      <c r="H38" s="11"/>
      <c r="I38" s="9"/>
    </row>
    <row r="39" spans="1:9" ht="15" customHeight="1" x14ac:dyDescent="0.25">
      <c r="A39" s="22"/>
      <c r="B39" s="9"/>
      <c r="C39" s="45"/>
      <c r="F39" s="2"/>
      <c r="H39" s="11"/>
      <c r="I39" s="9"/>
    </row>
    <row r="40" spans="1:9" ht="15" customHeight="1" x14ac:dyDescent="0.25">
      <c r="A40" s="22"/>
      <c r="B40" s="9"/>
      <c r="C40" s="45"/>
      <c r="F40" s="2"/>
      <c r="H40" s="11"/>
      <c r="I40" s="9"/>
    </row>
    <row r="41" spans="1:9" ht="15" customHeight="1" x14ac:dyDescent="0.25">
      <c r="A41" s="22"/>
      <c r="B41" s="9"/>
      <c r="C41" s="45"/>
      <c r="F41" s="2"/>
      <c r="H41" s="11"/>
      <c r="I41" s="9"/>
    </row>
    <row r="42" spans="1:9" ht="15" customHeight="1" x14ac:dyDescent="0.25">
      <c r="A42" s="22"/>
      <c r="B42" s="9"/>
      <c r="C42" s="45"/>
      <c r="F42" s="2"/>
      <c r="H42" s="11"/>
      <c r="I42" s="9"/>
    </row>
    <row r="43" spans="1:9" ht="15" customHeight="1" x14ac:dyDescent="0.25">
      <c r="A43" s="22"/>
      <c r="B43" s="9"/>
      <c r="C43" s="45"/>
      <c r="F43" s="2"/>
      <c r="H43" s="11"/>
      <c r="I43" s="9"/>
    </row>
    <row r="44" spans="1:9" ht="15" customHeight="1" x14ac:dyDescent="0.25">
      <c r="A44" s="22"/>
      <c r="B44" s="9"/>
      <c r="C44" s="45"/>
      <c r="F44" s="2"/>
      <c r="H44" s="11"/>
      <c r="I44" s="9"/>
    </row>
  </sheetData>
  <mergeCells count="2">
    <mergeCell ref="C1:I1"/>
    <mergeCell ref="C3:D3"/>
  </mergeCells>
  <dataValidations count="1">
    <dataValidation type="list" allowBlank="1" showInputMessage="1" showErrorMessage="1" sqref="D7:D44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95"/>
  <sheetViews>
    <sheetView zoomScale="85" zoomScaleNormal="85" workbookViewId="0">
      <pane ySplit="5" topLeftCell="A120" activePane="bottomLeft" state="frozen"/>
      <selection activeCell="A285" sqref="A285"/>
      <selection pane="bottomLeft" activeCell="E173" sqref="E173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1" width="9.140625" style="11"/>
  </cols>
  <sheetData>
    <row r="1" spans="1:21" ht="28.5" customHeight="1" x14ac:dyDescent="0.25">
      <c r="B1" s="110" t="s">
        <v>510</v>
      </c>
      <c r="C1" s="110"/>
      <c r="D1" s="110"/>
      <c r="E1" s="110"/>
      <c r="F1" s="110"/>
      <c r="G1" s="110"/>
      <c r="H1" s="110"/>
      <c r="I1" s="10"/>
      <c r="J1" s="10"/>
      <c r="K1" s="10"/>
      <c r="L1" s="10"/>
    </row>
    <row r="2" spans="1:21" s="9" customFormat="1" ht="12.75" customHeight="1" x14ac:dyDescent="0.25">
      <c r="B2" s="40"/>
      <c r="C2" s="16"/>
      <c r="D2" s="16"/>
      <c r="E2" s="12"/>
      <c r="F2" s="12"/>
      <c r="G2" s="14"/>
      <c r="H2" s="13"/>
      <c r="I2" s="12"/>
      <c r="J2" s="12"/>
      <c r="K2" s="12"/>
      <c r="L2" s="12"/>
      <c r="M2" s="13"/>
      <c r="N2" s="13"/>
      <c r="O2" s="13"/>
      <c r="P2" s="13"/>
      <c r="Q2" s="13"/>
      <c r="R2" s="13"/>
      <c r="S2" s="13"/>
      <c r="T2" s="13"/>
      <c r="U2" s="13"/>
    </row>
    <row r="3" spans="1:21" s="9" customFormat="1" ht="19.5" customHeight="1" x14ac:dyDescent="0.3">
      <c r="A3" s="23"/>
      <c r="B3" s="111" t="s">
        <v>162</v>
      </c>
      <c r="C3" s="111"/>
      <c r="D3" s="24">
        <f>SUM(D7:D1605)</f>
        <v>532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2"/>
      <c r="J4" s="12"/>
      <c r="K4" s="12"/>
      <c r="L4" s="12"/>
      <c r="M4" s="13"/>
      <c r="N4" s="13"/>
      <c r="O4" s="13"/>
      <c r="P4" s="13"/>
      <c r="Q4" s="13"/>
      <c r="R4" s="13"/>
      <c r="S4" s="13"/>
      <c r="T4" s="13"/>
      <c r="U4" s="13"/>
    </row>
    <row r="5" spans="1:21" s="9" customFormat="1" ht="18.75" customHeight="1" x14ac:dyDescent="0.25">
      <c r="A5" s="24" t="s">
        <v>164</v>
      </c>
      <c r="B5" s="41" t="s">
        <v>16</v>
      </c>
      <c r="C5" s="24" t="s">
        <v>161</v>
      </c>
      <c r="D5" s="24" t="s">
        <v>160</v>
      </c>
      <c r="E5" s="24" t="s">
        <v>17</v>
      </c>
      <c r="F5" s="27"/>
      <c r="G5" s="27" t="s">
        <v>21</v>
      </c>
      <c r="H5" s="27" t="s">
        <v>509</v>
      </c>
      <c r="I5" s="27" t="s">
        <v>602</v>
      </c>
      <c r="J5" s="12"/>
      <c r="K5" s="12"/>
      <c r="L5" s="12"/>
      <c r="M5" s="13"/>
      <c r="N5" s="13"/>
      <c r="O5" s="13"/>
      <c r="P5" s="13"/>
      <c r="Q5" s="13"/>
      <c r="R5" s="13"/>
      <c r="S5" s="13"/>
      <c r="T5" s="13"/>
      <c r="U5" s="13"/>
    </row>
    <row r="6" spans="1:21" s="9" customFormat="1" ht="20.100000000000001" customHeight="1" x14ac:dyDescent="0.25">
      <c r="A6" s="22"/>
      <c r="B6" s="44" t="s">
        <v>71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3"/>
    </row>
    <row r="7" spans="1:21" s="9" customFormat="1" ht="15" customHeight="1" x14ac:dyDescent="0.25">
      <c r="A7" s="22">
        <v>0</v>
      </c>
      <c r="B7" s="45" t="s">
        <v>18</v>
      </c>
      <c r="C7" t="s">
        <v>57</v>
      </c>
      <c r="D7">
        <f>IF(OR(C7="sint64",C7="uint64",C7="double64"), 8, IF(OR(C7="sint32",C7="uint32",C7="float32"),4,IF(OR(C7="sint16",C7="uint16"),2,  IF(OR(C7="sint8",C7="uint8"),1,""))))</f>
        <v>4</v>
      </c>
      <c r="E7" s="87" t="s">
        <v>174</v>
      </c>
      <c r="G7" s="9">
        <f>ROUND((Max_Available_Voltage_Factor/100)*32768,0)</f>
        <v>32767</v>
      </c>
      <c r="H7" s="9" t="str">
        <f>IF(G7&lt;&gt;"",IF(C7="float32",FLOAT2HEX(G7),DEC2HEX(G7,8)),"")</f>
        <v>00007FFF</v>
      </c>
      <c r="I7" s="9">
        <f>IF(G7&lt;&gt;"",HEX2DEC(H7),"")</f>
        <v>32767</v>
      </c>
      <c r="J7" s="15"/>
      <c r="K7" s="15"/>
      <c r="L7" s="15"/>
      <c r="M7" s="13"/>
      <c r="N7" s="13"/>
      <c r="O7" s="13"/>
      <c r="P7" s="13"/>
      <c r="Q7" s="13"/>
      <c r="R7" s="13"/>
      <c r="S7" s="13"/>
      <c r="T7" s="13"/>
      <c r="U7" s="13"/>
    </row>
    <row r="8" spans="1:21" ht="15" customHeight="1" x14ac:dyDescent="0.25">
      <c r="A8" s="79" t="str">
        <f>IF(I8&lt;&gt;"",MAX(A$1:A7)+1,"")</f>
        <v/>
      </c>
      <c r="B8" s="45"/>
      <c r="D8" t="str">
        <f>IF(OR(C8="sint64",C8="uint64",C8="double64"), 8, IF(OR(C8="sint32",C8="uint32",C8="float32"),4,IF(OR(C8="sint16",C8="uint16"),2,  IF(OR(C8="sint8",C8="uint8"),1,""))))</f>
        <v/>
      </c>
      <c r="F8" s="9"/>
      <c r="G8" s="9"/>
      <c r="H8" s="9" t="str">
        <f>IF(G8&lt;&gt;"",IF(C8="float32",FLOAT2HEX(G8),DEC2HEX(G8,8)),"")</f>
        <v/>
      </c>
      <c r="I8" s="9" t="str">
        <f t="shared" ref="I8:I90" si="0">IF(G8&lt;&gt;"",HEX2DEC(H8),"")</f>
        <v/>
      </c>
    </row>
    <row r="9" spans="1:21" s="9" customFormat="1" ht="20.100000000000001" customHeight="1" x14ac:dyDescent="0.25">
      <c r="A9" s="79" t="str">
        <f>IF(I9&lt;&gt;"",MAX(A$1:A8)+1,"")</f>
        <v/>
      </c>
      <c r="B9" s="44" t="s">
        <v>70</v>
      </c>
      <c r="C9" s="21"/>
      <c r="D9" s="21"/>
      <c r="E9" s="21"/>
      <c r="F9" s="21"/>
      <c r="G9" s="21"/>
      <c r="H9" s="21" t="str">
        <f>IF(G9&lt;&gt;"",DEC2HEX(G9,4),"")</f>
        <v/>
      </c>
      <c r="I9" s="21"/>
      <c r="J9" s="16"/>
      <c r="K9" s="16"/>
      <c r="L9" s="16"/>
      <c r="M9" s="13"/>
      <c r="N9" s="13"/>
      <c r="O9" s="13"/>
      <c r="P9" s="13"/>
      <c r="Q9" s="13"/>
      <c r="R9" s="13"/>
      <c r="S9" s="13"/>
      <c r="T9" s="13"/>
      <c r="U9" s="13"/>
    </row>
    <row r="10" spans="1:21" s="9" customFormat="1" ht="15" customHeight="1" x14ac:dyDescent="0.25">
      <c r="A10" s="79">
        <f>IF(I10&lt;&gt;"",MAX(A$1:A9)+1,"")</f>
        <v>1</v>
      </c>
      <c r="B10" s="95" t="s">
        <v>27</v>
      </c>
      <c r="C10" t="s">
        <v>57</v>
      </c>
      <c r="D10">
        <f t="shared" ref="D10:D26" si="1">IF(OR(C10="sint64",C10="uint64",C10="double64"), 8, IF(OR(C10="sint32",C10="uint32",C10="float32"),4,IF(OR(C10="sint16",C10="uint16"),2,  IF(OR(C10="sint8",C10="uint8"),1,""))))</f>
        <v>4</v>
      </c>
      <c r="E10" s="87" t="s">
        <v>405</v>
      </c>
      <c r="G10" s="9">
        <f>ROUND(( (32768 * STATOR_RESISTANCE)/BASE_Z),0)</f>
        <v>2946</v>
      </c>
      <c r="H10" s="9" t="str">
        <f>IF(G10&lt;&gt;"",IF(C10="float32",FLOAT2HEX(G10),DEC2HEX(G10,8)),"")</f>
        <v>00000B82</v>
      </c>
      <c r="I10" s="9">
        <f t="shared" si="0"/>
        <v>2946</v>
      </c>
      <c r="J10" s="15"/>
      <c r="K10" s="15"/>
      <c r="L10" s="15"/>
      <c r="M10" s="13"/>
      <c r="N10" s="13"/>
      <c r="O10" s="13"/>
      <c r="P10" s="13"/>
      <c r="Q10" s="13"/>
      <c r="R10" s="13"/>
      <c r="S10" s="13"/>
      <c r="T10" s="13"/>
      <c r="U10" s="13"/>
    </row>
    <row r="11" spans="1:21" s="9" customFormat="1" ht="15" customHeight="1" x14ac:dyDescent="0.25">
      <c r="A11" s="79">
        <f>IF(I11&lt;&gt;"",MAX(A$1:A10)+1,"")</f>
        <v>2</v>
      </c>
      <c r="B11" s="47" t="s">
        <v>999</v>
      </c>
      <c r="C11" t="s">
        <v>57</v>
      </c>
      <c r="D11">
        <f t="shared" si="1"/>
        <v>4</v>
      </c>
      <c r="E11" s="58" t="s">
        <v>1001</v>
      </c>
      <c r="G11" s="9">
        <f>ROUND(OBS_RESIS_ADAPT_LIM/100*32768,0)</f>
        <v>16384</v>
      </c>
      <c r="H11" s="9" t="str">
        <f>IF(G11&lt;&gt;"",IF(C11="float32",FLOAT2HEX(G11),DEC2HEX(G11,8)),"")</f>
        <v>00004000</v>
      </c>
      <c r="I11" s="9">
        <f>IF(G11&lt;&gt;"",HEX2DEC(H11),"")</f>
        <v>16384</v>
      </c>
      <c r="J11" s="15"/>
      <c r="K11" s="15"/>
      <c r="L11" s="15"/>
      <c r="M11" s="13"/>
      <c r="N11" s="13"/>
      <c r="O11" s="13"/>
      <c r="P11" s="13"/>
      <c r="Q11" s="13"/>
      <c r="R11" s="13"/>
      <c r="S11" s="13"/>
      <c r="T11" s="13"/>
      <c r="U11" s="13"/>
    </row>
    <row r="12" spans="1:21" ht="15" customHeight="1" x14ac:dyDescent="0.25">
      <c r="A12" s="79">
        <f>IF(I12&lt;&gt;"",MAX(A$1:A11)+1,"")</f>
        <v>3</v>
      </c>
      <c r="B12" s="45" t="s">
        <v>28</v>
      </c>
      <c r="C12" t="s">
        <v>57</v>
      </c>
      <c r="D12">
        <f t="shared" si="1"/>
        <v>4</v>
      </c>
      <c r="E12" s="2" t="s">
        <v>406</v>
      </c>
      <c r="F12" s="9"/>
      <c r="G12" s="9">
        <f>( ((OBSERVER_G_INTEG_GAIN * BASE_Z * OBSERVER_TS * (2^30)) / BASE_FLUX))</f>
        <v>0</v>
      </c>
      <c r="H12" s="9" t="str">
        <f>IF(G12&lt;&gt;"",IF(C12="float32",FLOAT2HEX(G12),DEC2HEX(G12,8)),"")</f>
        <v>00000000</v>
      </c>
      <c r="I12" s="9">
        <f t="shared" si="0"/>
        <v>0</v>
      </c>
    </row>
    <row r="13" spans="1:21" ht="15" customHeight="1" x14ac:dyDescent="0.25">
      <c r="A13" s="94">
        <f>IF(I13&lt;&gt;"",MAX(A$1:A12)+1,"")</f>
        <v>4</v>
      </c>
      <c r="B13" s="45" t="s">
        <v>29</v>
      </c>
      <c r="C13" t="s">
        <v>57</v>
      </c>
      <c r="D13">
        <f t="shared" si="1"/>
        <v>4</v>
      </c>
      <c r="E13" s="2" t="s">
        <v>407</v>
      </c>
      <c r="F13" s="9"/>
      <c r="G13" s="9">
        <f>ROUND((OBS_RESIS_ADAPT_CURRENT_THRES * 32768 / BASE_CURRENT),0)</f>
        <v>2790</v>
      </c>
      <c r="H13" s="9" t="str">
        <f>IF(G13&lt;&gt;"",IF(C13="float32",FLOAT2HEX(G13),DEC2HEX(G13,8)),"")</f>
        <v>00000AE6</v>
      </c>
      <c r="I13" s="9">
        <f t="shared" si="0"/>
        <v>2790</v>
      </c>
    </row>
    <row r="14" spans="1:21" ht="15" customHeight="1" x14ac:dyDescent="0.25">
      <c r="A14" s="94">
        <f>IF(I14&lt;&gt;"",MAX(A$1:A13)+1,"")</f>
        <v>5</v>
      </c>
      <c r="B14" s="45" t="s">
        <v>30</v>
      </c>
      <c r="C14" t="s">
        <v>57</v>
      </c>
      <c r="D14">
        <f t="shared" si="1"/>
        <v>4</v>
      </c>
      <c r="E14" s="2" t="s">
        <v>408</v>
      </c>
      <c r="F14" s="9"/>
      <c r="G14" s="9">
        <f>ROUND((OBS_RESIS_ADAPT_SPEED_THRES*32768/BASE_SPEED_RPM),0)</f>
        <v>1199</v>
      </c>
      <c r="H14" s="9" t="str">
        <f>IF(G14&lt;&gt;"",IF(C14="float32",FLOAT2HEX(G14),DEC2HEX(G14,8)),"")</f>
        <v>000004AF</v>
      </c>
      <c r="I14" s="9">
        <f t="shared" si="0"/>
        <v>1199</v>
      </c>
    </row>
    <row r="15" spans="1:21" s="101" customFormat="1" ht="15" customHeight="1" x14ac:dyDescent="0.25">
      <c r="A15" s="94">
        <f>IF(I15&lt;&gt;"",MAX(A$1:A14)+1,"")</f>
        <v>6</v>
      </c>
      <c r="B15" s="95" t="s">
        <v>1003</v>
      </c>
      <c r="C15" s="101" t="s">
        <v>57</v>
      </c>
      <c r="D15" s="101">
        <f>IF(OR(C15="sint64",C15="uint64",C15="double64"), 8, IF(OR(C15="sint32",C15="uint32",C15="float32"),4,IF(OR(C15="sint16",C15="uint16"),2,  IF(OR(C15="sint8",C15="uint8"),1,""))))</f>
        <v>4</v>
      </c>
      <c r="E15" s="98" t="s">
        <v>1004</v>
      </c>
      <c r="F15" s="102"/>
      <c r="G15" s="99">
        <f>ROUND(PHASE_ADVANCE_COEF_FDBK * (OBSERVER_TS*32768)/BASE_TIME,0)</f>
        <v>0</v>
      </c>
      <c r="H15" s="92" t="str">
        <f>IF(G15&lt;&gt;"",IF(C15="float32",FLOAT2HEX(G15),DEC2HEX(G15,8)),"")</f>
        <v>00000000</v>
      </c>
      <c r="I15" s="92">
        <f t="shared" ref="I15" si="2">IF(G15&lt;&gt;"",HEX2DEC(H15),"")</f>
        <v>0</v>
      </c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</row>
    <row r="16" spans="1:21" ht="15" customHeight="1" x14ac:dyDescent="0.25">
      <c r="A16" s="94">
        <f>IF(I16&lt;&gt;"",MAX(A$1:A15)+1,"")</f>
        <v>7</v>
      </c>
      <c r="B16" s="45" t="s">
        <v>31</v>
      </c>
      <c r="C16" t="s">
        <v>57</v>
      </c>
      <c r="D16">
        <f t="shared" si="1"/>
        <v>4</v>
      </c>
      <c r="E16" s="2" t="s">
        <v>409</v>
      </c>
      <c r="F16" s="9"/>
      <c r="G16" s="9">
        <f>ROUND(((ROTOR_LAMBDAM * 32768)/BASE_FLUX),0)</f>
        <v>9907</v>
      </c>
      <c r="H16" s="9" t="str">
        <f>IF(G16&lt;&gt;"",IF(C16="float32",FLOAT2HEX(G16),DEC2HEX(G16,8)),"")</f>
        <v>000026B3</v>
      </c>
      <c r="I16" s="9">
        <f t="shared" si="0"/>
        <v>9907</v>
      </c>
    </row>
    <row r="17" spans="1:21" ht="15" customHeight="1" x14ac:dyDescent="0.25">
      <c r="A17" s="94">
        <f>IF(I17&lt;&gt;"",MAX(A$1:A16)+1,"")</f>
        <v>8</v>
      </c>
      <c r="B17" s="95" t="s">
        <v>32</v>
      </c>
      <c r="C17" t="s">
        <v>57</v>
      </c>
      <c r="D17">
        <f t="shared" si="1"/>
        <v>4</v>
      </c>
      <c r="E17" s="60" t="s">
        <v>410</v>
      </c>
      <c r="F17" s="9"/>
      <c r="G17" s="50">
        <f>ROUND(((OBSERVER_G_GAIN * BASE_FLUX * 32768) / BASE_VOLTAGE),0)</f>
        <v>2147</v>
      </c>
      <c r="H17" s="9" t="str">
        <f>IF(G17&lt;&gt;"",IF(C17="float32",FLOAT2HEX(G17),DEC2HEX(G17,8)),"")</f>
        <v>00000863</v>
      </c>
      <c r="I17" s="9">
        <f t="shared" si="0"/>
        <v>2147</v>
      </c>
    </row>
    <row r="18" spans="1:21" ht="15" customHeight="1" x14ac:dyDescent="0.25">
      <c r="A18" s="94">
        <f>IF(I18&lt;&gt;"",MAX(A$1:A17)+1,"")</f>
        <v>9</v>
      </c>
      <c r="B18" s="45" t="s">
        <v>33</v>
      </c>
      <c r="C18" t="s">
        <v>57</v>
      </c>
      <c r="D18">
        <f t="shared" si="1"/>
        <v>4</v>
      </c>
      <c r="E18" s="2" t="s">
        <v>411</v>
      </c>
      <c r="F18" s="9"/>
      <c r="G18" s="9">
        <f>ROUND(((0.5 * BASE_VOLTAGE * OBSERVER_TS * (2^30)) / BASE_FLUX),0)</f>
        <v>61466437</v>
      </c>
      <c r="H18" s="9" t="str">
        <f>IF(G18&lt;&gt;"",IF(C18="float32",FLOAT2HEX(G18),DEC2HEX(G18,8)),"")</f>
        <v>03A9E745</v>
      </c>
      <c r="I18" s="9">
        <f t="shared" si="0"/>
        <v>61466437</v>
      </c>
    </row>
    <row r="19" spans="1:21" ht="15" customHeight="1" x14ac:dyDescent="0.25">
      <c r="A19" s="94">
        <f>IF(I19&lt;&gt;"",MAX(A$1:A18)+1,"")</f>
        <v>10</v>
      </c>
      <c r="B19" s="45" t="s">
        <v>34</v>
      </c>
      <c r="C19" t="s">
        <v>57</v>
      </c>
      <c r="D19">
        <f t="shared" si="1"/>
        <v>4</v>
      </c>
      <c r="E19" s="2" t="s">
        <v>412</v>
      </c>
      <c r="F19" s="9"/>
      <c r="G19" s="9">
        <f>ROUND(((OBSERVER_MIN_FLUX_ZERO_SPEED * 32768)/BASE_FLUX),0)</f>
        <v>1172</v>
      </c>
      <c r="H19" s="9" t="str">
        <f>IF(G19&lt;&gt;"",IF(C19="float32",FLOAT2HEX(G19),DEC2HEX(G19,8)),"")</f>
        <v>00000494</v>
      </c>
      <c r="I19" s="9">
        <f t="shared" si="0"/>
        <v>1172</v>
      </c>
    </row>
    <row r="20" spans="1:21" ht="15" customHeight="1" x14ac:dyDescent="0.25">
      <c r="A20" s="94">
        <f>IF(I20&lt;&gt;"",MAX(A$1:A19)+1,"")</f>
        <v>11</v>
      </c>
      <c r="B20" s="45" t="s">
        <v>35</v>
      </c>
      <c r="C20" t="s">
        <v>63</v>
      </c>
      <c r="D20">
        <f t="shared" si="1"/>
        <v>4</v>
      </c>
      <c r="E20" s="2" t="s">
        <v>413</v>
      </c>
      <c r="F20" s="9"/>
      <c r="G20" s="9">
        <f>(POLE_PAIRS)</f>
        <v>4</v>
      </c>
      <c r="H20" s="9" t="str">
        <f>IF(G20&lt;&gt;"",IF(C20="float32",FLOAT2HEX(G20),DEC2HEX(G20,8)),"")</f>
        <v>00000004</v>
      </c>
      <c r="I20" s="9">
        <f t="shared" si="0"/>
        <v>4</v>
      </c>
    </row>
    <row r="21" spans="1:21" ht="15" customHeight="1" x14ac:dyDescent="0.25">
      <c r="A21" s="94">
        <f>IF(I21&lt;&gt;"",MAX(A$1:A20)+1,"")</f>
        <v>12</v>
      </c>
      <c r="B21" s="45" t="s">
        <v>36</v>
      </c>
      <c r="C21" t="s">
        <v>57</v>
      </c>
      <c r="D21">
        <f t="shared" si="1"/>
        <v>4</v>
      </c>
      <c r="E21" s="2" t="s">
        <v>414</v>
      </c>
      <c r="G21" s="11">
        <f>ROUND((  (1/OBSERVER_TS) * (2^15))/BASE_OMEGA,0)</f>
        <v>286208</v>
      </c>
      <c r="H21" s="9" t="str">
        <f>IF(G21&lt;&gt;"",IF(C21="float32",FLOAT2HEX(G21),DEC2HEX(G21,8)),"")</f>
        <v>00045E00</v>
      </c>
      <c r="I21" s="9">
        <f t="shared" si="0"/>
        <v>286208</v>
      </c>
    </row>
    <row r="22" spans="1:21" ht="15" customHeight="1" x14ac:dyDescent="0.25">
      <c r="A22" s="94">
        <f>IF(I22&lt;&gt;"",MAX(A$1:A21)+1,"")</f>
        <v>13</v>
      </c>
      <c r="B22" s="45" t="s">
        <v>37</v>
      </c>
      <c r="C22" t="s">
        <v>63</v>
      </c>
      <c r="D22">
        <f t="shared" si="1"/>
        <v>4</v>
      </c>
      <c r="E22" s="87" t="s">
        <v>1007</v>
      </c>
      <c r="G22" s="11">
        <f>(OBSERVER_STARTING_THRESHOLD*1000)</f>
        <v>500</v>
      </c>
      <c r="H22" s="9" t="str">
        <f>IF(G22&lt;&gt;"",IF(C22="float32",FLOAT2HEX(G22),DEC2HEX(G22,8)),"")</f>
        <v>000001F4</v>
      </c>
      <c r="I22" s="9">
        <f t="shared" si="0"/>
        <v>500</v>
      </c>
    </row>
    <row r="23" spans="1:21" ht="15" customHeight="1" x14ac:dyDescent="0.25">
      <c r="A23" s="94">
        <f>IF(I23&lt;&gt;"",MAX(A$1:A22)+1,"")</f>
        <v>14</v>
      </c>
      <c r="B23" s="45" t="s">
        <v>38</v>
      </c>
      <c r="C23" t="s">
        <v>65</v>
      </c>
      <c r="D23">
        <f t="shared" si="1"/>
        <v>4</v>
      </c>
      <c r="E23" s="2" t="s">
        <v>355</v>
      </c>
      <c r="G23" s="11">
        <f>OBSERVER_SPEED_PLL_KP</f>
        <v>118</v>
      </c>
      <c r="H23" s="9" t="str">
        <f>IF(G23&lt;&gt;"",IF(C23="float32",FLOAT2HEX(G23),DEC2HEX(G23,8)),"")</f>
        <v>42EC0000</v>
      </c>
      <c r="I23" s="9">
        <f t="shared" si="0"/>
        <v>1122762752</v>
      </c>
    </row>
    <row r="24" spans="1:21" ht="15" customHeight="1" x14ac:dyDescent="0.25">
      <c r="A24" s="94">
        <f>IF(I24&lt;&gt;"",MAX(A$1:A23)+1,"")</f>
        <v>15</v>
      </c>
      <c r="B24" s="45" t="s">
        <v>39</v>
      </c>
      <c r="C24" t="s">
        <v>65</v>
      </c>
      <c r="D24">
        <f t="shared" si="1"/>
        <v>4</v>
      </c>
      <c r="E24" s="2" t="s">
        <v>415</v>
      </c>
      <c r="G24" s="11">
        <f>OBSERVER_SPEED_PLL_KI * (0.5*OBSERVER_TS)</f>
        <v>0.21312500000000001</v>
      </c>
      <c r="H24" s="9" t="str">
        <f>IF(G24&lt;&gt;"",IF(C24="float32",FLOAT2HEX(G24),DEC2HEX(G24,8)),"")</f>
        <v>3E5A3D71</v>
      </c>
      <c r="I24" s="9">
        <f t="shared" si="0"/>
        <v>1046101361</v>
      </c>
    </row>
    <row r="25" spans="1:21" ht="15" customHeight="1" x14ac:dyDescent="0.25">
      <c r="A25" s="94">
        <f>IF(I25&lt;&gt;"",MAX(A$1:A24)+1,"")</f>
        <v>16</v>
      </c>
      <c r="B25" s="45" t="s">
        <v>40</v>
      </c>
      <c r="C25" t="s">
        <v>65</v>
      </c>
      <c r="D25">
        <f t="shared" si="1"/>
        <v>4</v>
      </c>
      <c r="E25" s="2" t="s">
        <v>356</v>
      </c>
      <c r="G25" s="43">
        <f>0.5*OBSERVER_TS</f>
        <v>6.2500000000000001E-5</v>
      </c>
      <c r="H25" s="9" t="str">
        <f>IF(G25&lt;&gt;"",IF(C25="float32",FLOAT2HEX(G25),DEC2HEX(G25,8)),"")</f>
        <v>3883126F</v>
      </c>
      <c r="I25" s="9">
        <f t="shared" si="0"/>
        <v>948114031</v>
      </c>
    </row>
    <row r="26" spans="1:21" ht="15" customHeight="1" x14ac:dyDescent="0.25">
      <c r="A26" s="94">
        <f>IF(I26&lt;&gt;"",MAX(A$1:A25)+1,"")</f>
        <v>17</v>
      </c>
      <c r="B26" s="45" t="s">
        <v>41</v>
      </c>
      <c r="C26" t="s">
        <v>65</v>
      </c>
      <c r="D26">
        <f t="shared" si="1"/>
        <v>4</v>
      </c>
      <c r="E26" s="2" t="s">
        <v>357</v>
      </c>
      <c r="G26" s="11">
        <f>(32768 / (BASE_SPEED_RPM * POLE_PAIRS * 2 * PI() / 60))</f>
        <v>35.776000000000003</v>
      </c>
      <c r="H26" s="9" t="str">
        <f>IF(G26&lt;&gt;"",IF(C26="float32",FLOAT2HEX(G26),DEC2HEX(G26,8)),"")</f>
        <v>420F1AA0</v>
      </c>
      <c r="I26" s="9">
        <f t="shared" si="0"/>
        <v>1108286112</v>
      </c>
    </row>
    <row r="27" spans="1:21" s="59" customFormat="1" ht="15" customHeight="1" x14ac:dyDescent="0.25">
      <c r="A27" s="94" t="str">
        <f>IF(I27&lt;&gt;"",MAX(A$1:A26)+1,"")</f>
        <v/>
      </c>
      <c r="B27" s="68"/>
      <c r="E27" s="60"/>
      <c r="G27" s="65"/>
      <c r="H27" s="64"/>
      <c r="I27" s="64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</row>
    <row r="28" spans="1:21" s="9" customFormat="1" ht="20.100000000000001" customHeight="1" x14ac:dyDescent="0.25">
      <c r="A28" s="94" t="str">
        <f>IF(I28&lt;&gt;"",MAX(A$1:A27)+1,"")</f>
        <v/>
      </c>
      <c r="B28" s="44" t="s">
        <v>75</v>
      </c>
      <c r="C28" s="21"/>
      <c r="D28" s="21"/>
      <c r="E28" s="21"/>
      <c r="F28" s="21"/>
      <c r="G28" s="21" t="str">
        <f>IF(F28&lt;&gt;"",DEC2HEX(F28,4),"")</f>
        <v/>
      </c>
      <c r="H28" s="21"/>
      <c r="I28" s="21"/>
      <c r="J28" s="16"/>
      <c r="K28" s="16"/>
      <c r="L28" s="16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5" customHeight="1" x14ac:dyDescent="0.25">
      <c r="A29" s="94">
        <f>IF(I29&lt;&gt;"",MAX(A$1:A28)+1,"")</f>
        <v>18</v>
      </c>
      <c r="B29" s="95" t="s">
        <v>92</v>
      </c>
      <c r="C29" t="s">
        <v>57</v>
      </c>
      <c r="D29">
        <f t="shared" ref="D29:D50" si="3">IF(OR(C29="sint64",C29="uint64",C29="double64"), 8, IF(OR(C29="sint32",C29="uint32",C29="float32"),4,IF(OR(C29="sint16",C29="uint16"),2,  IF(OR(C29="sint8",C29="uint8"),1,""))))</f>
        <v>4</v>
      </c>
      <c r="E29" s="98" t="s">
        <v>655</v>
      </c>
      <c r="F29" s="102"/>
      <c r="G29" s="99">
        <f>ROUND((((STATOR_RESISTANCE * 1.5) * MAX_PHASE_CURR + PI_VOLT_MARGIN) * 32768/BASE_VOLTAGE),0)</f>
        <v>21683</v>
      </c>
      <c r="H29" s="9" t="str">
        <f>IF(G29&lt;&gt;"",IF(C29="float32",FLOAT2HEX(G29),DEC2HEX(G29,8)),"")</f>
        <v>000054B3</v>
      </c>
      <c r="I29" s="9">
        <f t="shared" si="0"/>
        <v>21683</v>
      </c>
    </row>
    <row r="30" spans="1:21" ht="15" customHeight="1" x14ac:dyDescent="0.25">
      <c r="A30" s="94">
        <f>IF(I30&lt;&gt;"",MAX(A$1:A29)+1,"")</f>
        <v>19</v>
      </c>
      <c r="B30" s="45" t="s">
        <v>91</v>
      </c>
      <c r="C30" t="s">
        <v>63</v>
      </c>
      <c r="D30">
        <f t="shared" si="3"/>
        <v>4</v>
      </c>
      <c r="E30" s="87" t="s">
        <v>1005</v>
      </c>
      <c r="G30" s="55">
        <f>((1000 * TIME_DQ_FORCE_GAINS_STARTING))</f>
        <v>1000</v>
      </c>
      <c r="H30" s="9" t="str">
        <f>IF(G30&lt;&gt;"",IF(C30="float32",FLOAT2HEX(G30),DEC2HEX(G30,8)),"")</f>
        <v>000003E8</v>
      </c>
      <c r="I30" s="9">
        <f t="shared" si="0"/>
        <v>1000</v>
      </c>
    </row>
    <row r="31" spans="1:21" ht="15" customHeight="1" x14ac:dyDescent="0.25">
      <c r="A31" s="94">
        <f>IF(I31&lt;&gt;"",MAX(A$1:A30)+1,"")</f>
        <v>20</v>
      </c>
      <c r="B31" s="45" t="s">
        <v>93</v>
      </c>
      <c r="C31" t="s">
        <v>57</v>
      </c>
      <c r="D31">
        <f t="shared" si="3"/>
        <v>4</v>
      </c>
      <c r="E31" s="98" t="s">
        <v>657</v>
      </c>
      <c r="F31" s="102"/>
      <c r="G31" s="99">
        <f>ROUND(PHASE_ADVANCE_COEFF * (OBSERVER_TS*32768)/BASE_TIME,0)</f>
        <v>1194</v>
      </c>
      <c r="H31" s="9" t="str">
        <f>IF(G31&lt;&gt;"",IF(C31="float32",FLOAT2HEX(G31),DEC2HEX(G31,8)),"")</f>
        <v>000004AA</v>
      </c>
      <c r="I31" s="9">
        <f t="shared" si="0"/>
        <v>1194</v>
      </c>
    </row>
    <row r="32" spans="1:21" s="101" customFormat="1" ht="15" customHeight="1" x14ac:dyDescent="0.25">
      <c r="A32" s="94">
        <f>IF(I32&lt;&gt;"",MAX(A$1:A31)+1,"")</f>
        <v>21</v>
      </c>
      <c r="B32" s="96" t="s">
        <v>986</v>
      </c>
      <c r="C32" s="101" t="s">
        <v>57</v>
      </c>
      <c r="D32" s="82">
        <f>IF(OR(C32="sint64",C32="uint64",C32="double64"), 8, IF(OR(C32="sint32",C32="uint32",C32="float32"),4,IF(OR(C32="sint16",C32="uint16"),2,  IF(OR(C32="sint8",C32="uint8"),1,""))))</f>
        <v>4</v>
      </c>
      <c r="E32" s="87" t="s">
        <v>988</v>
      </c>
      <c r="G32" s="93">
        <f>ROUND((M_INDEX_CTRL/100 * 32768),0)</f>
        <v>37683</v>
      </c>
      <c r="H32" s="92" t="str">
        <f>IF(G32&lt;&gt;"",IF(C32="float32",FLOAT2HEX(G32),DEC2HEX(G32,8)),"")</f>
        <v>00009333</v>
      </c>
      <c r="I32" s="92">
        <f t="shared" si="0"/>
        <v>37683</v>
      </c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</row>
    <row r="33" spans="1:9" ht="15" customHeight="1" x14ac:dyDescent="0.25">
      <c r="A33" s="94">
        <f>IF(I33&lt;&gt;"",MAX(A$1:A32)+1,"")</f>
        <v>22</v>
      </c>
      <c r="B33" s="45" t="s">
        <v>76</v>
      </c>
      <c r="C33" t="s">
        <v>57</v>
      </c>
      <c r="D33">
        <f t="shared" si="3"/>
        <v>4</v>
      </c>
      <c r="E33" s="2" t="s">
        <v>448</v>
      </c>
      <c r="G33" s="55">
        <f>ROUND(((DQ_TORQUE_KP_REGION_0 * BASE_TORQ * (2^15)) / BASE_VOLTAGE),0)</f>
        <v>17645</v>
      </c>
      <c r="H33" s="9" t="str">
        <f>IF(G33&lt;&gt;"",IF(C33="float32",FLOAT2HEX(G33),DEC2HEX(G33,8)),"")</f>
        <v>000044ED</v>
      </c>
      <c r="I33" s="9">
        <f t="shared" si="0"/>
        <v>17645</v>
      </c>
    </row>
    <row r="34" spans="1:9" ht="15" customHeight="1" x14ac:dyDescent="0.25">
      <c r="A34" s="94">
        <f>IF(I34&lt;&gt;"",MAX(A$1:A33)+1,"")</f>
        <v>23</v>
      </c>
      <c r="B34" s="45" t="s">
        <v>77</v>
      </c>
      <c r="C34" t="s">
        <v>57</v>
      </c>
      <c r="D34">
        <f t="shared" si="3"/>
        <v>4</v>
      </c>
      <c r="E34" s="2" t="s">
        <v>449</v>
      </c>
      <c r="G34" s="55">
        <f>ROUND(((DQ_TORQUE_KI_REGION_0 * BASE_TORQ * OBSERVER_TS * (2^15)) / BASE_VOLTAGE),0)</f>
        <v>441</v>
      </c>
      <c r="H34" s="9" t="str">
        <f>IF(G34&lt;&gt;"",IF(C34="float32",FLOAT2HEX(G34),DEC2HEX(G34,8)),"")</f>
        <v>000001B9</v>
      </c>
      <c r="I34" s="9">
        <f t="shared" si="0"/>
        <v>441</v>
      </c>
    </row>
    <row r="35" spans="1:9" ht="15" customHeight="1" x14ac:dyDescent="0.25">
      <c r="A35" s="94">
        <f>IF(I35&lt;&gt;"",MAX(A$1:A34)+1,"")</f>
        <v>24</v>
      </c>
      <c r="B35" s="45" t="s">
        <v>78</v>
      </c>
      <c r="C35" t="s">
        <v>57</v>
      </c>
      <c r="D35">
        <f t="shared" si="3"/>
        <v>4</v>
      </c>
      <c r="E35" s="2" t="s">
        <v>450</v>
      </c>
      <c r="G35" s="55">
        <f>ROUND(((DQ_FLUX_KP_REGION_0 * BASE_FLUX * (2^15)) / BASE_VOLTAGE),0)</f>
        <v>5366</v>
      </c>
      <c r="H35" s="9" t="str">
        <f>IF(G35&lt;&gt;"",IF(C35="float32",FLOAT2HEX(G35),DEC2HEX(G35,8)),"")</f>
        <v>000014F6</v>
      </c>
      <c r="I35" s="9">
        <f t="shared" si="0"/>
        <v>5366</v>
      </c>
    </row>
    <row r="36" spans="1:9" ht="15" customHeight="1" x14ac:dyDescent="0.25">
      <c r="A36" s="94">
        <f>IF(I36&lt;&gt;"",MAX(A$1:A35)+1,"")</f>
        <v>25</v>
      </c>
      <c r="B36" s="45" t="s">
        <v>79</v>
      </c>
      <c r="C36" t="s">
        <v>57</v>
      </c>
      <c r="D36">
        <f t="shared" si="3"/>
        <v>4</v>
      </c>
      <c r="E36" s="2" t="s">
        <v>451</v>
      </c>
      <c r="G36" s="55">
        <f>ROUND(((DQ_FLUX_KI_REGION_0  * BASE_FLUX * OBSERVER_TS * (2^15)) / BASE_VOLTAGE),0)</f>
        <v>67</v>
      </c>
      <c r="H36" s="9" t="str">
        <f>IF(G36&lt;&gt;"",IF(C36="float32",FLOAT2HEX(G36),DEC2HEX(G36,8)),"")</f>
        <v>00000043</v>
      </c>
      <c r="I36" s="9">
        <f t="shared" si="0"/>
        <v>67</v>
      </c>
    </row>
    <row r="37" spans="1:9" ht="15" customHeight="1" x14ac:dyDescent="0.25">
      <c r="A37" s="94">
        <f>IF(I37&lt;&gt;"",MAX(A$1:A36)+1,"")</f>
        <v>26</v>
      </c>
      <c r="B37" s="45" t="s">
        <v>80</v>
      </c>
      <c r="C37" t="s">
        <v>57</v>
      </c>
      <c r="D37">
        <f t="shared" si="3"/>
        <v>4</v>
      </c>
      <c r="E37" s="2" t="s">
        <v>452</v>
      </c>
      <c r="G37" s="55">
        <f>ROUND((DQ_SPEED_THRESHOLD_REGION_0 * (32768/BASE_SPEED_RPM)),0)</f>
        <v>28548</v>
      </c>
      <c r="H37" s="9" t="str">
        <f>IF(G37&lt;&gt;"",IF(C37="float32",FLOAT2HEX(G37),DEC2HEX(G37,8)),"")</f>
        <v>00006F84</v>
      </c>
      <c r="I37" s="9">
        <f t="shared" si="0"/>
        <v>28548</v>
      </c>
    </row>
    <row r="38" spans="1:9" ht="15" customHeight="1" x14ac:dyDescent="0.25">
      <c r="A38" s="94">
        <f>IF(I38&lt;&gt;"",MAX(A$1:A37)+1,"")</f>
        <v>27</v>
      </c>
      <c r="B38" s="45" t="s">
        <v>72</v>
      </c>
      <c r="C38" t="s">
        <v>57</v>
      </c>
      <c r="D38">
        <f t="shared" si="3"/>
        <v>4</v>
      </c>
      <c r="E38" s="2" t="s">
        <v>453</v>
      </c>
      <c r="G38" s="55">
        <f>(DQ_GAINS_SWTICHING_TIME_REGION_0/0.025)</f>
        <v>80</v>
      </c>
      <c r="H38" s="9" t="str">
        <f>IF(G38&lt;&gt;"",IF(C38="float32",FLOAT2HEX(G38),DEC2HEX(G38,8)),"")</f>
        <v>00000050</v>
      </c>
      <c r="I38" s="9">
        <f t="shared" si="0"/>
        <v>80</v>
      </c>
    </row>
    <row r="39" spans="1:9" ht="15" customHeight="1" x14ac:dyDescent="0.25">
      <c r="A39" s="94">
        <f>IF(I39&lt;&gt;"",MAX(A$1:A38)+1,"")</f>
        <v>28</v>
      </c>
      <c r="B39" s="45" t="s">
        <v>81</v>
      </c>
      <c r="C39" t="s">
        <v>57</v>
      </c>
      <c r="D39">
        <f t="shared" si="3"/>
        <v>4</v>
      </c>
      <c r="E39" s="2" t="s">
        <v>454</v>
      </c>
      <c r="G39" s="55">
        <f>ROUND(((DQ_TORQUE_KP_REGION_1 * BASE_TORQ * (2^15)) / BASE_VOLTAGE),0)</f>
        <v>264671</v>
      </c>
      <c r="H39" s="9" t="str">
        <f>IF(G39&lt;&gt;"",IF(C39="float32",FLOAT2HEX(G39),DEC2HEX(G39,8)),"")</f>
        <v>000409DF</v>
      </c>
      <c r="I39" s="9">
        <f t="shared" si="0"/>
        <v>264671</v>
      </c>
    </row>
    <row r="40" spans="1:9" ht="15" customHeight="1" x14ac:dyDescent="0.25">
      <c r="A40" s="94">
        <f>IF(I40&lt;&gt;"",MAX(A$1:A39)+1,"")</f>
        <v>29</v>
      </c>
      <c r="B40" s="45" t="s">
        <v>82</v>
      </c>
      <c r="C40" t="s">
        <v>57</v>
      </c>
      <c r="D40">
        <f t="shared" si="3"/>
        <v>4</v>
      </c>
      <c r="E40" s="2" t="s">
        <v>455</v>
      </c>
      <c r="G40" s="55">
        <f>ROUND(((DQ_TORQUE_KI_REGION_1 * BASE_TORQ * OBSERVER_TS * (2^15)) / BASE_VOLTAGE),0)</f>
        <v>2647</v>
      </c>
      <c r="H40" s="9" t="str">
        <f>IF(G40&lt;&gt;"",IF(C40="float32",FLOAT2HEX(G40),DEC2HEX(G40,8)),"")</f>
        <v>00000A57</v>
      </c>
      <c r="I40" s="9">
        <f t="shared" si="0"/>
        <v>2647</v>
      </c>
    </row>
    <row r="41" spans="1:9" ht="15" customHeight="1" x14ac:dyDescent="0.25">
      <c r="A41" s="94">
        <f>IF(I41&lt;&gt;"",MAX(A$1:A40)+1,"")</f>
        <v>30</v>
      </c>
      <c r="B41" s="45" t="s">
        <v>83</v>
      </c>
      <c r="C41" t="s">
        <v>57</v>
      </c>
      <c r="D41">
        <f t="shared" si="3"/>
        <v>4</v>
      </c>
      <c r="E41" s="2" t="s">
        <v>456</v>
      </c>
      <c r="G41" s="55">
        <f>ROUND(((DQ_FLUX_KP_REGION_1 * BASE_FLUX * (2^15)) / BASE_VOLTAGE),0)</f>
        <v>286208</v>
      </c>
      <c r="H41" s="9" t="str">
        <f>IF(G41&lt;&gt;"",IF(C41="float32",FLOAT2HEX(G41),DEC2HEX(G41,8)),"")</f>
        <v>00045E00</v>
      </c>
      <c r="I41" s="9">
        <f t="shared" si="0"/>
        <v>286208</v>
      </c>
    </row>
    <row r="42" spans="1:9" ht="15" customHeight="1" x14ac:dyDescent="0.25">
      <c r="A42" s="94">
        <f>IF(I42&lt;&gt;"",MAX(A$1:A41)+1,"")</f>
        <v>31</v>
      </c>
      <c r="B42" s="45" t="s">
        <v>84</v>
      </c>
      <c r="C42" t="s">
        <v>57</v>
      </c>
      <c r="D42">
        <f t="shared" si="3"/>
        <v>4</v>
      </c>
      <c r="E42" s="2" t="s">
        <v>457</v>
      </c>
      <c r="G42" s="55">
        <f>ROUND(((DQ_FLUX_KI_REGION_1  * BASE_FLUX * OBSERVER_TS * (2^15)) / BASE_VOLTAGE),0)</f>
        <v>4025</v>
      </c>
      <c r="H42" s="9" t="str">
        <f>IF(G42&lt;&gt;"",IF(C42="float32",FLOAT2HEX(G42),DEC2HEX(G42,8)),"")</f>
        <v>00000FB9</v>
      </c>
      <c r="I42" s="9">
        <f t="shared" si="0"/>
        <v>4025</v>
      </c>
    </row>
    <row r="43" spans="1:9" ht="15" customHeight="1" x14ac:dyDescent="0.25">
      <c r="A43" s="94">
        <f>IF(I43&lt;&gt;"",MAX(A$1:A42)+1,"")</f>
        <v>32</v>
      </c>
      <c r="B43" s="45" t="s">
        <v>85</v>
      </c>
      <c r="C43" t="s">
        <v>57</v>
      </c>
      <c r="D43">
        <f t="shared" si="3"/>
        <v>4</v>
      </c>
      <c r="E43" s="2" t="s">
        <v>458</v>
      </c>
      <c r="G43" s="55">
        <f>ROUND((DQ_SPEED_THRESHOLD_REGION_1 * (32768/BASE_SPEED_RPM)),0)</f>
        <v>209801</v>
      </c>
      <c r="H43" s="9" t="str">
        <f>IF(G43&lt;&gt;"",IF(C43="float32",FLOAT2HEX(G43),DEC2HEX(G43,8)),"")</f>
        <v>00033389</v>
      </c>
      <c r="I43" s="9">
        <f t="shared" si="0"/>
        <v>209801</v>
      </c>
    </row>
    <row r="44" spans="1:9" ht="15" customHeight="1" x14ac:dyDescent="0.25">
      <c r="A44" s="94">
        <f>IF(I44&lt;&gt;"",MAX(A$1:A43)+1,"")</f>
        <v>33</v>
      </c>
      <c r="B44" s="45" t="s">
        <v>73</v>
      </c>
      <c r="C44" t="s">
        <v>57</v>
      </c>
      <c r="D44">
        <f t="shared" si="3"/>
        <v>4</v>
      </c>
      <c r="E44" s="2" t="s">
        <v>459</v>
      </c>
      <c r="G44" s="55">
        <f>(DQ_GAINS_SWTICHING_TIME_REGION_1/0.025)</f>
        <v>120</v>
      </c>
      <c r="H44" s="9" t="str">
        <f>IF(G44&lt;&gt;"",IF(C44="float32",FLOAT2HEX(G44),DEC2HEX(G44,8)),"")</f>
        <v>00000078</v>
      </c>
      <c r="I44" s="9">
        <f t="shared" si="0"/>
        <v>120</v>
      </c>
    </row>
    <row r="45" spans="1:9" ht="15" customHeight="1" x14ac:dyDescent="0.25">
      <c r="A45" s="94">
        <f>IF(I45&lt;&gt;"",MAX(A$1:A44)+1,"")</f>
        <v>34</v>
      </c>
      <c r="B45" s="45" t="s">
        <v>86</v>
      </c>
      <c r="C45" t="s">
        <v>57</v>
      </c>
      <c r="D45">
        <f t="shared" si="3"/>
        <v>4</v>
      </c>
      <c r="E45" s="60" t="s">
        <v>460</v>
      </c>
      <c r="G45" s="55">
        <f>ROUND(((DQ_TORQUE_KP_REGION_2 * BASE_TORQ * (2^15)) / BASE_VOLTAGE),0)</f>
        <v>264671</v>
      </c>
      <c r="H45" s="9" t="str">
        <f>IF(G45&lt;&gt;"",IF(C45="float32",FLOAT2HEX(G45),DEC2HEX(G45,8)),"")</f>
        <v>000409DF</v>
      </c>
      <c r="I45" s="9">
        <f t="shared" si="0"/>
        <v>264671</v>
      </c>
    </row>
    <row r="46" spans="1:9" ht="15" customHeight="1" x14ac:dyDescent="0.25">
      <c r="A46" s="94">
        <f>IF(I46&lt;&gt;"",MAX(A$1:A45)+1,"")</f>
        <v>35</v>
      </c>
      <c r="B46" s="45" t="s">
        <v>87</v>
      </c>
      <c r="C46" t="s">
        <v>57</v>
      </c>
      <c r="D46">
        <f t="shared" si="3"/>
        <v>4</v>
      </c>
      <c r="E46" s="2" t="s">
        <v>461</v>
      </c>
      <c r="G46" s="55">
        <f>ROUND(((DQ_TORQUE_KI_REGION_2 * BASE_TORQ * OBSERVER_TS * (2^15)) / BASE_VOLTAGE),0)</f>
        <v>2647</v>
      </c>
      <c r="H46" s="9" t="str">
        <f>IF(G46&lt;&gt;"",IF(C46="float32",FLOAT2HEX(G46),DEC2HEX(G46,8)),"")</f>
        <v>00000A57</v>
      </c>
      <c r="I46" s="9">
        <f t="shared" si="0"/>
        <v>2647</v>
      </c>
    </row>
    <row r="47" spans="1:9" ht="15" customHeight="1" x14ac:dyDescent="0.25">
      <c r="A47" s="94">
        <f>IF(I47&lt;&gt;"",MAX(A$1:A46)+1,"")</f>
        <v>36</v>
      </c>
      <c r="B47" s="45" t="s">
        <v>88</v>
      </c>
      <c r="C47" t="s">
        <v>57</v>
      </c>
      <c r="D47">
        <f t="shared" si="3"/>
        <v>4</v>
      </c>
      <c r="E47" s="2" t="s">
        <v>462</v>
      </c>
      <c r="G47" s="55">
        <f>ROUND(((DQ_FLUX_KP_REGION_2 * BASE_FLUX * (2^15)) / BASE_VOLTAGE),0)</f>
        <v>286208</v>
      </c>
      <c r="H47" s="9" t="str">
        <f>IF(G47&lt;&gt;"",IF(C47="float32",FLOAT2HEX(G47),DEC2HEX(G47,8)),"")</f>
        <v>00045E00</v>
      </c>
      <c r="I47" s="9">
        <f t="shared" si="0"/>
        <v>286208</v>
      </c>
    </row>
    <row r="48" spans="1:9" ht="15" customHeight="1" x14ac:dyDescent="0.25">
      <c r="A48" s="94">
        <f>IF(I48&lt;&gt;"",MAX(A$1:A47)+1,"")</f>
        <v>37</v>
      </c>
      <c r="B48" s="45" t="s">
        <v>89</v>
      </c>
      <c r="C48" t="s">
        <v>57</v>
      </c>
      <c r="D48">
        <f t="shared" si="3"/>
        <v>4</v>
      </c>
      <c r="E48" s="2" t="s">
        <v>463</v>
      </c>
      <c r="G48" s="55">
        <f>ROUND(((DQ_FLUX_KI_REGION_2  * BASE_FLUX * OBSERVER_TS * (2^15)) / BASE_VOLTAGE),0)</f>
        <v>4025</v>
      </c>
      <c r="H48" s="9" t="str">
        <f>IF(G48&lt;&gt;"",IF(C48="float32",FLOAT2HEX(G48),DEC2HEX(G48,8)),"")</f>
        <v>00000FB9</v>
      </c>
      <c r="I48" s="9">
        <f t="shared" si="0"/>
        <v>4025</v>
      </c>
    </row>
    <row r="49" spans="1:21" ht="15" customHeight="1" x14ac:dyDescent="0.25">
      <c r="A49" s="94">
        <f>IF(I49&lt;&gt;"",MAX(A$1:A48)+1,"")</f>
        <v>38</v>
      </c>
      <c r="B49" s="45" t="s">
        <v>90</v>
      </c>
      <c r="C49" t="s">
        <v>57</v>
      </c>
      <c r="D49">
        <f t="shared" si="3"/>
        <v>4</v>
      </c>
      <c r="E49" s="2" t="s">
        <v>464</v>
      </c>
      <c r="G49" s="55">
        <f>ROUND((DQ_SPEED_THRESHOLD_REGION_2 * (32768/BASE_SPEED_RPM)),0)</f>
        <v>299716</v>
      </c>
      <c r="H49" s="9" t="str">
        <f>IF(G49&lt;&gt;"",IF(C49="float32",FLOAT2HEX(G49),DEC2HEX(G49,8)),"")</f>
        <v>000492C4</v>
      </c>
      <c r="I49" s="9">
        <f t="shared" si="0"/>
        <v>299716</v>
      </c>
    </row>
    <row r="50" spans="1:21" ht="15" customHeight="1" x14ac:dyDescent="0.25">
      <c r="A50" s="94">
        <f>IF(I50&lt;&gt;"",MAX(A$1:A49)+1,"")</f>
        <v>39</v>
      </c>
      <c r="B50" s="45" t="s">
        <v>74</v>
      </c>
      <c r="C50" t="s">
        <v>57</v>
      </c>
      <c r="D50">
        <f t="shared" si="3"/>
        <v>4</v>
      </c>
      <c r="E50" s="2" t="s">
        <v>465</v>
      </c>
      <c r="G50" s="55">
        <f>(DQ_GAINS_SWTICHING_TIME_REGION_2/0.025)</f>
        <v>120</v>
      </c>
      <c r="H50" s="9" t="str">
        <f>IF(G50&lt;&gt;"",IF(C50="float32",FLOAT2HEX(G50),DEC2HEX(G50,8)),"")</f>
        <v>00000078</v>
      </c>
      <c r="I50" s="9">
        <f t="shared" si="0"/>
        <v>120</v>
      </c>
    </row>
    <row r="51" spans="1:21" ht="15" customHeight="1" x14ac:dyDescent="0.25">
      <c r="A51" s="94" t="str">
        <f>IF(I51&lt;&gt;"",MAX(A$1:A50)+1,"")</f>
        <v/>
      </c>
      <c r="B51" s="45"/>
      <c r="G51" s="11"/>
      <c r="H51" s="9" t="str">
        <f>IF(G51&lt;&gt;"",IF(C51="float32",FLOAT2HEX(G51),DEC2HEX(G51,8)),"")</f>
        <v/>
      </c>
      <c r="I51" s="9" t="str">
        <f t="shared" si="0"/>
        <v/>
      </c>
    </row>
    <row r="52" spans="1:21" s="9" customFormat="1" ht="20.100000000000001" customHeight="1" x14ac:dyDescent="0.25">
      <c r="A52" s="94" t="str">
        <f>IF(I52&lt;&gt;"",MAX(A$1:A51)+1,"")</f>
        <v/>
      </c>
      <c r="B52" s="44" t="s">
        <v>94</v>
      </c>
      <c r="C52" s="21"/>
      <c r="D52" s="21"/>
      <c r="E52" s="21"/>
      <c r="F52" s="21"/>
      <c r="G52" s="21" t="str">
        <f>IF(F52&lt;&gt;"",DEC2HEX(F52,4),"")</f>
        <v/>
      </c>
      <c r="H52" s="21" t="str">
        <f>IF(G52&lt;&gt;"",DEC2HEX(G52,4),"")</f>
        <v/>
      </c>
      <c r="I52" s="21"/>
      <c r="J52" s="16"/>
      <c r="K52" s="16"/>
      <c r="L52" s="16"/>
      <c r="M52" s="13"/>
      <c r="N52" s="13"/>
      <c r="O52" s="13"/>
      <c r="P52" s="13"/>
      <c r="Q52" s="13"/>
      <c r="R52" s="13"/>
      <c r="S52" s="13"/>
      <c r="T52" s="13"/>
      <c r="U52" s="13"/>
    </row>
    <row r="53" spans="1:21" ht="15" customHeight="1" x14ac:dyDescent="0.25">
      <c r="A53" s="94">
        <f>IF(I53&lt;&gt;"",MAX(A$1:A52)+1,"")</f>
        <v>40</v>
      </c>
      <c r="B53" s="45" t="s">
        <v>96</v>
      </c>
      <c r="C53" t="s">
        <v>57</v>
      </c>
      <c r="D53">
        <f t="shared" ref="D53:D63" si="4">IF(OR(C53="sint64",C53="uint64",C53="double64"), 8, IF(OR(C53="sint32",C53="uint32",C53="float32"),4,IF(OR(C53="sint16",C53="uint16"),2,  IF(OR(C53="sint8",C53="uint8"),1,""))))</f>
        <v>4</v>
      </c>
      <c r="E53" s="2" t="s">
        <v>409</v>
      </c>
      <c r="G53" s="11">
        <f>ROUND(((ROTOR_LAMBDAM * 32768)/BASE_FLUX),0)</f>
        <v>9907</v>
      </c>
      <c r="H53" s="9" t="str">
        <f>IF(G53&lt;&gt;"",IF(C53="float32",FLOAT2HEX(G53),DEC2HEX(G53,8)),"")</f>
        <v>000026B3</v>
      </c>
      <c r="I53" s="9">
        <f t="shared" si="0"/>
        <v>9907</v>
      </c>
    </row>
    <row r="54" spans="1:21" ht="15" customHeight="1" x14ac:dyDescent="0.25">
      <c r="A54" s="94">
        <f>IF(I54&lt;&gt;"",MAX(A$1:A53)+1,"")</f>
        <v>41</v>
      </c>
      <c r="B54" s="45" t="s">
        <v>97</v>
      </c>
      <c r="C54" t="s">
        <v>57</v>
      </c>
      <c r="D54">
        <f t="shared" si="4"/>
        <v>4</v>
      </c>
      <c r="E54" s="2" t="s">
        <v>466</v>
      </c>
      <c r="G54" s="11">
        <f>ROUND((DQ_CONTROLLER_MAX_FLUX/100*32768),0)</f>
        <v>31130</v>
      </c>
      <c r="H54" s="92" t="str">
        <f>IF(G54&lt;&gt;"",IF(C54="float32",FLOAT2HEX(G54),DEC2HEX(G54,8)),"")</f>
        <v>0000799A</v>
      </c>
      <c r="I54" s="92">
        <f t="shared" si="0"/>
        <v>31130</v>
      </c>
    </row>
    <row r="55" spans="1:21" ht="15" customHeight="1" x14ac:dyDescent="0.25">
      <c r="A55" s="94">
        <f>IF(I55&lt;&gt;"",MAX(A$1:A54)+1,"")</f>
        <v>42</v>
      </c>
      <c r="B55" s="45" t="s">
        <v>98</v>
      </c>
      <c r="C55" t="s">
        <v>63</v>
      </c>
      <c r="D55">
        <f t="shared" si="4"/>
        <v>4</v>
      </c>
      <c r="E55" s="87" t="s">
        <v>1006</v>
      </c>
      <c r="G55" s="11">
        <f>((DQ_STARTING_TIME * 1000))</f>
        <v>1000</v>
      </c>
      <c r="H55" s="92" t="str">
        <f>IF(G55&lt;&gt;"",IF(C55="float32",FLOAT2HEX(G55),DEC2HEX(G55,8)),"")</f>
        <v>000003E8</v>
      </c>
      <c r="I55" s="92">
        <f t="shared" si="0"/>
        <v>1000</v>
      </c>
    </row>
    <row r="56" spans="1:21" ht="15" customHeight="1" x14ac:dyDescent="0.25">
      <c r="A56" s="94">
        <f>IF(I56&lt;&gt;"",MAX(A$1:A55)+1,"")</f>
        <v>43</v>
      </c>
      <c r="B56" s="45" t="s">
        <v>95</v>
      </c>
      <c r="C56" s="59" t="s">
        <v>63</v>
      </c>
      <c r="D56">
        <f t="shared" si="4"/>
        <v>4</v>
      </c>
      <c r="E56" s="87" t="s">
        <v>467</v>
      </c>
      <c r="G56" s="11">
        <f>(DQ_CONTROLLER_OVER_FLUX_DECREMENT/BASE_FLUX*32768)</f>
        <v>2</v>
      </c>
      <c r="H56" s="92" t="str">
        <f>IF(G56&lt;&gt;"",IF(C56="float32",FLOAT2HEX(G56),DEC2HEX(G56,8)),"")</f>
        <v>00000002</v>
      </c>
      <c r="I56" s="92">
        <f t="shared" si="0"/>
        <v>2</v>
      </c>
    </row>
    <row r="57" spans="1:21" s="73" customFormat="1" ht="15" customHeight="1" x14ac:dyDescent="0.25">
      <c r="A57" s="94">
        <f>IF(I57&lt;&gt;"",MAX(A$1:A56)+1,"")</f>
        <v>44</v>
      </c>
      <c r="B57" s="83" t="s">
        <v>629</v>
      </c>
      <c r="C57" s="81" t="s">
        <v>57</v>
      </c>
      <c r="D57" s="73">
        <f t="shared" si="4"/>
        <v>4</v>
      </c>
      <c r="E57" s="87" t="s">
        <v>635</v>
      </c>
      <c r="G57" s="75">
        <f>ROUND(SPEED_OVERFLUX_THRESHOLD * 32768/BASE_SPEED_RPM,0)</f>
        <v>525</v>
      </c>
      <c r="H57" s="92" t="str">
        <f>IF(G57&lt;&gt;"",IF(C57="float32",FLOAT2HEX(G57),DEC2HEX(G57,8)),"")</f>
        <v>0000020D</v>
      </c>
      <c r="I57" s="92">
        <f t="shared" si="0"/>
        <v>525</v>
      </c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</row>
    <row r="58" spans="1:21" s="73" customFormat="1" ht="15" customHeight="1" x14ac:dyDescent="0.25">
      <c r="A58" s="94">
        <f>IF(I58&lt;&gt;"",MAX(A$1:A57)+1,"")</f>
        <v>45</v>
      </c>
      <c r="B58" s="84" t="s">
        <v>630</v>
      </c>
      <c r="C58" s="81" t="s">
        <v>57</v>
      </c>
      <c r="D58" s="73">
        <f t="shared" si="4"/>
        <v>4</v>
      </c>
      <c r="E58" s="87" t="s">
        <v>638</v>
      </c>
      <c r="G58" s="75">
        <f>ROUND(OVERFLUX_FACTOR/100 * 32768,0)</f>
        <v>36700</v>
      </c>
      <c r="H58" s="92" t="str">
        <f>IF(G58&lt;&gt;"",IF(C58="float32",FLOAT2HEX(G58),DEC2HEX(G58,8)),"")</f>
        <v>00008F5C</v>
      </c>
      <c r="I58" s="92">
        <f t="shared" si="0"/>
        <v>36700</v>
      </c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</row>
    <row r="59" spans="1:21" ht="15" customHeight="1" x14ac:dyDescent="0.25">
      <c r="A59" s="94">
        <f>IF(I59&lt;&gt;"",MAX(A$1:A58)+1,"")</f>
        <v>46</v>
      </c>
      <c r="B59" s="71" t="s">
        <v>99</v>
      </c>
      <c r="C59" t="s">
        <v>57</v>
      </c>
      <c r="D59">
        <f t="shared" si="4"/>
        <v>4</v>
      </c>
      <c r="E59" s="60" t="s">
        <v>468</v>
      </c>
      <c r="G59" s="11">
        <f>ROUND((DQ_CONTROLLER_MAX_INPUT_VOLT_FACTOR/100*32768),0)</f>
        <v>30802</v>
      </c>
      <c r="H59" s="92" t="str">
        <f>IF(G59&lt;&gt;"",IF(C59="float32",FLOAT2HEX(G59),DEC2HEX(G59,8)),"")</f>
        <v>00007852</v>
      </c>
      <c r="I59" s="92">
        <f t="shared" si="0"/>
        <v>30802</v>
      </c>
    </row>
    <row r="60" spans="1:21" s="86" customFormat="1" ht="15" customHeight="1" x14ac:dyDescent="0.25">
      <c r="A60" s="94">
        <f>IF(I60&lt;&gt;"",MAX(A$1:A59)+1,"")</f>
        <v>47</v>
      </c>
      <c r="B60" s="95" t="s">
        <v>642</v>
      </c>
      <c r="C60" s="86" t="s">
        <v>57</v>
      </c>
      <c r="D60" s="86">
        <f t="shared" si="4"/>
        <v>4</v>
      </c>
      <c r="E60" s="87" t="s">
        <v>644</v>
      </c>
      <c r="G60" s="93">
        <f>ROUND(DQREF_MAX_SPEED_DROP_FACTOR,0)</f>
        <v>15490</v>
      </c>
      <c r="H60" s="92" t="str">
        <f>IF(G60&lt;&gt;"",IF(C60="float32",FLOAT2HEX(G60),DEC2HEX(G60,8)),"")</f>
        <v>00003C82</v>
      </c>
      <c r="I60" s="92">
        <f t="shared" ref="I60:I71" si="5">IF(G60&lt;&gt;"",HEX2DEC(H60),"")</f>
        <v>15490</v>
      </c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</row>
    <row r="61" spans="1:21" s="86" customFormat="1" ht="15" customHeight="1" x14ac:dyDescent="0.25">
      <c r="A61" s="94">
        <f>IF(I61&lt;&gt;"",MAX(A$1:A60)+1,"")</f>
        <v>48</v>
      </c>
      <c r="B61" s="95" t="s">
        <v>643</v>
      </c>
      <c r="C61" s="86" t="s">
        <v>57</v>
      </c>
      <c r="D61" s="86">
        <f t="shared" si="4"/>
        <v>4</v>
      </c>
      <c r="E61" s="87" t="s">
        <v>648</v>
      </c>
      <c r="G61" s="93">
        <f>ROUND(DQREF_MIN_AVAILABLE_VOLT_FACTOR/100*32768,0)</f>
        <v>30802</v>
      </c>
      <c r="H61" s="92" t="str">
        <f>IF(G61&lt;&gt;"",IF(C61="float32",FLOAT2HEX(G61),DEC2HEX(G61,8)),"")</f>
        <v>00007852</v>
      </c>
      <c r="I61" s="92">
        <f t="shared" si="5"/>
        <v>30802</v>
      </c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</row>
    <row r="62" spans="1:21" s="73" customFormat="1" ht="15" customHeight="1" x14ac:dyDescent="0.25">
      <c r="A62" s="94">
        <f>IF(I62&lt;&gt;"",MAX(A$1:A61)+1,"")</f>
        <v>49</v>
      </c>
      <c r="B62" s="85" t="s">
        <v>631</v>
      </c>
      <c r="C62" s="81" t="s">
        <v>57</v>
      </c>
      <c r="D62" s="73">
        <f t="shared" si="4"/>
        <v>4</v>
      </c>
      <c r="E62" s="87" t="s">
        <v>649</v>
      </c>
      <c r="G62" s="75">
        <f>ROUND(DQREF_SPEED_DROP_FACTOR,0)</f>
        <v>15488</v>
      </c>
      <c r="H62" s="92" t="str">
        <f>IF(G62&lt;&gt;"",IF(C62="float32",FLOAT2HEX(G62),DEC2HEX(G62,8)),"")</f>
        <v>00003C80</v>
      </c>
      <c r="I62" s="92">
        <f t="shared" si="5"/>
        <v>15488</v>
      </c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</row>
    <row r="63" spans="1:21" ht="15" customHeight="1" x14ac:dyDescent="0.25">
      <c r="A63" s="94">
        <f>IF(I63&lt;&gt;"",MAX(A$1:A62)+1,"")</f>
        <v>50</v>
      </c>
      <c r="B63" s="71" t="s">
        <v>606</v>
      </c>
      <c r="C63" t="s">
        <v>57</v>
      </c>
      <c r="D63" s="20">
        <f t="shared" si="4"/>
        <v>4</v>
      </c>
      <c r="E63" s="2" t="s">
        <v>409</v>
      </c>
      <c r="G63" s="11">
        <f>ROUND((((ROTOR_LAMBDAM * 32768)/BASE_FLUX)),0)</f>
        <v>9907</v>
      </c>
      <c r="H63" s="92" t="str">
        <f>IF(G63&lt;&gt;"",IF(C63="float32",FLOAT2HEX(G63),DEC2HEX(G63,8)),"")</f>
        <v>000026B3</v>
      </c>
      <c r="I63" s="92">
        <f t="shared" si="5"/>
        <v>9907</v>
      </c>
    </row>
    <row r="64" spans="1:21" s="59" customFormat="1" ht="15" customHeight="1" x14ac:dyDescent="0.25">
      <c r="A64" s="94">
        <f>IF(I64&lt;&gt;"",MAX(A$1:A63)+1,"")</f>
        <v>51</v>
      </c>
      <c r="B64" s="71" t="s">
        <v>609</v>
      </c>
      <c r="C64" s="59" t="s">
        <v>57</v>
      </c>
      <c r="D64" s="67">
        <f t="shared" ref="D64:D70" si="6">IF(OR(C64="sint64",C64="uint64",C64="double64"), 8, IF(OR(C64="sint32",C64="uint32",C64="float32"),4,IF(OR(C64="sint16",C64="uint16"),2,  IF(OR(C64="sint8",C64="uint8"),1,""))))</f>
        <v>4</v>
      </c>
      <c r="E64" s="60" t="s">
        <v>610</v>
      </c>
      <c r="G64" s="65">
        <f>ROUND((1/OBSERVER_TS)*FLUX_REF_SCALE_TIME,0)</f>
        <v>12000</v>
      </c>
      <c r="H64" s="92" t="str">
        <f>IF(G64&lt;&gt;"",IF(C64="float32",FLOAT2HEX(G64),DEC2HEX(G64,8)),"")</f>
        <v>00002EE0</v>
      </c>
      <c r="I64" s="92">
        <f t="shared" si="5"/>
        <v>12000</v>
      </c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</row>
    <row r="65" spans="1:21" s="73" customFormat="1" ht="15" customHeight="1" x14ac:dyDescent="0.25">
      <c r="A65" s="94">
        <f>IF(I65&lt;&gt;"",MAX(A$1:A64)+1,"")</f>
        <v>52</v>
      </c>
      <c r="B65" s="96" t="s">
        <v>632</v>
      </c>
      <c r="C65" s="81" t="s">
        <v>57</v>
      </c>
      <c r="D65" s="82">
        <f t="shared" si="6"/>
        <v>4</v>
      </c>
      <c r="E65" s="87" t="s">
        <v>639</v>
      </c>
      <c r="F65" s="86"/>
      <c r="G65" s="93">
        <f>ROUND(SBPM_SPEED_OVERFULX_THRESHOLD * 32768 / BASE_SPEED_RPM,0)</f>
        <v>5620</v>
      </c>
      <c r="H65" s="92" t="str">
        <f>IF(G65&lt;&gt;"",IF(C65="float32",FLOAT2HEX(G65),DEC2HEX(G65,8)),"")</f>
        <v>000015F4</v>
      </c>
      <c r="I65" s="92">
        <f t="shared" si="5"/>
        <v>5620</v>
      </c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</row>
    <row r="66" spans="1:21" s="73" customFormat="1" ht="15" customHeight="1" x14ac:dyDescent="0.25">
      <c r="A66" s="94">
        <f>IF(I66&lt;&gt;"",MAX(A$1:A65)+1,"")</f>
        <v>53</v>
      </c>
      <c r="B66" s="96" t="s">
        <v>633</v>
      </c>
      <c r="C66" s="81" t="s">
        <v>57</v>
      </c>
      <c r="D66" s="82">
        <f t="shared" si="6"/>
        <v>4</v>
      </c>
      <c r="E66" s="87" t="s">
        <v>640</v>
      </c>
      <c r="F66" s="86"/>
      <c r="G66" s="93">
        <f>ROUND(SBPM_OVERFLUX_FACTOR/100 * 32768,0)</f>
        <v>3277</v>
      </c>
      <c r="H66" s="92" t="str">
        <f>IF(G66&lt;&gt;"",IF(C66="float32",FLOAT2HEX(G66),DEC2HEX(G66,8)),"")</f>
        <v>00000CCD</v>
      </c>
      <c r="I66" s="92">
        <f t="shared" si="5"/>
        <v>3277</v>
      </c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</row>
    <row r="67" spans="1:21" s="73" customFormat="1" ht="15" customHeight="1" x14ac:dyDescent="0.25">
      <c r="A67" s="94">
        <f>IF(I67&lt;&gt;"",MAX(A$1:A66)+1,"")</f>
        <v>54</v>
      </c>
      <c r="B67" s="96" t="s">
        <v>634</v>
      </c>
      <c r="C67" s="81" t="s">
        <v>57</v>
      </c>
      <c r="D67" s="82">
        <f t="shared" si="6"/>
        <v>4</v>
      </c>
      <c r="E67" s="87" t="s">
        <v>641</v>
      </c>
      <c r="G67" s="75">
        <f>ROUND((SBPM_MIN_OVERFLUX_FACTOR/100 * 32768),0)</f>
        <v>3277</v>
      </c>
      <c r="H67" s="92" t="str">
        <f>IF(G67&lt;&gt;"",IF(C67="float32",FLOAT2HEX(G67),DEC2HEX(G67,8)),"")</f>
        <v>00000CCD</v>
      </c>
      <c r="I67" s="92">
        <f t="shared" si="5"/>
        <v>3277</v>
      </c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</row>
    <row r="68" spans="1:21" s="101" customFormat="1" ht="15" customHeight="1" x14ac:dyDescent="0.25">
      <c r="A68" s="94">
        <f>IF(I68&lt;&gt;"",MAX(A$1:A67)+1,"")</f>
        <v>55</v>
      </c>
      <c r="B68" s="96" t="s">
        <v>993</v>
      </c>
      <c r="C68" s="101" t="s">
        <v>57</v>
      </c>
      <c r="D68" s="82">
        <f t="shared" si="6"/>
        <v>4</v>
      </c>
      <c r="E68" s="87" t="s">
        <v>996</v>
      </c>
      <c r="G68" s="93">
        <f>ROUND((K_TORQUE_ERROR * BASE_TORQ * 32768),0)</f>
        <v>261989</v>
      </c>
      <c r="H68" s="92" t="str">
        <f>IF(G68&lt;&gt;"",IF(C68="float32",FLOAT2HEX(G68),DEC2HEX(G68,8)),"")</f>
        <v>0003FF65</v>
      </c>
      <c r="I68" s="92">
        <f t="shared" ref="I68" si="7">IF(G68&lt;&gt;"",HEX2DEC(H68),"")</f>
        <v>261989</v>
      </c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</row>
    <row r="69" spans="1:21" s="101" customFormat="1" ht="15" customHeight="1" x14ac:dyDescent="0.25">
      <c r="A69" s="94">
        <f>IF(I69&lt;&gt;"",MAX(A$1:A68)+1,"")</f>
        <v>56</v>
      </c>
      <c r="B69" s="96" t="s">
        <v>994</v>
      </c>
      <c r="C69" s="101" t="s">
        <v>57</v>
      </c>
      <c r="D69" s="82">
        <f t="shared" si="6"/>
        <v>4</v>
      </c>
      <c r="E69" s="87" t="s">
        <v>995</v>
      </c>
      <c r="G69" s="93">
        <f>ROUND((TORQUE_ERROR_SAT * 32768),0)</f>
        <v>16384</v>
      </c>
      <c r="H69" s="92" t="str">
        <f>IF(G69&lt;&gt;"",IF(C69="float32",FLOAT2HEX(G69),DEC2HEX(G69,8)),"")</f>
        <v>00004000</v>
      </c>
      <c r="I69" s="92">
        <f t="shared" ref="I69:I70" si="8">IF(G69&lt;&gt;"",HEX2DEC(H69),"")</f>
        <v>16384</v>
      </c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</row>
    <row r="70" spans="1:21" s="101" customFormat="1" ht="15" customHeight="1" x14ac:dyDescent="0.25">
      <c r="A70" s="94">
        <f>IF(I70&lt;&gt;"",MAX(A$1:A69)+1,"")</f>
        <v>57</v>
      </c>
      <c r="B70" s="96" t="s">
        <v>986</v>
      </c>
      <c r="C70" s="101" t="s">
        <v>57</v>
      </c>
      <c r="D70" s="82">
        <f t="shared" si="6"/>
        <v>4</v>
      </c>
      <c r="E70" s="87" t="s">
        <v>987</v>
      </c>
      <c r="G70" s="93">
        <f>ROUND((M_INDEX_REF/100 * 32768),0)</f>
        <v>32113</v>
      </c>
      <c r="H70" s="92" t="str">
        <f>IF(G70&lt;&gt;"",IF(C70="float32",FLOAT2HEX(G70),DEC2HEX(G70,8)),"")</f>
        <v>00007D71</v>
      </c>
      <c r="I70" s="92">
        <f t="shared" si="8"/>
        <v>32113</v>
      </c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</row>
    <row r="71" spans="1:21" ht="15" customHeight="1" x14ac:dyDescent="0.25">
      <c r="A71" s="94" t="str">
        <f>IF(I71&lt;&gt;"",MAX(A$1:A70)+1,"")</f>
        <v/>
      </c>
      <c r="B71" s="45"/>
      <c r="G71" s="11"/>
      <c r="H71" s="92" t="str">
        <f>IF(G71&lt;&gt;"",IF(C71="float32",FLOAT2HEX(G71),DEC2HEX(G71,8)),"")</f>
        <v/>
      </c>
      <c r="I71" s="92" t="str">
        <f t="shared" si="5"/>
        <v/>
      </c>
    </row>
    <row r="72" spans="1:21" s="9" customFormat="1" ht="20.100000000000001" customHeight="1" x14ac:dyDescent="0.25">
      <c r="A72" s="94" t="str">
        <f>IF(I72&lt;&gt;"",MAX(A$1:A71)+1,"")</f>
        <v/>
      </c>
      <c r="B72" s="44" t="s">
        <v>100</v>
      </c>
      <c r="C72" s="21"/>
      <c r="D72" s="21"/>
      <c r="E72" s="21" t="str">
        <f>IF(F72&lt;&gt;"",DEC2HEX(F72,4),"")</f>
        <v/>
      </c>
      <c r="F72" s="21"/>
      <c r="G72" s="21" t="str">
        <f>IF(F72&lt;&gt;"",DEC2HEX(F72,4),"")</f>
        <v/>
      </c>
      <c r="H72" s="21" t="str">
        <f>IF(G72&lt;&gt;"",DEC2HEX(G72,4),"")</f>
        <v/>
      </c>
      <c r="I72" s="21"/>
      <c r="J72" s="16"/>
      <c r="K72" s="16"/>
      <c r="L72" s="16"/>
      <c r="M72" s="13"/>
      <c r="N72" s="13"/>
      <c r="O72" s="13"/>
      <c r="P72" s="13"/>
      <c r="Q72" s="13"/>
      <c r="R72" s="13"/>
      <c r="S72" s="13"/>
      <c r="T72" s="13"/>
      <c r="U72" s="13"/>
    </row>
    <row r="73" spans="1:21" ht="15" customHeight="1" x14ac:dyDescent="0.25">
      <c r="A73" s="94">
        <f>IF(I73&lt;&gt;"",MAX(A$1:A72)+1,"")</f>
        <v>58</v>
      </c>
      <c r="B73" s="46" t="s">
        <v>365</v>
      </c>
      <c r="C73" t="s">
        <v>57</v>
      </c>
      <c r="D73">
        <f t="shared" ref="D73:D80" si="9">IF(OR(C73="sint64",C73="uint64",C73="double64"), 8, IF(OR(C73="sint32",C73="uint32",C73="float32"),4,IF(OR(C73="sint16",C73="uint16"),2,  IF(OR(C73="sint8",C73="uint8"),1,""))))</f>
        <v>4</v>
      </c>
      <c r="E73" s="2" t="s">
        <v>469</v>
      </c>
      <c r="G73" s="11">
        <f>ROUND(((ALGO_RUNNING_MIN_SPEED_2_IGBTS_OFF * 32768)/BASE_SPEED_RPM),0)</f>
        <v>10250</v>
      </c>
      <c r="H73" s="9" t="str">
        <f>IF(G73&lt;&gt;"",IF(C73="float32",FLOAT2HEX(G73),DEC2HEX(G73,8)),"")</f>
        <v>0000280A</v>
      </c>
      <c r="I73" s="9">
        <f t="shared" si="0"/>
        <v>10250</v>
      </c>
    </row>
    <row r="74" spans="1:21" ht="15" customHeight="1" x14ac:dyDescent="0.25">
      <c r="A74" s="94">
        <f>IF(I74&lt;&gt;"",MAX(A$1:A73)+1,"")</f>
        <v>59</v>
      </c>
      <c r="B74" s="46" t="s">
        <v>366</v>
      </c>
      <c r="C74" t="s">
        <v>57</v>
      </c>
      <c r="D74">
        <f t="shared" si="9"/>
        <v>4</v>
      </c>
      <c r="E74" s="2" t="s">
        <v>470</v>
      </c>
      <c r="G74" s="11">
        <f>ROUND(((ALGO_RUNNING_MIN_SPEED_BEFORE_STOPPING * 32768)/BASE_SPEED_RPM),0)</f>
        <v>3417</v>
      </c>
      <c r="H74" s="9" t="str">
        <f>IF(G74&lt;&gt;"",IF(C74="float32",FLOAT2HEX(G74),DEC2HEX(G74,8)),"")</f>
        <v>00000D59</v>
      </c>
      <c r="I74" s="9">
        <f t="shared" si="0"/>
        <v>3417</v>
      </c>
    </row>
    <row r="75" spans="1:21" ht="15" customHeight="1" x14ac:dyDescent="0.25">
      <c r="A75" s="94">
        <f>IF(I75&lt;&gt;"",MAX(A$1:A74)+1,"")</f>
        <v>60</v>
      </c>
      <c r="B75" s="45" t="s">
        <v>367</v>
      </c>
      <c r="C75" t="s">
        <v>63</v>
      </c>
      <c r="D75">
        <f t="shared" si="9"/>
        <v>4</v>
      </c>
      <c r="E75" s="2" t="s">
        <v>471</v>
      </c>
      <c r="G75" s="11">
        <f>(ALGO_RUNNING_DEBOUNCER_2_IGBTS_OFF)</f>
        <v>5</v>
      </c>
      <c r="H75" s="9" t="str">
        <f>IF(G75&lt;&gt;"",IF(C75="float32",FLOAT2HEX(G75),DEC2HEX(G75,8)),"")</f>
        <v>00000005</v>
      </c>
      <c r="I75" s="9">
        <f t="shared" si="0"/>
        <v>5</v>
      </c>
    </row>
    <row r="76" spans="1:21" ht="15" customHeight="1" x14ac:dyDescent="0.25">
      <c r="A76" s="94">
        <f>IF(I76&lt;&gt;"",MAX(A$1:A75)+1,"")</f>
        <v>61</v>
      </c>
      <c r="B76" s="45" t="s">
        <v>368</v>
      </c>
      <c r="C76" t="s">
        <v>63</v>
      </c>
      <c r="D76">
        <f t="shared" si="9"/>
        <v>4</v>
      </c>
      <c r="E76" s="87" t="s">
        <v>472</v>
      </c>
      <c r="G76" s="11">
        <f>(ALGO_RUNNING_TIME_IGBTS_OFF_BELOW_MIN_SPEED/0.025)</f>
        <v>72</v>
      </c>
      <c r="H76" s="9" t="str">
        <f>IF(G76&lt;&gt;"",IF(C76="float32",FLOAT2HEX(G76),DEC2HEX(G76,8)),"")</f>
        <v>00000048</v>
      </c>
      <c r="I76" s="9">
        <f t="shared" si="0"/>
        <v>72</v>
      </c>
    </row>
    <row r="77" spans="1:21" s="59" customFormat="1" ht="15" customHeight="1" x14ac:dyDescent="0.25">
      <c r="A77" s="94">
        <f>IF(I77&lt;&gt;"",MAX(A$1:A76)+1,"")</f>
        <v>62</v>
      </c>
      <c r="B77" s="68" t="s">
        <v>612</v>
      </c>
      <c r="C77" s="59" t="s">
        <v>63</v>
      </c>
      <c r="D77" s="59">
        <f t="shared" si="9"/>
        <v>4</v>
      </c>
      <c r="E77" s="87" t="s">
        <v>1010</v>
      </c>
      <c r="G77" s="65">
        <f>ROUND((ALGO_RUNNING_LOCKED_ROTOR_START_OR_RUNNING * 1000), 0)</f>
        <v>4000</v>
      </c>
      <c r="H77" s="64" t="str">
        <f>IF(G77&lt;&gt;"",IF(C77="float32",FLOAT2HEX(G77),DEC2HEX(G77,8)),"")</f>
        <v>00000FA0</v>
      </c>
      <c r="I77" s="64">
        <f t="shared" ref="I77:I80" si="10">IF(G77&lt;&gt;"",HEX2DEC(H77),"")</f>
        <v>4000</v>
      </c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</row>
    <row r="78" spans="1:21" s="59" customFormat="1" ht="15" customHeight="1" x14ac:dyDescent="0.25">
      <c r="A78" s="94">
        <f>IF(I78&lt;&gt;"",MAX(A$1:A77)+1,"")</f>
        <v>63</v>
      </c>
      <c r="B78" s="68" t="s">
        <v>613</v>
      </c>
      <c r="C78" s="59" t="s">
        <v>63</v>
      </c>
      <c r="D78" s="59">
        <f t="shared" si="9"/>
        <v>4</v>
      </c>
      <c r="E78" s="60" t="s">
        <v>624</v>
      </c>
      <c r="G78" s="65">
        <f>ROUND((ALGO_RUNNING_LOCKED_ROTOR_STARTING_THRESHOLD / 0.005), 0)</f>
        <v>600</v>
      </c>
      <c r="H78" s="64" t="str">
        <f>IF(G78&lt;&gt;"",IF(C78="float32",FLOAT2HEX(G78),DEC2HEX(G78,8)),"")</f>
        <v>00000258</v>
      </c>
      <c r="I78" s="64">
        <f t="shared" si="10"/>
        <v>600</v>
      </c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</row>
    <row r="79" spans="1:21" s="59" customFormat="1" ht="15" customHeight="1" x14ac:dyDescent="0.25">
      <c r="A79" s="94">
        <f>IF(I79&lt;&gt;"",MAX(A$1:A78)+1,"")</f>
        <v>64</v>
      </c>
      <c r="B79" s="68" t="s">
        <v>614</v>
      </c>
      <c r="C79" s="59" t="s">
        <v>63</v>
      </c>
      <c r="D79" s="59">
        <f t="shared" si="9"/>
        <v>4</v>
      </c>
      <c r="E79" s="60" t="s">
        <v>625</v>
      </c>
      <c r="G79" s="65">
        <f>ROUND((ALGO_RUNNING_LOCKED_ROTOR_RUNNING_THRESHOLD / 0.005), 0)</f>
        <v>2000</v>
      </c>
      <c r="H79" s="64" t="str">
        <f>IF(G79&lt;&gt;"",IF(C79="float32",FLOAT2HEX(G79),DEC2HEX(G79,8)),"")</f>
        <v>000007D0</v>
      </c>
      <c r="I79" s="64">
        <f t="shared" si="10"/>
        <v>2000</v>
      </c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</row>
    <row r="80" spans="1:21" s="59" customFormat="1" ht="15" customHeight="1" x14ac:dyDescent="0.25">
      <c r="A80" s="94">
        <f>IF(I80&lt;&gt;"",MAX(A$1:A79)+1,"")</f>
        <v>65</v>
      </c>
      <c r="B80" s="68" t="s">
        <v>615</v>
      </c>
      <c r="C80" s="59" t="s">
        <v>57</v>
      </c>
      <c r="D80" s="59">
        <f t="shared" si="9"/>
        <v>4</v>
      </c>
      <c r="E80" s="87" t="s">
        <v>978</v>
      </c>
      <c r="G80" s="65">
        <f>ROUND(((ALGO_RUNNING_LOCKED_ROTOR_CURRENT_THRESHOLD*ALGO_RUNNING_LOCKED_ROTOR_CURRENT_THRESHOLD*32768*32768)/(BASE_CURRENT*BASE_CURRENT))*3/2, 0)</f>
        <v>1168001966</v>
      </c>
      <c r="H80" s="64" t="str">
        <f>IF(G80&lt;&gt;"",IF(C80="float32",FLOAT2HEX(G80),DEC2HEX(G80,8)),"")</f>
        <v>459E4BAE</v>
      </c>
      <c r="I80" s="64">
        <f t="shared" si="10"/>
        <v>1168001966</v>
      </c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</row>
    <row r="81" spans="1:21" ht="15" customHeight="1" x14ac:dyDescent="0.25">
      <c r="A81" s="94" t="str">
        <f>IF(I81&lt;&gt;"",MAX(A$1:A80)+1,"")</f>
        <v/>
      </c>
      <c r="B81" s="45"/>
      <c r="G81" s="11"/>
      <c r="H81" s="9" t="str">
        <f>IF(G81&lt;&gt;"",IF(C81="float32",FLOAT2HEX(G81),DEC2HEX(G81,8)),"")</f>
        <v/>
      </c>
      <c r="I81" s="9" t="str">
        <f t="shared" si="0"/>
        <v/>
      </c>
    </row>
    <row r="82" spans="1:21" s="9" customFormat="1" ht="20.100000000000001" customHeight="1" x14ac:dyDescent="0.25">
      <c r="A82" s="94" t="str">
        <f>IF(I82&lt;&gt;"",MAX(A$1:A81)+1,"")</f>
        <v/>
      </c>
      <c r="B82" s="44" t="s">
        <v>360</v>
      </c>
      <c r="C82" s="21"/>
      <c r="D82" s="21"/>
      <c r="E82" s="21" t="str">
        <f>IF(F82&lt;&gt;"",DEC2HEX(F82,4),"")</f>
        <v/>
      </c>
      <c r="F82" s="21"/>
      <c r="G82" s="21" t="str">
        <f>IF(F82&lt;&gt;"",DEC2HEX(F82,4),"")</f>
        <v/>
      </c>
      <c r="H82" s="21" t="str">
        <f>IF(G82&lt;&gt;"",DEC2HEX(G82,4),"")</f>
        <v/>
      </c>
      <c r="I82" s="21"/>
      <c r="J82" s="16"/>
      <c r="K82" s="16"/>
      <c r="L82" s="16"/>
      <c r="M82" s="13"/>
      <c r="N82" s="13"/>
      <c r="O82" s="13"/>
      <c r="P82" s="13"/>
      <c r="Q82" s="13"/>
      <c r="R82" s="13"/>
      <c r="S82" s="13"/>
      <c r="T82" s="13"/>
      <c r="U82" s="13"/>
    </row>
    <row r="83" spans="1:21" ht="15" customHeight="1" x14ac:dyDescent="0.25">
      <c r="A83" s="94">
        <f>IF(I83&lt;&gt;"",MAX(A$1:A82)+1,"")</f>
        <v>66</v>
      </c>
      <c r="B83" s="45" t="s">
        <v>362</v>
      </c>
      <c r="C83" t="s">
        <v>63</v>
      </c>
      <c r="D83">
        <f>IF(OR(C83="sint64",C83="uint64",C83="double64"), 8, IF(OR(C83="sint32",C83="uint32",C83="float32"),4,IF(OR(C83="sint16",C83="uint16"),2,  IF(OR(C83="sint8",C83="uint8"),1,""))))</f>
        <v>4</v>
      </c>
      <c r="E83" s="87" t="s">
        <v>473</v>
      </c>
      <c r="G83">
        <f>ROUND((ALGO_BUILD_FLUX_STARTING_TIME/ALGO_BUILD_FLUX_TS),0)</f>
        <v>8000</v>
      </c>
      <c r="H83" s="9" t="str">
        <f>IF(G83&lt;&gt;"",IF(C83="float32",FLOAT2HEX(G83),DEC2HEX(G83,8)),"")</f>
        <v>00001F40</v>
      </c>
      <c r="I83" s="9">
        <f t="shared" si="0"/>
        <v>8000</v>
      </c>
      <c r="J83"/>
      <c r="K83"/>
      <c r="L83"/>
      <c r="M83"/>
      <c r="N83"/>
      <c r="O83"/>
      <c r="P83"/>
      <c r="Q83"/>
      <c r="R83"/>
      <c r="S83"/>
      <c r="T83"/>
      <c r="U83"/>
    </row>
    <row r="84" spans="1:21" ht="15" customHeight="1" x14ac:dyDescent="0.25">
      <c r="A84" s="94">
        <f>IF(I84&lt;&gt;"",MAX(A$1:A83)+1,"")</f>
        <v>67</v>
      </c>
      <c r="B84" s="45" t="s">
        <v>363</v>
      </c>
      <c r="C84" t="s">
        <v>57</v>
      </c>
      <c r="D84">
        <f>IF(OR(C84="sint64",C84="uint64",C84="double64"), 8, IF(OR(C84="sint32",C84="uint32",C84="float32"),4,IF(OR(C84="sint16",C84="uint16"),2,  IF(OR(C84="sint8",C84="uint8"),1,""))))</f>
        <v>4</v>
      </c>
      <c r="E84" s="2" t="s">
        <v>474</v>
      </c>
      <c r="G84" s="49">
        <f>ROUND((ALGO_BUILD_FLUX_MIN_CURRENT*(32768/BASE_CURRENT)),0)</f>
        <v>2990</v>
      </c>
      <c r="H84" s="9" t="str">
        <f>IF(G84&lt;&gt;"",IF(C84="float32",FLOAT2HEX(G84),DEC2HEX(G84,8)),"")</f>
        <v>00000BAE</v>
      </c>
      <c r="I84" s="9">
        <f t="shared" si="0"/>
        <v>2990</v>
      </c>
      <c r="J84"/>
      <c r="K84"/>
      <c r="L84"/>
      <c r="M84"/>
      <c r="N84"/>
      <c r="O84"/>
      <c r="P84"/>
      <c r="Q84"/>
      <c r="R84"/>
      <c r="S84"/>
      <c r="T84"/>
      <c r="U84"/>
    </row>
    <row r="85" spans="1:21" ht="15" customHeight="1" x14ac:dyDescent="0.25">
      <c r="A85" s="94">
        <f>IF(I85&lt;&gt;"",MAX(A$1:A84)+1,"")</f>
        <v>68</v>
      </c>
      <c r="B85" s="45" t="s">
        <v>361</v>
      </c>
      <c r="C85" t="s">
        <v>57</v>
      </c>
      <c r="D85">
        <f>IF(OR(C85="sint64",C85="uint64",C85="double64"), 8, IF(OR(C85="sint32",C85="uint32",C85="float32"),4,IF(OR(C85="sint16",C85="uint16"),2,  IF(OR(C85="sint8",C85="uint8"),1,""))))</f>
        <v>4</v>
      </c>
      <c r="E85" s="2" t="s">
        <v>475</v>
      </c>
      <c r="G85">
        <f>ROUND(((ALGO_BUILD_FLUX_RATIO_2_FORCE_FLUX/100)*ROTOR_LAMBDAM)*(32768/BASE_FLUX),0)</f>
        <v>11095</v>
      </c>
      <c r="H85" s="9" t="str">
        <f>IF(G85&lt;&gt;"",IF(C85="float32",FLOAT2HEX(G85),DEC2HEX(G85,8)),"")</f>
        <v>00002B57</v>
      </c>
      <c r="I85" s="9">
        <f t="shared" si="0"/>
        <v>11095</v>
      </c>
      <c r="J85"/>
      <c r="K85"/>
      <c r="L85"/>
      <c r="M85"/>
      <c r="N85"/>
      <c r="O85"/>
      <c r="P85"/>
      <c r="Q85"/>
      <c r="R85"/>
      <c r="S85"/>
      <c r="T85"/>
      <c r="U85"/>
    </row>
    <row r="86" spans="1:21" ht="15" customHeight="1" x14ac:dyDescent="0.25">
      <c r="A86" s="94">
        <f>IF(I86&lt;&gt;"",MAX(A$1:A85)+1,"")</f>
        <v>69</v>
      </c>
      <c r="B86" s="45" t="s">
        <v>364</v>
      </c>
      <c r="C86" t="s">
        <v>57</v>
      </c>
      <c r="D86">
        <f>IF(OR(C86="sint64",C86="uint64",C86="double64"), 8, IF(OR(C86="sint32",C86="uint32",C86="float32"),4,IF(OR(C86="sint16",C86="uint16"),2,  IF(OR(C86="sint8",C86="uint8"),1,""))))</f>
        <v>4</v>
      </c>
      <c r="E86" s="2" t="s">
        <v>476</v>
      </c>
      <c r="G86">
        <f>ROUND(ALGO_BUILD_FLUX_INCREMENT/BASE_FLUX*32768,0)</f>
        <v>2</v>
      </c>
      <c r="H86" s="9" t="str">
        <f>IF(G86&lt;&gt;"",IF(C86="float32",FLOAT2HEX(G86),DEC2HEX(G86,8)),"")</f>
        <v>00000002</v>
      </c>
      <c r="I86" s="9">
        <f t="shared" si="0"/>
        <v>2</v>
      </c>
      <c r="J86"/>
      <c r="K86"/>
      <c r="L86"/>
      <c r="M86"/>
      <c r="N86"/>
      <c r="O86"/>
      <c r="P86"/>
      <c r="Q86"/>
      <c r="R86"/>
      <c r="S86"/>
      <c r="T86"/>
      <c r="U86"/>
    </row>
    <row r="87" spans="1:21" ht="15" customHeight="1" x14ac:dyDescent="0.25">
      <c r="A87" s="94" t="str">
        <f>IF(I87&lt;&gt;"",MAX(A$1:A86)+1,"")</f>
        <v/>
      </c>
      <c r="B87" s="45"/>
      <c r="D87" t="str">
        <f>IF(OR(C87="sint64",C87="uint64",C87="double64"), 8, IF(OR(C87="sint32",C87="uint32",C87="float32"),4,IF(OR(C87="sint16",C87="uint16"),2,  IF(OR(C87="sint8",C87="uint8"),1,""))))</f>
        <v/>
      </c>
      <c r="H87" s="9" t="str">
        <f>IF(G87&lt;&gt;"",IF(C87="float32",FLOAT2HEX(G87),DEC2HEX(G87,8)),"")</f>
        <v/>
      </c>
      <c r="I87" s="9" t="str">
        <f t="shared" si="0"/>
        <v/>
      </c>
      <c r="J87"/>
      <c r="K87"/>
      <c r="L87"/>
      <c r="M87"/>
      <c r="N87"/>
      <c r="O87"/>
      <c r="P87"/>
      <c r="Q87"/>
      <c r="R87"/>
      <c r="S87"/>
      <c r="T87"/>
      <c r="U87"/>
    </row>
    <row r="88" spans="1:21" s="9" customFormat="1" ht="20.100000000000001" customHeight="1" x14ac:dyDescent="0.25">
      <c r="A88" s="94" t="str">
        <f>IF(I88&lt;&gt;"",MAX(A$1:A87)+1,"")</f>
        <v/>
      </c>
      <c r="B88" s="44" t="s">
        <v>104</v>
      </c>
      <c r="C88" s="21"/>
      <c r="D88" s="21"/>
      <c r="E88" s="21"/>
      <c r="F88" s="21"/>
      <c r="G88" s="21"/>
      <c r="H88" s="21" t="str">
        <f>IF(G88&lt;&gt;"",DEC2HEX(G88,4),"")</f>
        <v/>
      </c>
      <c r="I88" s="21"/>
      <c r="J88" s="16"/>
      <c r="K88" s="16"/>
      <c r="L88" s="16"/>
      <c r="M88" s="13"/>
      <c r="N88" s="13"/>
      <c r="O88" s="13"/>
      <c r="P88" s="13"/>
      <c r="Q88" s="13"/>
      <c r="R88" s="13"/>
      <c r="S88" s="13"/>
      <c r="T88" s="13"/>
      <c r="U88" s="13"/>
    </row>
    <row r="89" spans="1:21" ht="15" customHeight="1" x14ac:dyDescent="0.25">
      <c r="A89" s="94">
        <f>IF(I89&lt;&gt;"",MAX(A$1:A88)+1,"")</f>
        <v>70</v>
      </c>
      <c r="B89" s="45" t="s">
        <v>105</v>
      </c>
      <c r="C89" t="s">
        <v>57</v>
      </c>
      <c r="D89">
        <f t="shared" ref="D89:D118" si="11">IF(OR(C89="sint64",C89="uint64",C89="double64"), 8, IF(OR(C89="sint32",C89="uint32",C89="float32"),4,IF(OR(C89="sint16",C89="uint16"),2,  IF(OR(C89="sint8",C89="uint8"),1,""))))</f>
        <v>4</v>
      </c>
      <c r="E89" s="87" t="s">
        <v>477</v>
      </c>
      <c r="G89" s="11">
        <f>ROUND((ALGO_RES_EST_TIMEOUT_THRESHOLD * (1/ALGO_RES_EST_TS)),0)</f>
        <v>2500</v>
      </c>
      <c r="H89" s="9" t="str">
        <f>IF(G89&lt;&gt;"",IF(C89="float32",FLOAT2HEX(G89),DEC2HEX(G89,8)),"")</f>
        <v>000009C4</v>
      </c>
      <c r="I89" s="9">
        <f t="shared" si="0"/>
        <v>2500</v>
      </c>
    </row>
    <row r="90" spans="1:21" ht="15" customHeight="1" x14ac:dyDescent="0.25">
      <c r="A90" s="94">
        <f>IF(I90&lt;&gt;"",MAX(A$1:A89)+1,"")</f>
        <v>71</v>
      </c>
      <c r="B90" s="45" t="s">
        <v>106</v>
      </c>
      <c r="C90" t="s">
        <v>57</v>
      </c>
      <c r="D90">
        <f t="shared" si="11"/>
        <v>4</v>
      </c>
      <c r="E90" s="2" t="s">
        <v>478</v>
      </c>
      <c r="G90" s="11">
        <f>ROUND((ALGO_RES_EST_CURR_1ST_PLATEAU/BASE_CURRENT)*32768,0)</f>
        <v>15945</v>
      </c>
      <c r="H90" s="9" t="str">
        <f>IF(G90&lt;&gt;"",IF(C90="float32",FLOAT2HEX(G90),DEC2HEX(G90,8)),"")</f>
        <v>00003E49</v>
      </c>
      <c r="I90" s="9">
        <f t="shared" si="0"/>
        <v>15945</v>
      </c>
    </row>
    <row r="91" spans="1:21" ht="15" customHeight="1" x14ac:dyDescent="0.25">
      <c r="A91" s="94">
        <f>IF(I91&lt;&gt;"",MAX(A$1:A90)+1,"")</f>
        <v>72</v>
      </c>
      <c r="B91" s="45" t="s">
        <v>107</v>
      </c>
      <c r="C91" t="s">
        <v>57</v>
      </c>
      <c r="D91">
        <f t="shared" si="11"/>
        <v>4</v>
      </c>
      <c r="E91" s="2" t="s">
        <v>479</v>
      </c>
      <c r="G91" s="11">
        <f>ROUND((ALGO_RES_EST_CURR_2ND_PLATEAU/BASE_CURRENT)*32768,0)</f>
        <v>19932</v>
      </c>
      <c r="H91" s="9" t="str">
        <f>IF(G91&lt;&gt;"",IF(C91="float32",FLOAT2HEX(G91),DEC2HEX(G91,8)),"")</f>
        <v>00004DDC</v>
      </c>
      <c r="I91" s="9">
        <f t="shared" ref="I91:I131" si="12">IF(G91&lt;&gt;"",HEX2DEC(H91),"")</f>
        <v>19932</v>
      </c>
    </row>
    <row r="92" spans="1:21" ht="15" customHeight="1" x14ac:dyDescent="0.25">
      <c r="A92" s="94">
        <f>IF(I92&lt;&gt;"",MAX(A$1:A91)+1,"")</f>
        <v>73</v>
      </c>
      <c r="B92" s="45" t="s">
        <v>108</v>
      </c>
      <c r="C92" t="s">
        <v>57</v>
      </c>
      <c r="D92">
        <f t="shared" si="11"/>
        <v>4</v>
      </c>
      <c r="E92" s="2" t="s">
        <v>480</v>
      </c>
      <c r="G92" s="11">
        <f>ROUND((ALGO_RES_EST_CURR_3RD_PLATEAU/BASE_CURRENT)*32768,0)</f>
        <v>3986</v>
      </c>
      <c r="H92" s="9" t="str">
        <f>IF(G92&lt;&gt;"",IF(C92="float32",FLOAT2HEX(G92),DEC2HEX(G92,8)),"")</f>
        <v>00000F92</v>
      </c>
      <c r="I92" s="9">
        <f t="shared" si="12"/>
        <v>3986</v>
      </c>
    </row>
    <row r="93" spans="1:21" ht="15" customHeight="1" x14ac:dyDescent="0.25">
      <c r="A93" s="94">
        <f>IF(I93&lt;&gt;"",MAX(A$1:A92)+1,"")</f>
        <v>74</v>
      </c>
      <c r="B93" s="45" t="s">
        <v>109</v>
      </c>
      <c r="C93" t="s">
        <v>57</v>
      </c>
      <c r="D93">
        <f t="shared" si="11"/>
        <v>4</v>
      </c>
      <c r="E93" s="2" t="s">
        <v>481</v>
      </c>
      <c r="G93" s="11">
        <f>ROUND(ALGO_RES_EST_1ST_PLATEAU_TIME/ALGO_RES_EST_TS,0)</f>
        <v>600</v>
      </c>
      <c r="H93" s="9" t="str">
        <f>IF(G93&lt;&gt;"",IF(C93="float32",FLOAT2HEX(G93),DEC2HEX(G93,8)),"")</f>
        <v>00000258</v>
      </c>
      <c r="I93" s="9">
        <f t="shared" si="12"/>
        <v>600</v>
      </c>
    </row>
    <row r="94" spans="1:21" ht="15" customHeight="1" x14ac:dyDescent="0.25">
      <c r="A94" s="94">
        <f>IF(I94&lt;&gt;"",MAX(A$1:A93)+1,"")</f>
        <v>75</v>
      </c>
      <c r="B94" s="45" t="s">
        <v>110</v>
      </c>
      <c r="C94" t="s">
        <v>57</v>
      </c>
      <c r="D94">
        <f t="shared" si="11"/>
        <v>4</v>
      </c>
      <c r="E94" s="2" t="s">
        <v>482</v>
      </c>
      <c r="G94" s="11">
        <f>ROUND(ALGO_RES_EST_2ND_PLATEAU_TIME/ALGO_RES_EST_TS,0)</f>
        <v>600</v>
      </c>
      <c r="H94" s="9" t="str">
        <f>IF(G94&lt;&gt;"",IF(C94="float32",FLOAT2HEX(G94),DEC2HEX(G94,8)),"")</f>
        <v>00000258</v>
      </c>
      <c r="I94" s="9">
        <f t="shared" si="12"/>
        <v>600</v>
      </c>
    </row>
    <row r="95" spans="1:21" ht="15" customHeight="1" x14ac:dyDescent="0.25">
      <c r="A95" s="94">
        <f>IF(I95&lt;&gt;"",MAX(A$1:A94)+1,"")</f>
        <v>76</v>
      </c>
      <c r="B95" s="45" t="s">
        <v>111</v>
      </c>
      <c r="C95" t="s">
        <v>57</v>
      </c>
      <c r="D95">
        <f t="shared" si="11"/>
        <v>4</v>
      </c>
      <c r="E95" s="2" t="s">
        <v>483</v>
      </c>
      <c r="G95" s="11">
        <f>ROUND(ALGO_RES_EST_3RD_PLATEAU_TIME/ALGO_RES_EST_TS,0)</f>
        <v>400</v>
      </c>
      <c r="H95" s="9" t="str">
        <f>IF(G95&lt;&gt;"",IF(C95="float32",FLOAT2HEX(G95),DEC2HEX(G95,8)),"")</f>
        <v>00000190</v>
      </c>
      <c r="I95" s="9">
        <f t="shared" si="12"/>
        <v>400</v>
      </c>
    </row>
    <row r="96" spans="1:21" ht="15" customHeight="1" x14ac:dyDescent="0.25">
      <c r="A96" s="94">
        <f>IF(I96&lt;&gt;"",MAX(A$1:A95)+1,"")</f>
        <v>77</v>
      </c>
      <c r="B96" s="45" t="s">
        <v>112</v>
      </c>
      <c r="C96" t="s">
        <v>57</v>
      </c>
      <c r="D96">
        <f t="shared" si="11"/>
        <v>4</v>
      </c>
      <c r="E96" s="2" t="s">
        <v>484</v>
      </c>
      <c r="G96" s="11">
        <f>ROUND((ALGO_RES_EST_VOLTAGE_STEP_1ST_PLATEAU/BASE_VOLTAGE)*32768,0)</f>
        <v>10</v>
      </c>
      <c r="H96" s="9" t="str">
        <f>IF(G96&lt;&gt;"",IF(C96="float32",FLOAT2HEX(G96),DEC2HEX(G96,8)),"")</f>
        <v>0000000A</v>
      </c>
      <c r="I96" s="9">
        <f t="shared" si="12"/>
        <v>10</v>
      </c>
    </row>
    <row r="97" spans="1:21" ht="15" customHeight="1" x14ac:dyDescent="0.25">
      <c r="A97" s="94">
        <f>IF(I97&lt;&gt;"",MAX(A$1:A96)+1,"")</f>
        <v>78</v>
      </c>
      <c r="B97" s="45" t="s">
        <v>113</v>
      </c>
      <c r="C97" t="s">
        <v>57</v>
      </c>
      <c r="D97">
        <f t="shared" si="11"/>
        <v>4</v>
      </c>
      <c r="E97" s="2" t="s">
        <v>485</v>
      </c>
      <c r="G97" s="11">
        <f>ROUND((ALGO_RES_EST_VOLTAGE_STEP_2ND_PLATEAU/BASE_VOLTAGE)*32768,0)</f>
        <v>10</v>
      </c>
      <c r="H97" s="9" t="str">
        <f>IF(G97&lt;&gt;"",IF(C97="float32",FLOAT2HEX(G97),DEC2HEX(G97,8)),"")</f>
        <v>0000000A</v>
      </c>
      <c r="I97" s="9">
        <f t="shared" si="12"/>
        <v>10</v>
      </c>
    </row>
    <row r="98" spans="1:21" ht="15" customHeight="1" x14ac:dyDescent="0.25">
      <c r="A98" s="94">
        <f>IF(I98&lt;&gt;"",MAX(A$1:A97)+1,"")</f>
        <v>79</v>
      </c>
      <c r="B98" s="45" t="s">
        <v>114</v>
      </c>
      <c r="C98" t="s">
        <v>57</v>
      </c>
      <c r="D98">
        <f t="shared" si="11"/>
        <v>4</v>
      </c>
      <c r="E98" s="2" t="s">
        <v>486</v>
      </c>
      <c r="G98">
        <f>ROUND((ALGO_RES_EST_VOLTAGE_STEP_3RD_PLATEAU/BASE_VOLTAGE)*32768,0)</f>
        <v>10</v>
      </c>
      <c r="H98" s="9" t="str">
        <f>IF(G98&lt;&gt;"",IF(C98="float32",FLOAT2HEX(G98),DEC2HEX(G98,8)),"")</f>
        <v>0000000A</v>
      </c>
      <c r="I98" s="9">
        <f t="shared" si="12"/>
        <v>10</v>
      </c>
      <c r="J98"/>
      <c r="K98"/>
      <c r="L98"/>
      <c r="M98"/>
      <c r="N98"/>
      <c r="O98"/>
      <c r="P98"/>
      <c r="Q98"/>
      <c r="R98"/>
      <c r="S98"/>
      <c r="T98"/>
      <c r="U98"/>
    </row>
    <row r="99" spans="1:21" ht="15" customHeight="1" x14ac:dyDescent="0.25">
      <c r="A99" s="94">
        <f>IF(I99&lt;&gt;"",MAX(A$1:A98)+1,"")</f>
        <v>80</v>
      </c>
      <c r="B99" s="45" t="s">
        <v>115</v>
      </c>
      <c r="C99" t="s">
        <v>57</v>
      </c>
      <c r="D99">
        <f t="shared" si="11"/>
        <v>4</v>
      </c>
      <c r="E99" s="2" t="s">
        <v>487</v>
      </c>
      <c r="G99">
        <f>ROUND(ALGO_RES_EST_OSCILLATION_CHECK_TIME/ALGO_RES_EST_TS,0)</f>
        <v>100</v>
      </c>
      <c r="H99" s="9" t="str">
        <f>IF(G99&lt;&gt;"",IF(C99="float32",FLOAT2HEX(G99),DEC2HEX(G99,8)),"")</f>
        <v>00000064</v>
      </c>
      <c r="I99" s="9">
        <f t="shared" si="12"/>
        <v>100</v>
      </c>
      <c r="J99"/>
      <c r="K99"/>
      <c r="L99"/>
      <c r="M99"/>
      <c r="N99"/>
      <c r="O99"/>
      <c r="P99"/>
      <c r="Q99"/>
      <c r="R99"/>
      <c r="S99"/>
      <c r="T99"/>
      <c r="U99"/>
    </row>
    <row r="100" spans="1:21" ht="15" customHeight="1" x14ac:dyDescent="0.25">
      <c r="A100" s="94">
        <f>IF(I100&lt;&gt;"",MAX(A$1:A99)+1,"")</f>
        <v>81</v>
      </c>
      <c r="B100" s="45" t="s">
        <v>116</v>
      </c>
      <c r="C100" t="s">
        <v>57</v>
      </c>
      <c r="D100">
        <f t="shared" si="11"/>
        <v>4</v>
      </c>
      <c r="E100" s="2" t="s">
        <v>488</v>
      </c>
      <c r="G100">
        <f>ROUND(ALGO_RES_EST_NUMBER_OF_SAMPLES,0)</f>
        <v>300</v>
      </c>
      <c r="H100" s="9" t="str">
        <f>IF(G100&lt;&gt;"",IF(C100="float32",FLOAT2HEX(G100),DEC2HEX(G100,8)),"")</f>
        <v>0000012C</v>
      </c>
      <c r="I100" s="9">
        <f t="shared" si="12"/>
        <v>300</v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ht="15" customHeight="1" x14ac:dyDescent="0.25">
      <c r="A101" s="94">
        <f>IF(I101&lt;&gt;"",MAX(A$1:A100)+1,"")</f>
        <v>82</v>
      </c>
      <c r="B101" s="45" t="s">
        <v>117</v>
      </c>
      <c r="C101" t="s">
        <v>57</v>
      </c>
      <c r="D101">
        <f t="shared" si="11"/>
        <v>4</v>
      </c>
      <c r="E101" s="2" t="s">
        <v>489</v>
      </c>
      <c r="G101">
        <f>ROUND((ALGO_RES_EST_STATOR_RESISTANCE/BASE_Z)*32768,0)</f>
        <v>2946</v>
      </c>
      <c r="H101" s="9" t="str">
        <f>IF(G101&lt;&gt;"",IF(C101="float32",FLOAT2HEX(G101),DEC2HEX(G101,8)),"")</f>
        <v>00000B82</v>
      </c>
      <c r="I101" s="9">
        <f t="shared" si="12"/>
        <v>2946</v>
      </c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ht="15" customHeight="1" x14ac:dyDescent="0.25">
      <c r="A102" s="94">
        <f>IF(I102&lt;&gt;"",MAX(A$1:A101)+1,"")</f>
        <v>83</v>
      </c>
      <c r="B102" s="45" t="s">
        <v>118</v>
      </c>
      <c r="C102" t="s">
        <v>63</v>
      </c>
      <c r="D102">
        <f t="shared" si="11"/>
        <v>4</v>
      </c>
      <c r="E102" s="2" t="s">
        <v>490</v>
      </c>
      <c r="G102">
        <f>ROUND(((4 - ALGO_RES_EST_TIMEOUT_1ST_PLATEAU) / ALGO_RES_EST_TS),0)</f>
        <v>1000</v>
      </c>
      <c r="H102" s="9" t="str">
        <f>IF(G102&lt;&gt;"",IF(C102="float32",FLOAT2HEX(G102),DEC2HEX(G102,8)),"")</f>
        <v>000003E8</v>
      </c>
      <c r="I102" s="9">
        <f t="shared" si="12"/>
        <v>1000</v>
      </c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ht="15" customHeight="1" x14ac:dyDescent="0.25">
      <c r="A103" s="94">
        <f>IF(I103&lt;&gt;"",MAX(A$1:A102)+1,"")</f>
        <v>84</v>
      </c>
      <c r="B103" s="45" t="s">
        <v>119</v>
      </c>
      <c r="C103" t="s">
        <v>63</v>
      </c>
      <c r="D103">
        <f t="shared" si="11"/>
        <v>4</v>
      </c>
      <c r="E103" s="2" t="s">
        <v>491</v>
      </c>
      <c r="G103">
        <f>ROUND(((4 - ALGO_RES_EST_TIMEOUT_2ND_PLATEAU) / ALGO_RES_EST_TS),0)</f>
        <v>500</v>
      </c>
      <c r="H103" s="9" t="str">
        <f>IF(G103&lt;&gt;"",IF(C103="float32",FLOAT2HEX(G103),DEC2HEX(G103,8)),"")</f>
        <v>000001F4</v>
      </c>
      <c r="I103" s="9">
        <f t="shared" si="12"/>
        <v>500</v>
      </c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ht="15" customHeight="1" x14ac:dyDescent="0.25">
      <c r="A104" s="94">
        <f>IF(I104&lt;&gt;"",MAX(A$1:A103)+1,"")</f>
        <v>85</v>
      </c>
      <c r="B104" s="45" t="s">
        <v>120</v>
      </c>
      <c r="C104" t="s">
        <v>57</v>
      </c>
      <c r="D104">
        <f t="shared" si="11"/>
        <v>4</v>
      </c>
      <c r="E104" s="2" t="s">
        <v>492</v>
      </c>
      <c r="G104">
        <f>ROUND((ALGO_RES_EST_OSCILLATION_SPEED_THRESHOLD/BASE_SPEED_RPM)*32768,0)</f>
        <v>4</v>
      </c>
      <c r="H104" s="9" t="str">
        <f>IF(G104&lt;&gt;"",IF(C104="float32",FLOAT2HEX(G104),DEC2HEX(G104,8)),"")</f>
        <v>00000004</v>
      </c>
      <c r="I104" s="9">
        <f t="shared" si="12"/>
        <v>4</v>
      </c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ht="15" customHeight="1" x14ac:dyDescent="0.25">
      <c r="A105" s="94">
        <f>IF(I105&lt;&gt;"",MAX(A$1:A104)+1,"")</f>
        <v>86</v>
      </c>
      <c r="B105" s="45" t="s">
        <v>121</v>
      </c>
      <c r="C105" t="s">
        <v>63</v>
      </c>
      <c r="D105">
        <f t="shared" si="11"/>
        <v>4</v>
      </c>
      <c r="E105" s="2" t="s">
        <v>493</v>
      </c>
      <c r="G105">
        <f>ROUND((4 / ALGO_RES_EST_TS),0)</f>
        <v>4000</v>
      </c>
      <c r="H105" s="9" t="str">
        <f>IF(G105&lt;&gt;"",IF(C105="float32",FLOAT2HEX(G105),DEC2HEX(G105,8)),"")</f>
        <v>00000FA0</v>
      </c>
      <c r="I105" s="9">
        <f t="shared" si="12"/>
        <v>4000</v>
      </c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ht="15" customHeight="1" x14ac:dyDescent="0.25">
      <c r="A106" s="94">
        <f>IF(I106&lt;&gt;"",MAX(A$1:A105)+1,"")</f>
        <v>87</v>
      </c>
      <c r="B106" s="45" t="s">
        <v>122</v>
      </c>
      <c r="C106" t="s">
        <v>63</v>
      </c>
      <c r="D106">
        <f t="shared" si="11"/>
        <v>4</v>
      </c>
      <c r="E106" s="87" t="s">
        <v>494</v>
      </c>
      <c r="G106">
        <f>ROUND(ALGO_RES_EST_TS/ALGO_RES_EST_HANDLER_TS,0)-1</f>
        <v>7</v>
      </c>
      <c r="H106" s="9" t="str">
        <f>IF(G106&lt;&gt;"",IF(C106="float32",FLOAT2HEX(G106),DEC2HEX(G106,8)),"")</f>
        <v>00000007</v>
      </c>
      <c r="I106" s="9">
        <f t="shared" si="12"/>
        <v>7</v>
      </c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ht="15" customHeight="1" x14ac:dyDescent="0.25">
      <c r="A107" s="94">
        <f>IF(I107&lt;&gt;"",MAX(A$1:A106)+1,"")</f>
        <v>88</v>
      </c>
      <c r="B107" s="95" t="s">
        <v>123</v>
      </c>
      <c r="C107" t="s">
        <v>57</v>
      </c>
      <c r="D107">
        <f t="shared" si="11"/>
        <v>4</v>
      </c>
      <c r="E107" s="52" t="s">
        <v>607</v>
      </c>
      <c r="G107">
        <f>ROUND((ALGO_RES_EST_SPEED_TO_MEAS_AGAIN),0)</f>
        <v>1710</v>
      </c>
      <c r="H107" s="9" t="str">
        <f>IF(G107&lt;&gt;"",IF(C107="float32",FLOAT2HEX(G107),DEC2HEX(G107,8)),"")</f>
        <v>000006AE</v>
      </c>
      <c r="I107" s="9">
        <f t="shared" si="12"/>
        <v>1710</v>
      </c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ht="15" customHeight="1" x14ac:dyDescent="0.25">
      <c r="A108" s="94">
        <f>IF(I108&lt;&gt;"",MAX(A$1:A107)+1,"")</f>
        <v>89</v>
      </c>
      <c r="B108" s="45" t="s">
        <v>124</v>
      </c>
      <c r="C108" t="s">
        <v>63</v>
      </c>
      <c r="D108">
        <f t="shared" si="11"/>
        <v>4</v>
      </c>
      <c r="E108" s="2" t="s">
        <v>495</v>
      </c>
      <c r="G108">
        <f>ROUND((ALGO_RES_EST_TIME_BETWEEN_MEAS_AFTER_RESET*60)/0.025,0)</f>
        <v>2400</v>
      </c>
      <c r="H108" s="9" t="str">
        <f>IF(G108&lt;&gt;"",IF(C108="float32",FLOAT2HEX(G108),DEC2HEX(G108,8)),"")</f>
        <v>00000960</v>
      </c>
      <c r="I108" s="9">
        <f t="shared" si="12"/>
        <v>2400</v>
      </c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ht="15" customHeight="1" x14ac:dyDescent="0.25">
      <c r="A109" s="94">
        <f>IF(I109&lt;&gt;"",MAX(A$1:A108)+1,"")</f>
        <v>90</v>
      </c>
      <c r="B109" s="45" t="s">
        <v>125</v>
      </c>
      <c r="C109" t="s">
        <v>63</v>
      </c>
      <c r="D109">
        <f t="shared" si="11"/>
        <v>4</v>
      </c>
      <c r="E109" s="2" t="s">
        <v>496</v>
      </c>
      <c r="G109">
        <f>ROUND(ALGO_RES_EST_NR_OF_ESTIMATION_AFTER_RESET,0)</f>
        <v>3</v>
      </c>
      <c r="H109" s="9" t="str">
        <f>IF(G109&lt;&gt;"",IF(C109="float32",FLOAT2HEX(G109),DEC2HEX(G109,8)),"")</f>
        <v>00000003</v>
      </c>
      <c r="I109" s="9">
        <f t="shared" si="12"/>
        <v>3</v>
      </c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ht="15" customHeight="1" x14ac:dyDescent="0.25">
      <c r="A110" s="94">
        <f>IF(I110&lt;&gt;"",MAX(A$1:A109)+1,"")</f>
        <v>91</v>
      </c>
      <c r="B110" s="57" t="s">
        <v>608</v>
      </c>
      <c r="C110" t="s">
        <v>63</v>
      </c>
      <c r="D110">
        <f t="shared" si="11"/>
        <v>4</v>
      </c>
      <c r="E110" s="87" t="s">
        <v>497</v>
      </c>
      <c r="G110">
        <f>ROUND((ALGO_RES_EST_TIME_BETWEEN_MEAS_NORMAL_OPERATION*60)/0.025,0)</f>
        <v>12000</v>
      </c>
      <c r="H110" s="9" t="str">
        <f>IF(G110&lt;&gt;"",IF(C110="float32",FLOAT2HEX(G110),DEC2HEX(G110,8)),"")</f>
        <v>00002EE0</v>
      </c>
      <c r="I110" s="9">
        <f t="shared" si="12"/>
        <v>12000</v>
      </c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ht="15" customHeight="1" x14ac:dyDescent="0.25">
      <c r="A111" s="94">
        <f>IF(I111&lt;&gt;"",MAX(A$1:A110)+1,"")</f>
        <v>92</v>
      </c>
      <c r="B111" s="45" t="s">
        <v>126</v>
      </c>
      <c r="C111" t="s">
        <v>63</v>
      </c>
      <c r="D111">
        <f t="shared" si="11"/>
        <v>4</v>
      </c>
      <c r="E111" s="2" t="s">
        <v>498</v>
      </c>
      <c r="G111">
        <f>ROUND(ALGO_RES_EST_NR_OF_ESTIMATION_IN_ROW_AFTER_SPIN,0)</f>
        <v>3</v>
      </c>
      <c r="H111" s="9" t="str">
        <f>IF(G111&lt;&gt;"",IF(C111="float32",FLOAT2HEX(G111),DEC2HEX(G111,8)),"")</f>
        <v>00000003</v>
      </c>
      <c r="I111" s="9">
        <f t="shared" si="12"/>
        <v>3</v>
      </c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ht="15" customHeight="1" x14ac:dyDescent="0.25">
      <c r="A112" s="79"/>
      <c r="B112" s="47"/>
      <c r="E112" s="58"/>
      <c r="H112" s="9"/>
      <c r="I112" s="9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ht="15" customHeight="1" x14ac:dyDescent="0.25">
      <c r="A113" s="79" t="str">
        <f>IF(I113&lt;&gt;"",MAX(A$1:A112)+1,"")</f>
        <v/>
      </c>
      <c r="B113" s="45"/>
      <c r="H113" s="9" t="str">
        <f>IF(G113&lt;&gt;"",IF(C113="float32",FLOAT2HEX(G113),DEC2HEX(G113,8)),"")</f>
        <v/>
      </c>
      <c r="I113" s="9" t="str">
        <f>IF(G113&lt;&gt;"",HEX2DEC(H113),"")</f>
        <v/>
      </c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ht="15" customHeight="1" x14ac:dyDescent="0.25">
      <c r="A114" s="79">
        <f>IF(I114&lt;&gt;"",MAX(A$1:A113)+1,"")</f>
        <v>93</v>
      </c>
      <c r="B114" s="45" t="s">
        <v>370</v>
      </c>
      <c r="C114" t="s">
        <v>57</v>
      </c>
      <c r="D114">
        <f t="shared" si="11"/>
        <v>4</v>
      </c>
      <c r="E114" s="2" t="s">
        <v>499</v>
      </c>
      <c r="G114">
        <f>ROUND((32768*ALGO_RES_EST_RS_FROM_BASE_TEMP)/BASE_Z,0)</f>
        <v>2946</v>
      </c>
      <c r="H114" s="9" t="str">
        <f>IF(G114&lt;&gt;"",IF(C114="float32",FLOAT2HEX(G114),DEC2HEX(G114,8)),"")</f>
        <v>00000B82</v>
      </c>
      <c r="I114" s="9">
        <f>IF(G114&lt;&gt;"",HEX2DEC(H114),"")</f>
        <v>2946</v>
      </c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ht="15" customHeight="1" x14ac:dyDescent="0.25">
      <c r="A115" s="79">
        <f>IF(I115&lt;&gt;"",MAX(A$1:A114)+1,"")</f>
        <v>94</v>
      </c>
      <c r="B115" s="45" t="s">
        <v>371</v>
      </c>
      <c r="C115" t="s">
        <v>57</v>
      </c>
      <c r="D115">
        <f t="shared" si="11"/>
        <v>4</v>
      </c>
      <c r="E115" s="2" t="s">
        <v>500</v>
      </c>
      <c r="G115" s="11">
        <f>ROUND((ALGO_RES_EST_TEMP_COEFF * 32768) / ALGO_RES_EST_BASE_TEMP_COEFF,0)</f>
        <v>30422</v>
      </c>
      <c r="H115" s="9" t="str">
        <f>IF(G115&lt;&gt;"",IF(C115="float32",FLOAT2HEX(G115),DEC2HEX(G115,8)),"")</f>
        <v>000076D6</v>
      </c>
      <c r="I115" s="9">
        <f t="shared" si="12"/>
        <v>30422</v>
      </c>
    </row>
    <row r="116" spans="1:21" ht="15" customHeight="1" x14ac:dyDescent="0.25">
      <c r="A116" s="79">
        <f>IF(I116&lt;&gt;"",MAX(A$1:A115)+1,"")</f>
        <v>95</v>
      </c>
      <c r="B116" s="45" t="s">
        <v>372</v>
      </c>
      <c r="C116" t="s">
        <v>57</v>
      </c>
      <c r="D116">
        <f t="shared" si="11"/>
        <v>4</v>
      </c>
      <c r="E116" s="2" t="s">
        <v>501</v>
      </c>
      <c r="G116" s="11">
        <f>ROUND(ALGO_RES_EST_BASE_TEMP_COEFF,0)</f>
        <v>250</v>
      </c>
      <c r="H116" s="9" t="str">
        <f>IF(G116&lt;&gt;"",IF(C116="float32",FLOAT2HEX(G116),DEC2HEX(G116,8)),"")</f>
        <v>000000FA</v>
      </c>
      <c r="I116" s="9">
        <f t="shared" si="12"/>
        <v>250</v>
      </c>
    </row>
    <row r="117" spans="1:21" ht="15" customHeight="1" x14ac:dyDescent="0.25">
      <c r="A117" s="79">
        <f>IF(I117&lt;&gt;"",MAX(A$1:A116)+1,"")</f>
        <v>96</v>
      </c>
      <c r="B117" s="45" t="s">
        <v>373</v>
      </c>
      <c r="C117" t="s">
        <v>57</v>
      </c>
      <c r="D117">
        <f t="shared" si="11"/>
        <v>4</v>
      </c>
      <c r="E117" s="2" t="s">
        <v>502</v>
      </c>
      <c r="G117" s="11">
        <f>ROUND(ALGO_RES_EST_BASE_TEMP,0)</f>
        <v>25</v>
      </c>
      <c r="H117" s="9" t="str">
        <f>IF(G117&lt;&gt;"",IF(C117="float32",FLOAT2HEX(G117),DEC2HEX(G117,8)),"")</f>
        <v>00000019</v>
      </c>
      <c r="I117" s="9">
        <f t="shared" si="12"/>
        <v>25</v>
      </c>
    </row>
    <row r="118" spans="1:21" s="70" customFormat="1" ht="15" customHeight="1" x14ac:dyDescent="0.25">
      <c r="A118" s="79">
        <f>IF(I118&lt;&gt;"",MAX(A$1:A117)+1,"")</f>
        <v>97</v>
      </c>
      <c r="B118" s="68" t="s">
        <v>626</v>
      </c>
      <c r="C118" s="70" t="s">
        <v>57</v>
      </c>
      <c r="D118" s="70">
        <f t="shared" si="11"/>
        <v>4</v>
      </c>
      <c r="E118" s="60" t="s">
        <v>628</v>
      </c>
      <c r="G118" s="65">
        <f>SAMPLES_NUMBER</f>
        <v>10</v>
      </c>
      <c r="H118" s="64" t="str">
        <f>IF(G118&lt;&gt;"",IF(C118="float32",FLOAT2HEX(G118),DEC2HEX(G118,8)),"")</f>
        <v>0000000A</v>
      </c>
      <c r="I118" s="64">
        <f t="shared" ref="I118" si="13">IF(G118&lt;&gt;"",HEX2DEC(H118),"")</f>
        <v>10</v>
      </c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</row>
    <row r="119" spans="1:21" ht="15" customHeight="1" x14ac:dyDescent="0.25">
      <c r="A119" s="79" t="str">
        <f>IF(I119&lt;&gt;"",MAX(A$1:A118)+1,"")</f>
        <v/>
      </c>
      <c r="B119" s="45"/>
      <c r="G119" s="11"/>
      <c r="H119" s="9" t="str">
        <f>IF(G119&lt;&gt;"",IF(C119="float32",FLOAT2HEX(G119),DEC2HEX(G119,8)),"")</f>
        <v/>
      </c>
      <c r="I119" s="9" t="str">
        <f t="shared" si="12"/>
        <v/>
      </c>
    </row>
    <row r="120" spans="1:21" s="9" customFormat="1" ht="20.100000000000001" customHeight="1" x14ac:dyDescent="0.25">
      <c r="A120" s="79" t="str">
        <f>IF(I120&lt;&gt;"",MAX(A$1:A119)+1,"")</f>
        <v/>
      </c>
      <c r="B120" s="44" t="s">
        <v>101</v>
      </c>
      <c r="C120" s="21"/>
      <c r="D120" s="21"/>
      <c r="E120" s="21"/>
      <c r="F120" s="21"/>
      <c r="G120" s="21"/>
      <c r="H120" s="21" t="str">
        <f>IF(G120&lt;&gt;"",DEC2HEX(G120,4),"")</f>
        <v/>
      </c>
      <c r="I120" s="21"/>
      <c r="J120" s="16"/>
      <c r="K120" s="16"/>
      <c r="L120" s="16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 ht="15" customHeight="1" x14ac:dyDescent="0.25">
      <c r="A121" s="79">
        <f>IF(I121&lt;&gt;"",MAX(A$1:A120)+1,"")</f>
        <v>98</v>
      </c>
      <c r="B121" s="45" t="s">
        <v>102</v>
      </c>
      <c r="C121" t="s">
        <v>65</v>
      </c>
      <c r="D121">
        <f>IF(OR(C121="sint64",C121="uint64",C121="double64"), 8, IF(OR(C121="sint32",C121="uint32",C121="float32"),4,IF(OR(C121="sint16",C121="uint16"),2,  IF(OR(C121="sint8",C121="uint8"),1,""))))</f>
        <v>4</v>
      </c>
      <c r="E121" s="2" t="s">
        <v>503</v>
      </c>
      <c r="G121" s="11">
        <f>((2^25)/BASE_SPEED_RPM)</f>
        <v>15345.475416723246</v>
      </c>
      <c r="H121" s="9" t="str">
        <f>IF(G121&lt;&gt;"",IF(C121="float32",FLOAT2HEX(G121),DEC2HEX(G121,8)),"")</f>
        <v>466FC5E7</v>
      </c>
      <c r="I121" s="9">
        <f t="shared" si="12"/>
        <v>1181730279</v>
      </c>
    </row>
    <row r="122" spans="1:21" ht="15" customHeight="1" x14ac:dyDescent="0.25">
      <c r="A122" s="79">
        <f>IF(I122&lt;&gt;"",MAX(A$1:A121)+1,"")</f>
        <v>99</v>
      </c>
      <c r="B122" s="45" t="s">
        <v>103</v>
      </c>
      <c r="C122" t="s">
        <v>65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504</v>
      </c>
      <c r="G122" s="11">
        <f>((2^25)/BASE_SPEED_RPM*OBSERVER_TS)</f>
        <v>1.9181844270904058</v>
      </c>
      <c r="H122" s="9" t="str">
        <f>IF(G122&lt;&gt;"",IF(C122="float32",FLOAT2HEX(G122),DEC2HEX(G122,8)),"")</f>
        <v>3FF58711</v>
      </c>
      <c r="I122" s="9">
        <f t="shared" si="12"/>
        <v>1073055505</v>
      </c>
    </row>
    <row r="123" spans="1:21" ht="15" customHeight="1" x14ac:dyDescent="0.25">
      <c r="A123" s="79">
        <f>IF(I123&lt;&gt;"",MAX(A$1:A122)+1,"")</f>
        <v>100</v>
      </c>
      <c r="B123" s="47" t="s">
        <v>604</v>
      </c>
      <c r="C123" t="s">
        <v>57</v>
      </c>
      <c r="D123">
        <f>IF(OR(C123="sint64",C123="uint64",C123="double64"), 8, IF(OR(C123="sint32",C123="uint32",C123="float32"),4,IF(OR(C123="sint16",C123="uint16"),2,  IF(OR(C123="sint8",C123="uint8"),1,""))))</f>
        <v>4</v>
      </c>
      <c r="E123" s="60" t="s">
        <v>622</v>
      </c>
      <c r="G123" s="11">
        <f>ROUND(((((2^25) / BASE_SPEED_RPM) * OBSERVER_TS) * SPEED_REF_DEFAULT_ACCEL),0)</f>
        <v>144</v>
      </c>
      <c r="H123" s="9" t="str">
        <f>IF(G123&lt;&gt;"",IF(C123="float32",FLOAT2HEX(G123),DEC2HEX(G123,8)),"")</f>
        <v>00000090</v>
      </c>
      <c r="I123" s="9">
        <f t="shared" si="12"/>
        <v>144</v>
      </c>
    </row>
    <row r="124" spans="1:21" ht="15" customHeight="1" x14ac:dyDescent="0.25">
      <c r="A124" s="79">
        <f>IF(I124&lt;&gt;"",MAX(A$1:A123)+1,"")</f>
        <v>101</v>
      </c>
      <c r="B124" s="47" t="s">
        <v>605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58" t="s">
        <v>623</v>
      </c>
      <c r="G124" s="11">
        <f>ROUND((SPEED_REF_MIN_SPEED_DEFAULT_ACCEL * 32768/BASE_SPEED_RPM),0)</f>
        <v>225</v>
      </c>
      <c r="H124" s="9" t="str">
        <f>IF(G124&lt;&gt;"",IF(C124="float32",FLOAT2HEX(G124),DEC2HEX(G124,8)),"")</f>
        <v>000000E1</v>
      </c>
      <c r="I124" s="9">
        <f t="shared" si="12"/>
        <v>225</v>
      </c>
    </row>
    <row r="125" spans="1:21" ht="15" customHeight="1" x14ac:dyDescent="0.25">
      <c r="A125" s="79" t="str">
        <f>IF(I125&lt;&gt;"",MAX(A$1:A124)+1,"")</f>
        <v/>
      </c>
      <c r="B125" s="45"/>
      <c r="D125" t="str">
        <f>IF(OR(C125="sint64",C125="uint64",C125="double64"), 8, IF(OR(C125="sint32",C125="uint32",C125="float32"),4,IF(OR(C125="sint16",C125="uint16"),2,  IF(OR(C125="sint8",C125="uint8"),1,""))))</f>
        <v/>
      </c>
      <c r="G125" s="11"/>
      <c r="H125" s="9" t="str">
        <f>IF(G125&lt;&gt;"",IF(C125="float32",FLOAT2HEX(G125),DEC2HEX(G125,8)),"")</f>
        <v/>
      </c>
      <c r="I125" s="9" t="str">
        <f t="shared" si="12"/>
        <v/>
      </c>
    </row>
    <row r="126" spans="1:21" s="9" customFormat="1" ht="20.100000000000001" customHeight="1" x14ac:dyDescent="0.25">
      <c r="A126" s="79" t="str">
        <f>IF(I126&lt;&gt;"",MAX(A$1:A125)+1,"")</f>
        <v/>
      </c>
      <c r="B126" s="44" t="s">
        <v>127</v>
      </c>
      <c r="C126" s="21"/>
      <c r="D126" s="21"/>
      <c r="E126" s="21" t="str">
        <f>IF(F126&lt;&gt;"",DEC2HEX(F126,4),"")</f>
        <v/>
      </c>
      <c r="F126" s="21"/>
      <c r="G126" s="21" t="str">
        <f>IF(F126&lt;&gt;"",DEC2HEX(F126,4),"")</f>
        <v/>
      </c>
      <c r="H126" s="21" t="str">
        <f>IF(G126&lt;&gt;"",DEC2HEX(G126,4),"")</f>
        <v/>
      </c>
      <c r="I126" s="21"/>
      <c r="J126" s="16"/>
      <c r="K126" s="16"/>
      <c r="L126" s="16"/>
      <c r="M126" s="13"/>
      <c r="N126" s="13"/>
      <c r="O126" s="13"/>
      <c r="P126" s="13"/>
      <c r="Q126" s="13"/>
      <c r="R126" s="13"/>
      <c r="S126" s="13"/>
      <c r="T126" s="13"/>
      <c r="U126" s="13"/>
    </row>
    <row r="127" spans="1:21" ht="15" customHeight="1" x14ac:dyDescent="0.25">
      <c r="A127" s="79">
        <f>IF(I127&lt;&gt;"",MAX(A$1:A126)+1,"")</f>
        <v>102</v>
      </c>
      <c r="B127" s="45" t="s">
        <v>381</v>
      </c>
      <c r="C127" t="s">
        <v>65</v>
      </c>
      <c r="D127">
        <f>IF(OR(C127="sint64",C127="uint64",C127="double64"), 8, IF(OR(C127="sint32",C127="uint32",C127="float32"),4,IF(OR(C127="sint16",C127="uint16"),2,  IF(OR(C127="sint8",C127="uint8"),1,""))))</f>
        <v>4</v>
      </c>
      <c r="E127" s="2" t="s">
        <v>378</v>
      </c>
      <c r="G127" s="11">
        <f>BASE_SPEED_RPM</f>
        <v>2186.6010070585976</v>
      </c>
      <c r="H127" s="9" t="str">
        <f>IF(G127&lt;&gt;"",IF(C127="float32",FLOAT2HEX(G127),DEC2HEX(G127,8)),"")</f>
        <v>4508A99E</v>
      </c>
      <c r="I127" s="9">
        <f t="shared" si="12"/>
        <v>1158195614</v>
      </c>
    </row>
    <row r="128" spans="1:21" ht="15" customHeight="1" x14ac:dyDescent="0.25">
      <c r="A128" s="94">
        <f>IF(I128&lt;&gt;"",MAX(A$1:A127)+1,"")</f>
        <v>103</v>
      </c>
      <c r="B128" s="45" t="s">
        <v>382</v>
      </c>
      <c r="C128" t="s">
        <v>65</v>
      </c>
      <c r="D128">
        <f t="shared" ref="D128:D134" si="14">IF(OR(C128="sint64",C128="uint64",C128="double64"), 8, IF(OR(C128="sint32",C128="uint32",C128="float32"),4,IF(OR(C128="sint16",C128="uint16"),2,  IF(OR(C128="sint8",C128="uint8"),1,""))))</f>
        <v>4</v>
      </c>
      <c r="E128" s="2" t="s">
        <v>379</v>
      </c>
      <c r="G128" s="11">
        <f>BASE_RADIAL</f>
        <v>3.1415926535897931</v>
      </c>
      <c r="H128" s="9" t="str">
        <f>IF(G128&lt;&gt;"",IF(C128="float32",FLOAT2HEX(G128),DEC2HEX(G128,8)),"")</f>
        <v>40490FDB</v>
      </c>
      <c r="I128" s="9">
        <f t="shared" si="12"/>
        <v>1078530011</v>
      </c>
    </row>
    <row r="129" spans="1:21" x14ac:dyDescent="0.25">
      <c r="A129" s="94">
        <f>IF(I129&lt;&gt;"",MAX(A$1:A128)+1,"")</f>
        <v>104</v>
      </c>
      <c r="B129" s="45" t="s">
        <v>380</v>
      </c>
      <c r="C129" t="s">
        <v>65</v>
      </c>
      <c r="D129">
        <f t="shared" si="14"/>
        <v>4</v>
      </c>
      <c r="E129" s="2" t="s">
        <v>383</v>
      </c>
      <c r="G129" s="11">
        <f>BASE_TORQ</f>
        <v>13.784940000000001</v>
      </c>
      <c r="H129" s="9" t="str">
        <f>IF(G129&lt;&gt;"",IF(C129="float32",FLOAT2HEX(G129),DEC2HEX(G129,8)),"")</f>
        <v>415C8F1D</v>
      </c>
      <c r="I129" s="9">
        <f t="shared" si="12"/>
        <v>1096584989</v>
      </c>
    </row>
    <row r="130" spans="1:21" s="101" customFormat="1" x14ac:dyDescent="0.25">
      <c r="A130" s="94">
        <f>IF(I130&lt;&gt;"",MAX(A$1:A129)+1,"")</f>
        <v>105</v>
      </c>
      <c r="B130" s="95" t="s">
        <v>658</v>
      </c>
      <c r="C130" s="101" t="s">
        <v>65</v>
      </c>
      <c r="D130" s="101">
        <f t="shared" si="14"/>
        <v>4</v>
      </c>
      <c r="E130" s="87" t="s">
        <v>659</v>
      </c>
      <c r="G130" s="93">
        <f>BASE_FLUX</f>
        <v>0.27950000000000003</v>
      </c>
      <c r="H130" s="92" t="str">
        <f>IF(G130&lt;&gt;"",IF(C130="float32",FLOAT2HEX(G130),DEC2HEX(G130,8)),"")</f>
        <v>3E8F1AA0</v>
      </c>
      <c r="I130" s="92">
        <f t="shared" ref="I130" si="15">IF(G130&lt;&gt;"",HEX2DEC(H130),"")</f>
        <v>1049565856</v>
      </c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</row>
    <row r="131" spans="1:21" x14ac:dyDescent="0.25">
      <c r="A131" s="94">
        <f>IF(I131&lt;&gt;"",MAX(A$1:A130)+1,"")</f>
        <v>106</v>
      </c>
      <c r="B131" s="45" t="s">
        <v>386</v>
      </c>
      <c r="C131" t="s">
        <v>65</v>
      </c>
      <c r="D131">
        <f t="shared" si="14"/>
        <v>4</v>
      </c>
      <c r="E131" s="2" t="s">
        <v>384</v>
      </c>
      <c r="G131" s="11">
        <f>BASE_VOLTAGE_BUS</f>
        <v>443.40499999999997</v>
      </c>
      <c r="H131" s="9" t="str">
        <f>IF(G131&lt;&gt;"",IF(C131="float32",FLOAT2HEX(G131),DEC2HEX(G131,8)),"")</f>
        <v>43DDB3D7</v>
      </c>
      <c r="I131" s="9">
        <f t="shared" si="12"/>
        <v>1138602967</v>
      </c>
    </row>
    <row r="132" spans="1:21" x14ac:dyDescent="0.25">
      <c r="A132" s="94">
        <f>IF(I132&lt;&gt;"",MAX(A$1:A131)+1,"")</f>
        <v>107</v>
      </c>
      <c r="B132" s="45" t="s">
        <v>385</v>
      </c>
      <c r="C132" t="s">
        <v>65</v>
      </c>
      <c r="D132">
        <f t="shared" si="14"/>
        <v>4</v>
      </c>
      <c r="E132" s="2" t="s">
        <v>387</v>
      </c>
      <c r="G132" s="11">
        <f>BASE_CURRENT</f>
        <v>8.2200000000000006</v>
      </c>
      <c r="H132" s="54" t="str">
        <f>IF(G132&lt;&gt;"",IF(C132="float32",FLOAT2HEX(G132),DEC2HEX(G132,8)),"")</f>
        <v>4103851F</v>
      </c>
      <c r="I132" s="54">
        <f>IF(G132&lt;&gt;"",HEX2DEC(H132),"")</f>
        <v>1090749727</v>
      </c>
    </row>
    <row r="133" spans="1:21" s="101" customFormat="1" x14ac:dyDescent="0.25">
      <c r="A133" s="94">
        <f>IF(I133&lt;&gt;"",MAX(A$1:A132)+1,"")</f>
        <v>108</v>
      </c>
      <c r="B133" s="95" t="s">
        <v>962</v>
      </c>
      <c r="C133" s="101" t="s">
        <v>65</v>
      </c>
      <c r="D133" s="101">
        <f t="shared" si="14"/>
        <v>4</v>
      </c>
      <c r="E133" s="87" t="s">
        <v>963</v>
      </c>
      <c r="G133" s="93">
        <f>BASE_ANGLE</f>
        <v>180</v>
      </c>
      <c r="H133" s="92" t="str">
        <f>IF(G133&lt;&gt;"",IF(C133="float32",FLOAT2HEX(G133),DEC2HEX(G133,8)),"")</f>
        <v>43340000</v>
      </c>
      <c r="I133" s="92">
        <f>IF(G133&lt;&gt;"",HEX2DEC(H133),"")</f>
        <v>1127481344</v>
      </c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</row>
    <row r="134" spans="1:21" s="101" customFormat="1" x14ac:dyDescent="0.25">
      <c r="A134" s="94">
        <f>IF(I134&lt;&gt;"",MAX(A$1:A133)+1,"")</f>
        <v>109</v>
      </c>
      <c r="B134" s="95" t="s">
        <v>964</v>
      </c>
      <c r="C134" s="101" t="s">
        <v>65</v>
      </c>
      <c r="D134" s="101">
        <f t="shared" si="14"/>
        <v>4</v>
      </c>
      <c r="E134" s="87" t="s">
        <v>965</v>
      </c>
      <c r="G134" s="93">
        <f>BASE_IND</f>
        <v>34.002433090024326</v>
      </c>
      <c r="H134" s="92" t="str">
        <f>IF(G134&lt;&gt;"",IF(C134="float32",FLOAT2HEX(G134),DEC2HEX(G134,8)),"")</f>
        <v>4208027E</v>
      </c>
      <c r="I134" s="92">
        <f>IF(G134&lt;&gt;"",HEX2DEC(H134),"")</f>
        <v>1107821182</v>
      </c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</row>
    <row r="135" spans="1:21" x14ac:dyDescent="0.25">
      <c r="A135" s="94" t="str">
        <f>IF(I135&lt;&gt;"",MAX(A$1:A134)+1,"")</f>
        <v/>
      </c>
      <c r="B135" s="45"/>
      <c r="G135" s="11"/>
      <c r="H135" s="9" t="str">
        <f>IF(G135&lt;&gt;"",IF(C135="float32",FLOAT2HEX(G135),DEC2HEX(G135,8)),"")</f>
        <v/>
      </c>
      <c r="I135" s="9" t="str">
        <f t="shared" ref="I135:I159" si="16">IF(G135&lt;&gt;"",HEX2DEC(H135),"")</f>
        <v/>
      </c>
    </row>
    <row r="136" spans="1:21" ht="20.100000000000001" customHeight="1" x14ac:dyDescent="0.25">
      <c r="A136" s="94" t="str">
        <f>IF(I136&lt;&gt;"",MAX(A$1:A135)+1,"")</f>
        <v/>
      </c>
      <c r="B136" s="44" t="s">
        <v>398</v>
      </c>
      <c r="C136" s="21"/>
      <c r="D136" s="21"/>
      <c r="E136" s="21" t="str">
        <f>IF(F136&lt;&gt;"",DEC2HEX(F136,4),"")</f>
        <v/>
      </c>
      <c r="F136" s="21"/>
      <c r="G136" s="21" t="str">
        <f>IF(F136&lt;&gt;"",DEC2HEX(F136,4),"")</f>
        <v/>
      </c>
      <c r="H136" s="21"/>
      <c r="I136" s="21"/>
    </row>
    <row r="137" spans="1:21" ht="15" customHeight="1" x14ac:dyDescent="0.25">
      <c r="A137" s="94">
        <f>IF(I137&lt;&gt;"",MAX(A$1:A136)+1,"")</f>
        <v>110</v>
      </c>
      <c r="B137" s="48" t="s">
        <v>403</v>
      </c>
      <c r="C137" t="s">
        <v>57</v>
      </c>
      <c r="D137">
        <f>IF(OR(C137="sint64",C137="uint64",C137="double64"), 8, IF(OR(C137="sint32",C137="uint32",C137="float32"),4,IF(OR(C137="sint16",C137="uint16"),2,  IF(OR(C137="sint8",C137="uint8"),1,""))))</f>
        <v>4</v>
      </c>
      <c r="E137" s="98" t="s">
        <v>655</v>
      </c>
      <c r="F137" s="102"/>
      <c r="G137" s="99">
        <f>ROUND((((STATOR_RESISTANCE * 1.5) * MAX_PHASE_CURR + PI_VOLT_MARGIN) * 32768/BASE_VOLTAGE),0)</f>
        <v>21683</v>
      </c>
      <c r="H137" s="9" t="str">
        <f>IF(G137&lt;&gt;"",IF(C137="float32",FLOAT2HEX(G137),DEC2HEX(G137,8)),"")</f>
        <v>000054B3</v>
      </c>
      <c r="I137" s="9">
        <f t="shared" si="16"/>
        <v>21683</v>
      </c>
    </row>
    <row r="138" spans="1:21" ht="15" customHeight="1" x14ac:dyDescent="0.25">
      <c r="A138" s="94">
        <f>IF(I138&lt;&gt;"",MAX(A$1:A137)+1,"")</f>
        <v>111</v>
      </c>
      <c r="B138" s="45" t="s">
        <v>91</v>
      </c>
      <c r="C138" t="s">
        <v>63</v>
      </c>
      <c r="D138">
        <f t="shared" ref="D138:D158" si="17">IF(OR(C138="sint64",C138="uint64",C138="double64"), 8, IF(OR(C138="sint32",C138="uint32",C138="float32"),4,IF(OR(C138="sint16",C138="uint16"),2,  IF(OR(C138="sint8",C138="uint8"),1,""))))</f>
        <v>4</v>
      </c>
      <c r="E138" s="2" t="s">
        <v>603</v>
      </c>
      <c r="G138" s="11">
        <v>0</v>
      </c>
      <c r="H138" s="9" t="str">
        <f>IF(G138&lt;&gt;"",IF(C138="float32",FLOAT2HEX(G138),DEC2HEX(G138,8)),"")</f>
        <v>00000000</v>
      </c>
      <c r="I138" s="9">
        <f t="shared" si="16"/>
        <v>0</v>
      </c>
    </row>
    <row r="139" spans="1:21" ht="15" customHeight="1" x14ac:dyDescent="0.25">
      <c r="A139" s="94">
        <f>IF(I139&lt;&gt;"",MAX(A$1:A138)+1,"")</f>
        <v>112</v>
      </c>
      <c r="B139" s="45" t="s">
        <v>93</v>
      </c>
      <c r="C139" t="s">
        <v>57</v>
      </c>
      <c r="D139">
        <f t="shared" si="17"/>
        <v>4</v>
      </c>
      <c r="E139" s="2" t="s">
        <v>603</v>
      </c>
      <c r="G139" s="11">
        <v>0</v>
      </c>
      <c r="H139" s="9" t="str">
        <f>IF(G139&lt;&gt;"",IF(C139="float32",FLOAT2HEX(G139),DEC2HEX(G139,8)),"")</f>
        <v>00000000</v>
      </c>
      <c r="I139" s="9">
        <f t="shared" si="16"/>
        <v>0</v>
      </c>
    </row>
    <row r="140" spans="1:21" s="101" customFormat="1" ht="15" customHeight="1" x14ac:dyDescent="0.25">
      <c r="A140" s="94">
        <f>IF(I140&lt;&gt;"",MAX(A$1:A139)+1,"")</f>
        <v>113</v>
      </c>
      <c r="B140" s="96" t="s">
        <v>986</v>
      </c>
      <c r="C140" s="101" t="s">
        <v>57</v>
      </c>
      <c r="D140" s="82">
        <f>IF(OR(C140="sint64",C140="uint64",C140="double64"), 8, IF(OR(C140="sint32",C140="uint32",C140="float32"),4,IF(OR(C140="sint16",C140="uint16"),2,  IF(OR(C140="sint8",C140="uint8"),1,""))))</f>
        <v>4</v>
      </c>
      <c r="E140" s="87" t="s">
        <v>988</v>
      </c>
      <c r="G140" s="93">
        <f>ROUND((M_INDEX_CTRL/100 * 32768),0)</f>
        <v>37683</v>
      </c>
      <c r="H140" s="92" t="str">
        <f>IF(G140&lt;&gt;"",IF(C140="float32",FLOAT2HEX(G140),DEC2HEX(G140,8)),"")</f>
        <v>00009333</v>
      </c>
      <c r="I140" s="92">
        <f t="shared" ref="I140" si="18">IF(G140&lt;&gt;"",HEX2DEC(H140),"")</f>
        <v>37683</v>
      </c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</row>
    <row r="141" spans="1:21" ht="15" customHeight="1" x14ac:dyDescent="0.25">
      <c r="A141" s="94">
        <f>IF(I141&lt;&gt;"",MAX(A$1:A140)+1,"")</f>
        <v>114</v>
      </c>
      <c r="B141" s="45" t="s">
        <v>399</v>
      </c>
      <c r="C141" t="s">
        <v>57</v>
      </c>
      <c r="D141">
        <f>IF(OR(C141="sint64",C141="uint64",C141="double64"), 8, IF(OR(C141="sint32",C141="uint32",C141="float32"),4,IF(OR(C141="sint16",C141="uint16"),2,  IF(OR(C141="sint8",C141="uint8"),1,""))))</f>
        <v>4</v>
      </c>
      <c r="E141" s="87" t="s">
        <v>507</v>
      </c>
      <c r="G141" s="11">
        <f>ROUND(Q_CURR_CONTROL_KP/BASE_VOLTAGE*BASE_CURRENT,0)</f>
        <v>200</v>
      </c>
      <c r="H141" s="9" t="str">
        <f>IF(G141&lt;&gt;"",IF(C141="float32",FLOAT2HEX(G141),DEC2HEX(G141,8)),"")</f>
        <v>000000C8</v>
      </c>
      <c r="I141" s="9">
        <f t="shared" si="16"/>
        <v>200</v>
      </c>
    </row>
    <row r="142" spans="1:21" ht="15" customHeight="1" x14ac:dyDescent="0.25">
      <c r="A142" s="94">
        <f>IF(I142&lt;&gt;"",MAX(A$1:A141)+1,"")</f>
        <v>115</v>
      </c>
      <c r="B142" s="45" t="s">
        <v>400</v>
      </c>
      <c r="C142" t="s">
        <v>57</v>
      </c>
      <c r="D142">
        <f>IF(OR(C142="sint64",C142="uint64",C142="double64"), 8, IF(OR(C142="sint32",C142="uint32",C142="float32"),4,IF(OR(C142="sint16",C142="uint16"),2,  IF(OR(C142="sint8",C142="uint8"),1,""))))</f>
        <v>4</v>
      </c>
      <c r="E142" s="2" t="s">
        <v>508</v>
      </c>
      <c r="G142" s="11">
        <f>ROUND(Q_CURR_CONTROL_KI/BASE_VOLTAGE*BASE_CURRENT/DQ_CURRENT_CONTROL_TS,0)</f>
        <v>10</v>
      </c>
      <c r="H142" s="9" t="str">
        <f>IF(G142&lt;&gt;"",IF(C142="float32",FLOAT2HEX(G142),DEC2HEX(G142,8)),"")</f>
        <v>0000000A</v>
      </c>
      <c r="I142" s="9">
        <f t="shared" si="16"/>
        <v>10</v>
      </c>
    </row>
    <row r="143" spans="1:21" ht="15" customHeight="1" x14ac:dyDescent="0.25">
      <c r="A143" s="94">
        <f>IF(I143&lt;&gt;"",MAX(A$1:A142)+1,"")</f>
        <v>116</v>
      </c>
      <c r="B143" s="45" t="s">
        <v>401</v>
      </c>
      <c r="C143" t="s">
        <v>57</v>
      </c>
      <c r="D143">
        <f>IF(OR(C143="sint64",C143="uint64",C143="double64"), 8, IF(OR(C143="sint32",C143="uint32",C143="float32"),4,IF(OR(C143="sint16",C143="uint16"),2,  IF(OR(C143="sint8",C143="uint8"),1,""))))</f>
        <v>4</v>
      </c>
      <c r="E143" s="2" t="s">
        <v>505</v>
      </c>
      <c r="G143" s="11">
        <f>ROUND(D_CURR_CONTROL_KP/BASE_VOLTAGE*BASE_CURRENT,0)</f>
        <v>200</v>
      </c>
      <c r="H143" s="9" t="str">
        <f>IF(G143&lt;&gt;"",IF(C143="float32",FLOAT2HEX(G143),DEC2HEX(G143,8)),"")</f>
        <v>000000C8</v>
      </c>
      <c r="I143" s="9">
        <f t="shared" si="16"/>
        <v>200</v>
      </c>
    </row>
    <row r="144" spans="1:21" ht="15" customHeight="1" x14ac:dyDescent="0.25">
      <c r="A144" s="94">
        <f>IF(I144&lt;&gt;"",MAX(A$1:A143)+1,"")</f>
        <v>117</v>
      </c>
      <c r="B144" s="45" t="s">
        <v>402</v>
      </c>
      <c r="C144" t="s">
        <v>57</v>
      </c>
      <c r="D144">
        <f>IF(OR(C144="sint64",C144="uint64",C144="double64"), 8, IF(OR(C144="sint32",C144="uint32",C144="float32"),4,IF(OR(C144="sint16",C144="uint16"),2,  IF(OR(C144="sint8",C144="uint8"),1,""))))</f>
        <v>4</v>
      </c>
      <c r="E144" s="2" t="s">
        <v>506</v>
      </c>
      <c r="G144" s="11">
        <f>ROUND(D_CURR_CONTROL_KI/BASE_VOLTAGE*BASE_CURRENT/DQ_CURRENT_CONTROL_TS,0)</f>
        <v>10</v>
      </c>
      <c r="H144" s="9" t="str">
        <f>IF(G144&lt;&gt;"",IF(C144="float32",FLOAT2HEX(G144),DEC2HEX(G144,8)),"")</f>
        <v>0000000A</v>
      </c>
      <c r="I144" s="9">
        <f t="shared" si="16"/>
        <v>10</v>
      </c>
    </row>
    <row r="145" spans="1:9" ht="15" customHeight="1" x14ac:dyDescent="0.25">
      <c r="A145" s="94">
        <f>IF(I145&lt;&gt;"",MAX(A$1:A144)+1,"")</f>
        <v>118</v>
      </c>
      <c r="B145" s="45" t="s">
        <v>80</v>
      </c>
      <c r="C145" t="s">
        <v>57</v>
      </c>
      <c r="D145">
        <f t="shared" si="17"/>
        <v>4</v>
      </c>
      <c r="E145" s="2" t="s">
        <v>603</v>
      </c>
      <c r="G145" s="11">
        <v>0</v>
      </c>
      <c r="H145" s="9" t="str">
        <f>IF(G145&lt;&gt;"",IF(C145="float32",FLOAT2HEX(G145),DEC2HEX(G145,8)),"")</f>
        <v>00000000</v>
      </c>
      <c r="I145" s="9">
        <f t="shared" si="16"/>
        <v>0</v>
      </c>
    </row>
    <row r="146" spans="1:9" ht="15" customHeight="1" x14ac:dyDescent="0.25">
      <c r="A146" s="94">
        <f>IF(I146&lt;&gt;"",MAX(A$1:A145)+1,"")</f>
        <v>119</v>
      </c>
      <c r="B146" s="45" t="s">
        <v>72</v>
      </c>
      <c r="C146" t="s">
        <v>57</v>
      </c>
      <c r="D146">
        <f t="shared" si="17"/>
        <v>4</v>
      </c>
      <c r="E146" s="2" t="s">
        <v>603</v>
      </c>
      <c r="G146" s="11">
        <v>0</v>
      </c>
      <c r="H146" s="9" t="str">
        <f>IF(G146&lt;&gt;"",IF(C146="float32",FLOAT2HEX(G146),DEC2HEX(G146,8)),"")</f>
        <v>00000000</v>
      </c>
      <c r="I146" s="9">
        <f t="shared" si="16"/>
        <v>0</v>
      </c>
    </row>
    <row r="147" spans="1:9" ht="15" customHeight="1" x14ac:dyDescent="0.25">
      <c r="A147" s="94">
        <f>IF(I147&lt;&gt;"",MAX(A$1:A146)+1,"")</f>
        <v>120</v>
      </c>
      <c r="B147" s="45" t="s">
        <v>81</v>
      </c>
      <c r="C147" t="s">
        <v>57</v>
      </c>
      <c r="D147">
        <f t="shared" si="17"/>
        <v>4</v>
      </c>
      <c r="E147" s="2" t="s">
        <v>603</v>
      </c>
      <c r="G147" s="11">
        <v>0</v>
      </c>
      <c r="H147" s="9" t="str">
        <f>IF(G147&lt;&gt;"",IF(C147="float32",FLOAT2HEX(G147),DEC2HEX(G147,8)),"")</f>
        <v>00000000</v>
      </c>
      <c r="I147" s="9">
        <f t="shared" si="16"/>
        <v>0</v>
      </c>
    </row>
    <row r="148" spans="1:9" ht="15" customHeight="1" x14ac:dyDescent="0.25">
      <c r="A148" s="94">
        <f>IF(I148&lt;&gt;"",MAX(A$1:A147)+1,"")</f>
        <v>121</v>
      </c>
      <c r="B148" s="45" t="s">
        <v>82</v>
      </c>
      <c r="C148" t="s">
        <v>57</v>
      </c>
      <c r="D148">
        <f t="shared" si="17"/>
        <v>4</v>
      </c>
      <c r="E148" s="2" t="s">
        <v>603</v>
      </c>
      <c r="G148" s="11">
        <v>0</v>
      </c>
      <c r="H148" s="9" t="str">
        <f>IF(G148&lt;&gt;"",IF(C148="float32",FLOAT2HEX(G148),DEC2HEX(G148,8)),"")</f>
        <v>00000000</v>
      </c>
      <c r="I148" s="9">
        <f t="shared" si="16"/>
        <v>0</v>
      </c>
    </row>
    <row r="149" spans="1:9" ht="15" customHeight="1" x14ac:dyDescent="0.25">
      <c r="A149" s="94">
        <f>IF(I149&lt;&gt;"",MAX(A$1:A148)+1,"")</f>
        <v>122</v>
      </c>
      <c r="B149" s="45" t="s">
        <v>83</v>
      </c>
      <c r="C149" t="s">
        <v>57</v>
      </c>
      <c r="D149">
        <f t="shared" si="17"/>
        <v>4</v>
      </c>
      <c r="E149" s="87" t="s">
        <v>603</v>
      </c>
      <c r="G149" s="11">
        <v>0</v>
      </c>
      <c r="H149" s="9" t="str">
        <f>IF(G149&lt;&gt;"",IF(C149="float32",FLOAT2HEX(G149),DEC2HEX(G149,8)),"")</f>
        <v>00000000</v>
      </c>
      <c r="I149" s="9">
        <f t="shared" si="16"/>
        <v>0</v>
      </c>
    </row>
    <row r="150" spans="1:9" ht="15" customHeight="1" x14ac:dyDescent="0.25">
      <c r="A150" s="94">
        <f>IF(I150&lt;&gt;"",MAX(A$1:A149)+1,"")</f>
        <v>123</v>
      </c>
      <c r="B150" s="45" t="s">
        <v>84</v>
      </c>
      <c r="C150" t="s">
        <v>57</v>
      </c>
      <c r="D150">
        <f t="shared" si="17"/>
        <v>4</v>
      </c>
      <c r="E150" s="2" t="s">
        <v>603</v>
      </c>
      <c r="G150" s="11">
        <v>0</v>
      </c>
      <c r="H150" s="9" t="str">
        <f>IF(G150&lt;&gt;"",IF(C150="float32",FLOAT2HEX(G150),DEC2HEX(G150,8)),"")</f>
        <v>00000000</v>
      </c>
      <c r="I150" s="9">
        <f t="shared" si="16"/>
        <v>0</v>
      </c>
    </row>
    <row r="151" spans="1:9" ht="15" customHeight="1" x14ac:dyDescent="0.25">
      <c r="A151" s="94">
        <f>IF(I151&lt;&gt;"",MAX(A$1:A150)+1,"")</f>
        <v>124</v>
      </c>
      <c r="B151" s="45" t="s">
        <v>85</v>
      </c>
      <c r="C151" t="s">
        <v>57</v>
      </c>
      <c r="D151">
        <f t="shared" si="17"/>
        <v>4</v>
      </c>
      <c r="E151" s="2" t="s">
        <v>603</v>
      </c>
      <c r="G151" s="11">
        <v>0</v>
      </c>
      <c r="H151" s="9" t="str">
        <f>IF(G151&lt;&gt;"",IF(C151="float32",FLOAT2HEX(G151),DEC2HEX(G151,8)),"")</f>
        <v>00000000</v>
      </c>
      <c r="I151" s="9">
        <f t="shared" si="16"/>
        <v>0</v>
      </c>
    </row>
    <row r="152" spans="1:9" ht="15" customHeight="1" x14ac:dyDescent="0.25">
      <c r="A152" s="94">
        <f>IF(I152&lt;&gt;"",MAX(A$1:A151)+1,"")</f>
        <v>125</v>
      </c>
      <c r="B152" s="45" t="s">
        <v>73</v>
      </c>
      <c r="C152" t="s">
        <v>57</v>
      </c>
      <c r="D152">
        <f t="shared" si="17"/>
        <v>4</v>
      </c>
      <c r="E152" s="2" t="s">
        <v>603</v>
      </c>
      <c r="G152" s="11">
        <v>0</v>
      </c>
      <c r="H152" s="9" t="str">
        <f>IF(G152&lt;&gt;"",IF(C152="float32",FLOAT2HEX(G152),DEC2HEX(G152,8)),"")</f>
        <v>00000000</v>
      </c>
      <c r="I152" s="9">
        <f t="shared" si="16"/>
        <v>0</v>
      </c>
    </row>
    <row r="153" spans="1:9" ht="15" customHeight="1" x14ac:dyDescent="0.25">
      <c r="A153" s="94">
        <f>IF(I153&lt;&gt;"",MAX(A$1:A152)+1,"")</f>
        <v>126</v>
      </c>
      <c r="B153" s="45" t="s">
        <v>86</v>
      </c>
      <c r="C153" t="s">
        <v>57</v>
      </c>
      <c r="D153">
        <f t="shared" si="17"/>
        <v>4</v>
      </c>
      <c r="E153" s="2" t="s">
        <v>603</v>
      </c>
      <c r="G153" s="11">
        <v>0</v>
      </c>
      <c r="H153" s="9" t="str">
        <f>IF(G153&lt;&gt;"",IF(C153="float32",FLOAT2HEX(G153),DEC2HEX(G153,8)),"")</f>
        <v>00000000</v>
      </c>
      <c r="I153" s="9">
        <f t="shared" si="16"/>
        <v>0</v>
      </c>
    </row>
    <row r="154" spans="1:9" ht="15" customHeight="1" x14ac:dyDescent="0.25">
      <c r="A154" s="94">
        <f>IF(I154&lt;&gt;"",MAX(A$1:A153)+1,"")</f>
        <v>127</v>
      </c>
      <c r="B154" s="45" t="s">
        <v>87</v>
      </c>
      <c r="C154" t="s">
        <v>57</v>
      </c>
      <c r="D154">
        <f t="shared" si="17"/>
        <v>4</v>
      </c>
      <c r="E154" s="2" t="s">
        <v>603</v>
      </c>
      <c r="G154" s="11">
        <v>0</v>
      </c>
      <c r="H154" s="9" t="str">
        <f>IF(G154&lt;&gt;"",IF(C154="float32",FLOAT2HEX(G154),DEC2HEX(G154,8)),"")</f>
        <v>00000000</v>
      </c>
      <c r="I154" s="9">
        <f t="shared" si="16"/>
        <v>0</v>
      </c>
    </row>
    <row r="155" spans="1:9" ht="15" customHeight="1" x14ac:dyDescent="0.25">
      <c r="A155" s="94">
        <f>IF(I155&lt;&gt;"",MAX(A$1:A154)+1,"")</f>
        <v>128</v>
      </c>
      <c r="B155" s="45" t="s">
        <v>88</v>
      </c>
      <c r="C155" t="s">
        <v>57</v>
      </c>
      <c r="D155">
        <f t="shared" si="17"/>
        <v>4</v>
      </c>
      <c r="E155" s="2" t="s">
        <v>603</v>
      </c>
      <c r="G155" s="11">
        <v>0</v>
      </c>
      <c r="H155" s="9" t="str">
        <f>IF(G155&lt;&gt;"",IF(C155="float32",FLOAT2HEX(G155),DEC2HEX(G155,8)),"")</f>
        <v>00000000</v>
      </c>
      <c r="I155" s="9">
        <f t="shared" si="16"/>
        <v>0</v>
      </c>
    </row>
    <row r="156" spans="1:9" ht="15" customHeight="1" x14ac:dyDescent="0.25">
      <c r="A156" s="94">
        <f>IF(I156&lt;&gt;"",MAX(A$1:A155)+1,"")</f>
        <v>129</v>
      </c>
      <c r="B156" s="45" t="s">
        <v>89</v>
      </c>
      <c r="C156" t="s">
        <v>57</v>
      </c>
      <c r="D156">
        <f t="shared" si="17"/>
        <v>4</v>
      </c>
      <c r="E156" s="2" t="s">
        <v>603</v>
      </c>
      <c r="G156" s="11">
        <v>0</v>
      </c>
      <c r="H156" s="9" t="str">
        <f>IF(G156&lt;&gt;"",IF(C156="float32",FLOAT2HEX(G156),DEC2HEX(G156,8)),"")</f>
        <v>00000000</v>
      </c>
      <c r="I156" s="9">
        <f t="shared" si="16"/>
        <v>0</v>
      </c>
    </row>
    <row r="157" spans="1:9" ht="15" customHeight="1" x14ac:dyDescent="0.25">
      <c r="A157" s="94">
        <f>IF(I157&lt;&gt;"",MAX(A$1:A156)+1,"")</f>
        <v>130</v>
      </c>
      <c r="B157" s="45" t="s">
        <v>90</v>
      </c>
      <c r="C157" t="s">
        <v>57</v>
      </c>
      <c r="D157">
        <f t="shared" si="17"/>
        <v>4</v>
      </c>
      <c r="E157" s="2" t="s">
        <v>603</v>
      </c>
      <c r="G157" s="11">
        <v>0</v>
      </c>
      <c r="H157" s="77" t="str">
        <f>IF(G157&lt;&gt;"",IF(C157="float32",FLOAT2HEX(G157),DEC2HEX(G157,8)),"")</f>
        <v>00000000</v>
      </c>
      <c r="I157" s="9">
        <f t="shared" si="16"/>
        <v>0</v>
      </c>
    </row>
    <row r="158" spans="1:9" ht="15" customHeight="1" x14ac:dyDescent="0.25">
      <c r="A158" s="94">
        <f>IF(I158&lt;&gt;"",MAX(A$1:A157)+1,"")</f>
        <v>131</v>
      </c>
      <c r="B158" s="45" t="s">
        <v>74</v>
      </c>
      <c r="C158" t="s">
        <v>57</v>
      </c>
      <c r="D158">
        <f t="shared" si="17"/>
        <v>4</v>
      </c>
      <c r="E158" s="2" t="s">
        <v>603</v>
      </c>
      <c r="G158" s="11">
        <v>0</v>
      </c>
      <c r="H158" s="77" t="str">
        <f>IF(G158&lt;&gt;"",IF(C158="float32",FLOAT2HEX(G158),DEC2HEX(G158,8)),"")</f>
        <v>00000000</v>
      </c>
      <c r="I158" s="9">
        <f t="shared" si="16"/>
        <v>0</v>
      </c>
    </row>
    <row r="159" spans="1:9" x14ac:dyDescent="0.25">
      <c r="A159" s="94" t="str">
        <f>IF(I159&lt;&gt;"",MAX(A$1:A158)+1,"")</f>
        <v/>
      </c>
      <c r="C159" s="51"/>
      <c r="D159" s="51"/>
      <c r="E159" s="52"/>
      <c r="F159" s="51"/>
      <c r="G159" s="55"/>
      <c r="H159" s="77" t="str">
        <f>IF(G159&lt;&gt;"",IF(C159="float32",FLOAT2HEX(G159),DEC2HEX(G159,8)),"")</f>
        <v/>
      </c>
      <c r="I159" s="77" t="str">
        <f t="shared" si="16"/>
        <v/>
      </c>
    </row>
    <row r="160" spans="1:9" ht="26.25" x14ac:dyDescent="0.25">
      <c r="A160" s="94" t="str">
        <f>IF(I160&lt;&gt;"",MAX(A$1:A159)+1,"")</f>
        <v/>
      </c>
      <c r="B160" s="80" t="s">
        <v>586</v>
      </c>
      <c r="C160" s="78"/>
      <c r="D160" s="78"/>
      <c r="E160" s="78"/>
      <c r="F160" s="78"/>
      <c r="G160" s="78" t="str">
        <f>IF(F160&lt;&gt;"",DEC2HEX(F160,4),"")</f>
        <v/>
      </c>
      <c r="H160" s="78"/>
      <c r="I160" s="78"/>
    </row>
    <row r="161" spans="1:9" x14ac:dyDescent="0.25">
      <c r="A161" s="94">
        <f>IF(I161&lt;&gt;"",MAX(A$1:A160)+1,"")</f>
        <v>132</v>
      </c>
      <c r="B161" s="95" t="s">
        <v>587</v>
      </c>
      <c r="C161" s="101" t="s">
        <v>57</v>
      </c>
      <c r="D161" s="101">
        <v>4</v>
      </c>
      <c r="E161" s="87" t="s">
        <v>588</v>
      </c>
      <c r="G161" s="101">
        <f>ROUND((PWM_SPEED_THRESHOLD_PWM_COMP * (32768/BASE_SPEED_RPM)),0)</f>
        <v>89915</v>
      </c>
      <c r="H161" s="92" t="str">
        <f>IF(G161&lt;&gt;"",IF(C161="float32",FLOAT2HEX(G161),DEC2HEX(G161,8)),"")</f>
        <v>00015F3B</v>
      </c>
      <c r="I161" s="92">
        <f t="shared" ref="I161" si="19">IF(G161&lt;&gt;"",HEX2DEC(H161),"")</f>
        <v>89915</v>
      </c>
    </row>
    <row r="162" spans="1:9" x14ac:dyDescent="0.25">
      <c r="H162" s="9" t="str">
        <f>IF(G162&lt;&gt;"",IF(C162="float32",FLOAT2HEX(G162),DEC2HEX(G162,8)),"")</f>
        <v/>
      </c>
      <c r="I162" s="9" t="str">
        <f t="shared" ref="I162:I187" si="20">IF(G162&lt;&gt;"",HEX2DEC(H162),"")</f>
        <v/>
      </c>
    </row>
    <row r="163" spans="1:9" x14ac:dyDescent="0.25">
      <c r="H163" s="9" t="str">
        <f>IF(G163&lt;&gt;"",IF(C163="float32",FLOAT2HEX(G163),DEC2HEX(G163,8)),"")</f>
        <v/>
      </c>
      <c r="I163" s="9" t="str">
        <f t="shared" si="20"/>
        <v/>
      </c>
    </row>
    <row r="164" spans="1:9" x14ac:dyDescent="0.25">
      <c r="H164" s="9" t="str">
        <f>IF(G164&lt;&gt;"",IF(C164="float32",FLOAT2HEX(G164),DEC2HEX(G164,8)),"")</f>
        <v/>
      </c>
      <c r="I164" s="9" t="str">
        <f t="shared" si="20"/>
        <v/>
      </c>
    </row>
    <row r="165" spans="1:9" x14ac:dyDescent="0.25">
      <c r="H165" s="9" t="str">
        <f>IF(G165&lt;&gt;"",IF(C165="float32",FLOAT2HEX(G165),DEC2HEX(G165,8)),"")</f>
        <v/>
      </c>
      <c r="I165" s="9" t="str">
        <f t="shared" si="20"/>
        <v/>
      </c>
    </row>
    <row r="166" spans="1:9" x14ac:dyDescent="0.25">
      <c r="H166" s="9" t="str">
        <f>IF(G166&lt;&gt;"",IF(C166="float32",FLOAT2HEX(G166),DEC2HEX(G166,8)),"")</f>
        <v/>
      </c>
      <c r="I166" s="9" t="str">
        <f t="shared" si="20"/>
        <v/>
      </c>
    </row>
    <row r="167" spans="1:9" x14ac:dyDescent="0.25">
      <c r="H167" s="9" t="str">
        <f>IF(G167&lt;&gt;"",IF(C167="float32",FLOAT2HEX(G167),DEC2HEX(G167,8)),"")</f>
        <v/>
      </c>
      <c r="I167" s="9" t="str">
        <f t="shared" si="20"/>
        <v/>
      </c>
    </row>
    <row r="168" spans="1:9" x14ac:dyDescent="0.25">
      <c r="H168" s="9" t="str">
        <f>IF(G168&lt;&gt;"",IF(C168="float32",FLOAT2HEX(G168),DEC2HEX(G168,8)),"")</f>
        <v/>
      </c>
      <c r="I168" s="9" t="str">
        <f t="shared" si="20"/>
        <v/>
      </c>
    </row>
    <row r="169" spans="1:9" x14ac:dyDescent="0.25">
      <c r="H169" s="9" t="str">
        <f>IF(G169&lt;&gt;"",IF(C169="float32",FLOAT2HEX(G169),DEC2HEX(G169,8)),"")</f>
        <v/>
      </c>
      <c r="I169" s="9" t="str">
        <f t="shared" si="20"/>
        <v/>
      </c>
    </row>
    <row r="170" spans="1:9" x14ac:dyDescent="0.25">
      <c r="H170" s="9" t="str">
        <f>IF(G170&lt;&gt;"",IF(C170="float32",FLOAT2HEX(G170),DEC2HEX(G170,8)),"")</f>
        <v/>
      </c>
      <c r="I170" s="9" t="str">
        <f t="shared" si="20"/>
        <v/>
      </c>
    </row>
    <row r="171" spans="1:9" x14ac:dyDescent="0.25">
      <c r="H171" s="9" t="str">
        <f>IF(G171&lt;&gt;"",IF(C171="float32",FLOAT2HEX(G171),DEC2HEX(G171,8)),"")</f>
        <v/>
      </c>
      <c r="I171" s="9" t="str">
        <f t="shared" si="20"/>
        <v/>
      </c>
    </row>
    <row r="172" spans="1:9" x14ac:dyDescent="0.25">
      <c r="H172" s="9" t="str">
        <f>IF(G172&lt;&gt;"",IF(C172="float32",FLOAT2HEX(G172),DEC2HEX(G172,8)),"")</f>
        <v/>
      </c>
      <c r="I172" s="9" t="str">
        <f t="shared" si="20"/>
        <v/>
      </c>
    </row>
    <row r="173" spans="1:9" x14ac:dyDescent="0.25">
      <c r="H173" s="9" t="str">
        <f>IF(G173&lt;&gt;"",IF(C173="float32",FLOAT2HEX(G173),DEC2HEX(G173,8)),"")</f>
        <v/>
      </c>
      <c r="I173" s="9" t="str">
        <f t="shared" si="20"/>
        <v/>
      </c>
    </row>
    <row r="174" spans="1:9" x14ac:dyDescent="0.25">
      <c r="H174" s="9" t="str">
        <f>IF(G174&lt;&gt;"",IF(C174="float32",FLOAT2HEX(G174),DEC2HEX(G174,8)),"")</f>
        <v/>
      </c>
      <c r="I174" s="9" t="str">
        <f t="shared" si="20"/>
        <v/>
      </c>
    </row>
    <row r="175" spans="1:9" x14ac:dyDescent="0.25">
      <c r="H175" s="9" t="str">
        <f>IF(G175&lt;&gt;"",IF(C175="float32",FLOAT2HEX(G175),DEC2HEX(G175,8)),"")</f>
        <v/>
      </c>
      <c r="I175" s="9" t="str">
        <f t="shared" si="20"/>
        <v/>
      </c>
    </row>
    <row r="176" spans="1:9" x14ac:dyDescent="0.25">
      <c r="H176" s="9" t="str">
        <f>IF(G176&lt;&gt;"",IF(C176="float32",FLOAT2HEX(G176),DEC2HEX(G176,8)),"")</f>
        <v/>
      </c>
      <c r="I176" s="9" t="str">
        <f t="shared" si="20"/>
        <v/>
      </c>
    </row>
    <row r="177" spans="8:9" x14ac:dyDescent="0.25">
      <c r="H177" s="9" t="str">
        <f>IF(G177&lt;&gt;"",IF(C177="float32",FLOAT2HEX(G177),DEC2HEX(G177,8)),"")</f>
        <v/>
      </c>
      <c r="I177" s="9" t="str">
        <f t="shared" si="20"/>
        <v/>
      </c>
    </row>
    <row r="178" spans="8:9" x14ac:dyDescent="0.25">
      <c r="H178" s="9" t="str">
        <f>IF(G178&lt;&gt;"",IF(C178="float32",FLOAT2HEX(G178),DEC2HEX(G178,8)),"")</f>
        <v/>
      </c>
      <c r="I178" s="9" t="str">
        <f t="shared" si="20"/>
        <v/>
      </c>
    </row>
    <row r="179" spans="8:9" x14ac:dyDescent="0.25">
      <c r="H179" s="9" t="str">
        <f>IF(G179&lt;&gt;"",IF(C179="float32",FLOAT2HEX(G179),DEC2HEX(G179,8)),"")</f>
        <v/>
      </c>
      <c r="I179" s="9" t="str">
        <f t="shared" si="20"/>
        <v/>
      </c>
    </row>
    <row r="180" spans="8:9" x14ac:dyDescent="0.25">
      <c r="H180" s="9" t="str">
        <f>IF(G180&lt;&gt;"",IF(C180="float32",FLOAT2HEX(G180),DEC2HEX(G180,8)),"")</f>
        <v/>
      </c>
      <c r="I180" s="9" t="str">
        <f t="shared" si="20"/>
        <v/>
      </c>
    </row>
    <row r="181" spans="8:9" x14ac:dyDescent="0.25">
      <c r="H181" s="9" t="str">
        <f>IF(G181&lt;&gt;"",IF(C181="float32",FLOAT2HEX(G181),DEC2HEX(G181,8)),"")</f>
        <v/>
      </c>
      <c r="I181" s="9" t="str">
        <f t="shared" si="20"/>
        <v/>
      </c>
    </row>
    <row r="182" spans="8:9" x14ac:dyDescent="0.25">
      <c r="H182" s="9" t="str">
        <f>IF(G182&lt;&gt;"",IF(C182="float32",FLOAT2HEX(G182),DEC2HEX(G182,8)),"")</f>
        <v/>
      </c>
      <c r="I182" s="9" t="str">
        <f t="shared" si="20"/>
        <v/>
      </c>
    </row>
    <row r="183" spans="8:9" x14ac:dyDescent="0.25">
      <c r="H183" s="9" t="str">
        <f>IF(G183&lt;&gt;"",IF(C183="float32",FLOAT2HEX(G183),DEC2HEX(G183,8)),"")</f>
        <v/>
      </c>
      <c r="I183" s="9" t="str">
        <f t="shared" si="20"/>
        <v/>
      </c>
    </row>
    <row r="184" spans="8:9" x14ac:dyDescent="0.25">
      <c r="H184" s="9" t="str">
        <f>IF(G184&lt;&gt;"",IF(C184="float32",FLOAT2HEX(G184),DEC2HEX(G184,8)),"")</f>
        <v/>
      </c>
      <c r="I184" s="9" t="str">
        <f t="shared" si="20"/>
        <v/>
      </c>
    </row>
    <row r="185" spans="8:9" x14ac:dyDescent="0.25">
      <c r="H185" s="9" t="str">
        <f>IF(G185&lt;&gt;"",IF(C185="float32",FLOAT2HEX(G185),DEC2HEX(G185,8)),"")</f>
        <v/>
      </c>
      <c r="I185" s="9" t="str">
        <f t="shared" si="20"/>
        <v/>
      </c>
    </row>
    <row r="186" spans="8:9" x14ac:dyDescent="0.25">
      <c r="H186" s="9" t="str">
        <f>IF(G186&lt;&gt;"",IF(C186="float32",FLOAT2HEX(G186),DEC2HEX(G186,8)),"")</f>
        <v/>
      </c>
      <c r="I186" s="9" t="str">
        <f t="shared" si="20"/>
        <v/>
      </c>
    </row>
    <row r="187" spans="8:9" x14ac:dyDescent="0.25">
      <c r="H187" s="9" t="str">
        <f>IF(G187&lt;&gt;"",IF(C187="float32",FLOAT2HEX(G187),DEC2HEX(G187,8)),"")</f>
        <v/>
      </c>
      <c r="I187" s="9" t="str">
        <f t="shared" si="20"/>
        <v/>
      </c>
    </row>
    <row r="188" spans="8:9" x14ac:dyDescent="0.25">
      <c r="H188" s="9" t="str">
        <f>IF(G188&lt;&gt;"",IF(C188="float32",FLOAT2HEX(G188),DEC2HEX(G188,8)),"")</f>
        <v/>
      </c>
      <c r="I188" s="9"/>
    </row>
    <row r="189" spans="8:9" x14ac:dyDescent="0.25">
      <c r="H189" s="9" t="str">
        <f>IF(G189&lt;&gt;"",IF(C189="float32",FLOAT2HEX(G189),DEC2HEX(G189,8)),"")</f>
        <v/>
      </c>
      <c r="I189" s="9"/>
    </row>
    <row r="190" spans="8:9" x14ac:dyDescent="0.25">
      <c r="H190" s="9" t="str">
        <f>IF(G190&lt;&gt;"",IF(C190="float32",FLOAT2HEX(G190),DEC2HEX(G190,8)),"")</f>
        <v/>
      </c>
    </row>
    <row r="191" spans="8:9" x14ac:dyDescent="0.25">
      <c r="H191" s="9" t="str">
        <f>IF(G191&lt;&gt;"",IF(C191="float32",FLOAT2HEX(G191),DEC2HEX(G191,8)),"")</f>
        <v/>
      </c>
    </row>
    <row r="192" spans="8:9" x14ac:dyDescent="0.25">
      <c r="H192" s="9" t="str">
        <f>IF(G192&lt;&gt;"",IF(C192="float32",FLOAT2HEX(G192),DEC2HEX(G192,8)),"")</f>
        <v/>
      </c>
    </row>
    <row r="193" spans="8:8" x14ac:dyDescent="0.25">
      <c r="H193" s="9" t="str">
        <f>IF(G193&lt;&gt;"",IF(C193="float32",FLOAT2HEX(G193),DEC2HEX(G193,8)),"")</f>
        <v/>
      </c>
    </row>
    <row r="194" spans="8:8" x14ac:dyDescent="0.25">
      <c r="H194" s="9" t="str">
        <f>IF(G194&lt;&gt;"",IF(C194="float32",FLOAT2HEX(G194),DEC2HEX(G194,8)),"")</f>
        <v/>
      </c>
    </row>
    <row r="195" spans="8:8" x14ac:dyDescent="0.25">
      <c r="H195" s="9" t="str">
        <f>IF(G195&lt;&gt;"",IF(C195="float32",FLOAT2HEX(G195),DEC2HEX(G195,8)),"")</f>
        <v/>
      </c>
    </row>
  </sheetData>
  <mergeCells count="2">
    <mergeCell ref="B3:C3"/>
    <mergeCell ref="B1:H1"/>
  </mergeCells>
  <dataValidations count="1">
    <dataValidation type="list" allowBlank="1" showInputMessage="1" showErrorMessage="1" sqref="C107:C119 C127:C128 C83:C87 C53:C71 C73:C81 C137:C159 C121:C125 C29:C51 C10:C27 C7:C8 C161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GenerateMclParams">
                <anchor moveWithCells="1" sizeWithCells="1">
                  <from>
                    <xdr:col>4</xdr:col>
                    <xdr:colOff>3629025</xdr:colOff>
                    <xdr:row>1</xdr:row>
                    <xdr:rowOff>85725</xdr:rowOff>
                  </from>
                  <to>
                    <xdr:col>5</xdr:col>
                    <xdr:colOff>533400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59"/>
  <sheetViews>
    <sheetView tabSelected="1" zoomScale="85" zoomScaleNormal="85" workbookViewId="0">
      <pane ySplit="5" topLeftCell="A33" activePane="bottomLeft" state="frozen"/>
      <selection activeCell="A285" sqref="A285"/>
      <selection pane="bottomLeft" activeCell="G41" sqref="G41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3" width="9.140625" style="11"/>
  </cols>
  <sheetData>
    <row r="1" spans="1:23" ht="28.5" customHeight="1" x14ac:dyDescent="0.25">
      <c r="B1" s="110" t="s">
        <v>511</v>
      </c>
      <c r="C1" s="110"/>
      <c r="D1" s="110"/>
      <c r="E1" s="110"/>
      <c r="F1" s="110"/>
      <c r="G1" s="110"/>
      <c r="H1" s="110"/>
      <c r="I1" s="10"/>
      <c r="J1" s="10"/>
      <c r="K1" s="10"/>
      <c r="L1" s="10"/>
      <c r="M1" s="10"/>
      <c r="N1" s="10"/>
    </row>
    <row r="2" spans="1:23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3"/>
      <c r="P2" s="13"/>
      <c r="Q2" s="13"/>
      <c r="R2" s="13"/>
      <c r="S2" s="13"/>
      <c r="T2" s="13"/>
      <c r="U2" s="13"/>
      <c r="V2" s="13"/>
      <c r="W2" s="13"/>
    </row>
    <row r="3" spans="1:23" s="9" customFormat="1" ht="19.5" customHeight="1" x14ac:dyDescent="0.3">
      <c r="A3" s="23"/>
      <c r="B3" s="111" t="s">
        <v>162</v>
      </c>
      <c r="C3" s="111"/>
      <c r="D3" s="24">
        <f>SUM(D7:D1554)</f>
        <v>132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3"/>
      <c r="P3" s="13"/>
      <c r="Q3" s="13"/>
      <c r="R3" s="13"/>
      <c r="S3" s="13"/>
      <c r="T3" s="13"/>
      <c r="U3" s="13"/>
      <c r="V3" s="13"/>
      <c r="W3" s="13"/>
    </row>
    <row r="4" spans="1:23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3"/>
      <c r="P4" s="13"/>
      <c r="Q4" s="13"/>
      <c r="R4" s="13"/>
      <c r="S4" s="13"/>
      <c r="T4" s="13"/>
      <c r="U4" s="13"/>
      <c r="V4" s="13"/>
      <c r="W4" s="13"/>
    </row>
    <row r="5" spans="1:23" s="9" customFormat="1" ht="18.75" customHeight="1" x14ac:dyDescent="0.25">
      <c r="A5" s="24" t="s">
        <v>164</v>
      </c>
      <c r="B5" s="41" t="s">
        <v>16</v>
      </c>
      <c r="C5" s="24" t="s">
        <v>161</v>
      </c>
      <c r="D5" s="24" t="s">
        <v>160</v>
      </c>
      <c r="E5" s="24" t="s">
        <v>17</v>
      </c>
      <c r="F5" s="27"/>
      <c r="G5" s="27" t="s">
        <v>21</v>
      </c>
      <c r="H5" s="27" t="s">
        <v>509</v>
      </c>
      <c r="I5" s="27" t="s">
        <v>602</v>
      </c>
      <c r="J5" s="16"/>
      <c r="K5" s="16"/>
      <c r="L5" s="16"/>
      <c r="M5" s="16"/>
      <c r="N5" s="16"/>
      <c r="O5" s="13"/>
      <c r="P5" s="13"/>
      <c r="Q5" s="13"/>
      <c r="R5" s="13"/>
      <c r="S5" s="13"/>
      <c r="T5" s="13"/>
      <c r="U5" s="13"/>
      <c r="V5" s="13"/>
      <c r="W5" s="13"/>
    </row>
    <row r="6" spans="1:23" s="9" customFormat="1" ht="20.25" customHeight="1" x14ac:dyDescent="0.25">
      <c r="A6" s="56"/>
      <c r="B6" s="44" t="s">
        <v>512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6"/>
      <c r="K6" s="16"/>
      <c r="L6" s="16"/>
      <c r="M6" s="16"/>
      <c r="N6" s="16"/>
      <c r="O6" s="13"/>
      <c r="P6" s="13"/>
      <c r="Q6" s="13"/>
      <c r="R6" s="13"/>
      <c r="S6" s="13"/>
      <c r="T6" s="13"/>
      <c r="U6" s="13"/>
      <c r="V6" s="13"/>
      <c r="W6" s="13"/>
    </row>
    <row r="7" spans="1:23" s="11" customFormat="1" ht="15" customHeight="1" x14ac:dyDescent="0.25">
      <c r="A7" s="56">
        <v>0</v>
      </c>
      <c r="B7" s="45" t="s">
        <v>128</v>
      </c>
      <c r="C7" t="s">
        <v>57</v>
      </c>
      <c r="D7">
        <f t="shared" ref="D7:D38" si="0">IF(OR(C7="sint64",C7="uint64",C7="double64"), 8, IF(OR(C7="sint32",C7="uint32",C7="float32"),4,IF(OR(C7="sint16",C7="uint16"),2,  IF(OR(C7="sint8",C7="uint8"),1,""))))</f>
        <v>4</v>
      </c>
      <c r="E7" s="2" t="s">
        <v>416</v>
      </c>
      <c r="F7"/>
      <c r="G7" s="11">
        <f>ROUND( (DIRECT_CURR_POS_0 * 32768)/BASE_CURRENT,0)</f>
        <v>0</v>
      </c>
      <c r="H7" s="9" t="str">
        <f>IF(G7&lt;&gt;"",IF(C7="float32",FLOAT2HEX(G7),DEC2HEX(G7,8)),"")</f>
        <v>00000000</v>
      </c>
      <c r="I7" s="9">
        <f>IF(G7&lt;&gt;"",HEX2DEC(H7),"")</f>
        <v>0</v>
      </c>
    </row>
    <row r="8" spans="1:23" s="11" customFormat="1" ht="15" customHeight="1" x14ac:dyDescent="0.25">
      <c r="A8" s="56">
        <f>IF(I8&lt;&gt;"",MAX(A$1:A7)+1,"")</f>
        <v>1</v>
      </c>
      <c r="B8" s="45" t="s">
        <v>136</v>
      </c>
      <c r="C8" t="s">
        <v>57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424</v>
      </c>
      <c r="F8"/>
      <c r="G8" s="11">
        <f xml:space="preserve"> ROUND((DIRECT_IND_POS_0 * 32768)/BASE_IND,0)</f>
        <v>20401</v>
      </c>
      <c r="H8" s="9" t="str">
        <f>IF(G8&lt;&gt;"",IF(C8="float32",FLOAT2HEX(G8),DEC2HEX(G8,8)),"")</f>
        <v>00004FB1</v>
      </c>
      <c r="I8" s="9">
        <f>IF(G8&lt;&gt;"",HEX2DEC(H8),"")</f>
        <v>20401</v>
      </c>
    </row>
    <row r="9" spans="1:23" s="11" customFormat="1" ht="15" customHeight="1" x14ac:dyDescent="0.25">
      <c r="A9" s="56">
        <f>IF(I9&lt;&gt;"",MAX(A$1:A8)+1,"")</f>
        <v>2</v>
      </c>
      <c r="B9" s="45" t="s">
        <v>129</v>
      </c>
      <c r="C9" t="s">
        <v>57</v>
      </c>
      <c r="D9">
        <f t="shared" si="0"/>
        <v>4</v>
      </c>
      <c r="E9" s="2" t="s">
        <v>417</v>
      </c>
      <c r="F9"/>
      <c r="G9" s="11">
        <f>ROUND((DIRECT_CURR_POS_1 * 32768)/BASE_CURRENT,0)</f>
        <v>-3986</v>
      </c>
      <c r="H9" s="9" t="str">
        <f>IF(G9&lt;&gt;"",IF(C9="float32",FLOAT2HEX(G9),DEC2HEX(G9,8)),"")</f>
        <v>FFFFFFF06E</v>
      </c>
      <c r="I9" s="9">
        <f>IF(G9&lt;&gt;"",HEX2DEC(H9),"")</f>
        <v>-3986</v>
      </c>
    </row>
    <row r="10" spans="1:23" s="11" customFormat="1" ht="15" customHeight="1" x14ac:dyDescent="0.25">
      <c r="A10" s="56">
        <f>IF(I10&lt;&gt;"",MAX(A$1:A9)+1,"")</f>
        <v>3</v>
      </c>
      <c r="B10" s="45" t="s">
        <v>137</v>
      </c>
      <c r="C10" t="s">
        <v>57</v>
      </c>
      <c r="D10">
        <f>IF(OR(C10="sint64",C10="uint64",C10="double64"), 8, IF(OR(C10="sint32",C10="uint32",C10="float32"),4,IF(OR(C10="sint16",C10="uint16"),2,  IF(OR(C10="sint8",C10="uint8"),1,""))))</f>
        <v>4</v>
      </c>
      <c r="E10" s="2" t="s">
        <v>425</v>
      </c>
      <c r="F10"/>
      <c r="G10" s="11">
        <f>ROUND((DIRECT_IND_POS_1 * 32768)/BASE_IND,0)</f>
        <v>20401</v>
      </c>
      <c r="H10" s="9" t="str">
        <f>IF(G10&lt;&gt;"",IF(C10="float32",FLOAT2HEX(G10),DEC2HEX(G10,8)),"")</f>
        <v>00004FB1</v>
      </c>
      <c r="I10" s="9">
        <f>IF(G10&lt;&gt;"",HEX2DEC(H10),"")</f>
        <v>20401</v>
      </c>
    </row>
    <row r="11" spans="1:23" s="11" customFormat="1" ht="15" customHeight="1" x14ac:dyDescent="0.25">
      <c r="A11" s="56">
        <f>IF(I11&lt;&gt;"",MAX(A$1:A10)+1,"")</f>
        <v>4</v>
      </c>
      <c r="B11" s="45" t="s">
        <v>130</v>
      </c>
      <c r="C11" t="s">
        <v>57</v>
      </c>
      <c r="D11">
        <f t="shared" si="0"/>
        <v>4</v>
      </c>
      <c r="E11" s="2" t="s">
        <v>418</v>
      </c>
      <c r="F11"/>
      <c r="G11" s="11">
        <f>ROUND( (DIRECT_CURR_POS_2 * 32768)/BASE_CURRENT,0)</f>
        <v>-7973</v>
      </c>
      <c r="H11" s="9" t="str">
        <f>IF(G11&lt;&gt;"",IF(C11="float32",FLOAT2HEX(G11),DEC2HEX(G11,8)),"")</f>
        <v>FFFFFFE0DB</v>
      </c>
      <c r="I11" s="9">
        <f t="shared" ref="I11:I38" si="1">IF(G11&lt;&gt;"",HEX2DEC(H11),"")</f>
        <v>-7973</v>
      </c>
    </row>
    <row r="12" spans="1:23" s="11" customFormat="1" ht="15" customHeight="1" x14ac:dyDescent="0.25">
      <c r="A12" s="56">
        <f>IF(I12&lt;&gt;"",MAX(A$1:A11)+1,"")</f>
        <v>5</v>
      </c>
      <c r="B12" s="45" t="s">
        <v>138</v>
      </c>
      <c r="C12" t="s">
        <v>57</v>
      </c>
      <c r="D12">
        <f>IF(OR(C12="sint64",C12="uint64",C12="double64"), 8, IF(OR(C12="sint32",C12="uint32",C12="float32"),4,IF(OR(C12="sint16",C12="uint16"),2,  IF(OR(C12="sint8",C12="uint8"),1,""))))</f>
        <v>4</v>
      </c>
      <c r="E12" s="2" t="s">
        <v>426</v>
      </c>
      <c r="F12"/>
      <c r="G12" s="11">
        <f>ROUND((DIRECT_IND_POS_2*32768)/BASE_IND,0)</f>
        <v>20401</v>
      </c>
      <c r="H12" s="9" t="str">
        <f>IF(G12&lt;&gt;"",IF(C12="float32",FLOAT2HEX(G12),DEC2HEX(G12,8)),"")</f>
        <v>00004FB1</v>
      </c>
      <c r="I12" s="9">
        <f>IF(G12&lt;&gt;"",HEX2DEC(H12),"")</f>
        <v>20401</v>
      </c>
    </row>
    <row r="13" spans="1:23" s="11" customFormat="1" ht="15" customHeight="1" x14ac:dyDescent="0.25">
      <c r="A13" s="56">
        <f>IF(I13&lt;&gt;"",MAX(A$1:A12)+1,"")</f>
        <v>6</v>
      </c>
      <c r="B13" s="45" t="s">
        <v>131</v>
      </c>
      <c r="C13" t="s">
        <v>57</v>
      </c>
      <c r="D13">
        <f t="shared" si="0"/>
        <v>4</v>
      </c>
      <c r="E13" s="2" t="s">
        <v>419</v>
      </c>
      <c r="F13"/>
      <c r="G13" s="11">
        <f>ROUND((DIRECT_CURR_POS_3 * 32768)/BASE_CURRENT,0)</f>
        <v>-11959</v>
      </c>
      <c r="H13" s="9" t="str">
        <f>IF(G13&lt;&gt;"",IF(C13="float32",FLOAT2HEX(G13),DEC2HEX(G13,8)),"")</f>
        <v>FFFFFFD149</v>
      </c>
      <c r="I13" s="9">
        <f t="shared" si="1"/>
        <v>-11959</v>
      </c>
    </row>
    <row r="14" spans="1:23" s="11" customFormat="1" ht="15" customHeight="1" x14ac:dyDescent="0.25">
      <c r="A14" s="56">
        <f>IF(I14&lt;&gt;"",MAX(A$1:A13)+1,"")</f>
        <v>7</v>
      </c>
      <c r="B14" s="45" t="s">
        <v>139</v>
      </c>
      <c r="C14" t="s">
        <v>57</v>
      </c>
      <c r="D14">
        <f>IF(OR(C14="sint64",C14="uint64",C14="double64"), 8, IF(OR(C14="sint32",C14="uint32",C14="float32"),4,IF(OR(C14="sint16",C14="uint16"),2,  IF(OR(C14="sint8",C14="uint8"),1,""))))</f>
        <v>4</v>
      </c>
      <c r="E14" s="2" t="s">
        <v>427</v>
      </c>
      <c r="F14"/>
      <c r="G14" s="11">
        <f>ROUND( (DIRECT_IND_POS_3 * 32768)/BASE_IND,0)</f>
        <v>20401</v>
      </c>
      <c r="H14" s="9" t="str">
        <f>IF(G14&lt;&gt;"",IF(C14="float32",FLOAT2HEX(G14),DEC2HEX(G14,8)),"")</f>
        <v>00004FB1</v>
      </c>
      <c r="I14" s="9">
        <f>IF(G14&lt;&gt;"",HEX2DEC(H14),"")</f>
        <v>20401</v>
      </c>
    </row>
    <row r="15" spans="1:23" s="11" customFormat="1" ht="15" customHeight="1" x14ac:dyDescent="0.25">
      <c r="A15" s="56">
        <f>IF(I15&lt;&gt;"",MAX(A$1:A14)+1,"")</f>
        <v>8</v>
      </c>
      <c r="B15" s="45" t="s">
        <v>132</v>
      </c>
      <c r="C15" t="s">
        <v>57</v>
      </c>
      <c r="D15">
        <f t="shared" si="0"/>
        <v>4</v>
      </c>
      <c r="E15" s="2" t="s">
        <v>420</v>
      </c>
      <c r="F15"/>
      <c r="G15" s="11">
        <f>ROUND( (DIRECT_CURR_POS_4 * 32768)/BASE_CURRENT,0)</f>
        <v>-15945</v>
      </c>
      <c r="H15" s="9" t="str">
        <f>IF(G15&lt;&gt;"",IF(C15="float32",FLOAT2HEX(G15),DEC2HEX(G15,8)),"")</f>
        <v>FFFFFFC1B7</v>
      </c>
      <c r="I15" s="9">
        <f t="shared" si="1"/>
        <v>-15945</v>
      </c>
    </row>
    <row r="16" spans="1:23" s="11" customFormat="1" ht="15" customHeight="1" x14ac:dyDescent="0.25">
      <c r="A16" s="56">
        <f>IF(I16&lt;&gt;"",MAX(A$1:A15)+1,"")</f>
        <v>9</v>
      </c>
      <c r="B16" s="45" t="s">
        <v>140</v>
      </c>
      <c r="C16" t="s">
        <v>57</v>
      </c>
      <c r="D16">
        <f>IF(OR(C16="sint64",C16="uint64",C16="double64"), 8, IF(OR(C16="sint32",C16="uint32",C16="float32"),4,IF(OR(C16="sint16",C16="uint16"),2,  IF(OR(C16="sint8",C16="uint8"),1,""))))</f>
        <v>4</v>
      </c>
      <c r="E16" s="2" t="s">
        <v>428</v>
      </c>
      <c r="F16"/>
      <c r="G16" s="11">
        <f>ROUND((DIRECT_IND_POS_4 * 32768)/BASE_IND,0)</f>
        <v>20401</v>
      </c>
      <c r="H16" s="9" t="str">
        <f>IF(G16&lt;&gt;"",IF(C16="float32",FLOAT2HEX(G16),DEC2HEX(G16,8)),"")</f>
        <v>00004FB1</v>
      </c>
      <c r="I16" s="9">
        <f>IF(G16&lt;&gt;"",HEX2DEC(H16),"")</f>
        <v>20401</v>
      </c>
    </row>
    <row r="17" spans="1:9" s="11" customFormat="1" ht="15" customHeight="1" x14ac:dyDescent="0.25">
      <c r="A17" s="56">
        <f>IF(I17&lt;&gt;"",MAX(A$1:A16)+1,"")</f>
        <v>10</v>
      </c>
      <c r="B17" s="45" t="s">
        <v>133</v>
      </c>
      <c r="C17" t="s">
        <v>57</v>
      </c>
      <c r="D17">
        <f t="shared" si="0"/>
        <v>4</v>
      </c>
      <c r="E17" s="2" t="s">
        <v>421</v>
      </c>
      <c r="F17"/>
      <c r="G17" s="11">
        <f>ROUND((DIRECT_CURR_POS_5 * 32768)/BASE_CURRENT,0)</f>
        <v>-19932</v>
      </c>
      <c r="H17" s="9" t="str">
        <f>IF(G17&lt;&gt;"",IF(C17="float32",FLOAT2HEX(G17),DEC2HEX(G17,8)),"")</f>
        <v>FFFFFFB224</v>
      </c>
      <c r="I17" s="9">
        <f t="shared" si="1"/>
        <v>-19932</v>
      </c>
    </row>
    <row r="18" spans="1:9" s="11" customFormat="1" ht="15" customHeight="1" x14ac:dyDescent="0.25">
      <c r="A18" s="56">
        <f>IF(I18&lt;&gt;"",MAX(A$1:A17)+1,"")</f>
        <v>11</v>
      </c>
      <c r="B18" s="45" t="s">
        <v>141</v>
      </c>
      <c r="C18" t="s">
        <v>57</v>
      </c>
      <c r="D18">
        <f>IF(OR(C18="sint64",C18="uint64",C18="double64"), 8, IF(OR(C18="sint32",C18="uint32",C18="float32"),4,IF(OR(C18="sint16",C18="uint16"),2,  IF(OR(C18="sint8",C18="uint8"),1,""))))</f>
        <v>4</v>
      </c>
      <c r="E18" s="2" t="s">
        <v>429</v>
      </c>
      <c r="F18"/>
      <c r="G18" s="11">
        <f>ROUND( (DIRECT_IND_POS_5 * 32768)/BASE_IND,0)</f>
        <v>20401</v>
      </c>
      <c r="H18" s="9" t="str">
        <f>IF(G18&lt;&gt;"",IF(C18="float32",FLOAT2HEX(G18),DEC2HEX(G18,8)),"")</f>
        <v>00004FB1</v>
      </c>
      <c r="I18" s="9">
        <f>IF(G18&lt;&gt;"",HEX2DEC(H18),"")</f>
        <v>20401</v>
      </c>
    </row>
    <row r="19" spans="1:9" s="11" customFormat="1" ht="15" customHeight="1" x14ac:dyDescent="0.25">
      <c r="A19" s="56">
        <f>IF(I19&lt;&gt;"",MAX(A$1:A18)+1,"")</f>
        <v>12</v>
      </c>
      <c r="B19" s="45" t="s">
        <v>134</v>
      </c>
      <c r="C19" t="s">
        <v>57</v>
      </c>
      <c r="D19">
        <f t="shared" si="0"/>
        <v>4</v>
      </c>
      <c r="E19" s="2" t="s">
        <v>422</v>
      </c>
      <c r="F19"/>
      <c r="G19" s="11">
        <f>ROUND( (DIRECT_CURR_POS_6 * 32768)/BASE_CURRENT,0)</f>
        <v>-23918</v>
      </c>
      <c r="H19" s="9" t="str">
        <f>IF(G19&lt;&gt;"",IF(C19="float32",FLOAT2HEX(G19),DEC2HEX(G19,8)),"")</f>
        <v>FFFFFFA292</v>
      </c>
      <c r="I19" s="9">
        <f t="shared" si="1"/>
        <v>-23918</v>
      </c>
    </row>
    <row r="20" spans="1:9" s="11" customFormat="1" ht="15" customHeight="1" x14ac:dyDescent="0.25">
      <c r="A20" s="56">
        <f>IF(I20&lt;&gt;"",MAX(A$1:A19)+1,"")</f>
        <v>13</v>
      </c>
      <c r="B20" s="45" t="s">
        <v>142</v>
      </c>
      <c r="C20" t="s">
        <v>57</v>
      </c>
      <c r="D20">
        <f>IF(OR(C20="sint64",C20="uint64",C20="double64"), 8, IF(OR(C20="sint32",C20="uint32",C20="float32"),4,IF(OR(C20="sint16",C20="uint16"),2,  IF(OR(C20="sint8",C20="uint8"),1,""))))</f>
        <v>4</v>
      </c>
      <c r="E20" s="2" t="s">
        <v>430</v>
      </c>
      <c r="F20"/>
      <c r="G20" s="11">
        <f>ROUND((DIRECT_IND_POS_6 * 32768)/BASE_IND,0)</f>
        <v>20401</v>
      </c>
      <c r="H20" s="9" t="str">
        <f>IF(G20&lt;&gt;"",IF(C20="float32",FLOAT2HEX(G20),DEC2HEX(G20,8)),"")</f>
        <v>00004FB1</v>
      </c>
      <c r="I20" s="9">
        <f>IF(G20&lt;&gt;"",HEX2DEC(H20),"")</f>
        <v>20401</v>
      </c>
    </row>
    <row r="21" spans="1:9" s="11" customFormat="1" ht="15" customHeight="1" x14ac:dyDescent="0.25">
      <c r="A21" s="56">
        <f>IF(I21&lt;&gt;"",MAX(A$1:A20)+1,"")</f>
        <v>14</v>
      </c>
      <c r="B21" s="45" t="s">
        <v>135</v>
      </c>
      <c r="C21" t="s">
        <v>57</v>
      </c>
      <c r="D21">
        <f t="shared" si="0"/>
        <v>4</v>
      </c>
      <c r="E21" s="2" t="s">
        <v>423</v>
      </c>
      <c r="F21"/>
      <c r="G21" s="11">
        <f>ROUND((DIRECT_CURR_POS_7 * 32768)/BASE_CURRENT,0)</f>
        <v>-23918</v>
      </c>
      <c r="H21" s="9" t="str">
        <f>IF(G21&lt;&gt;"",IF(C21="float32",FLOAT2HEX(G21),DEC2HEX(G21,8)),"")</f>
        <v>FFFFFFA292</v>
      </c>
      <c r="I21" s="9">
        <f t="shared" si="1"/>
        <v>-23918</v>
      </c>
    </row>
    <row r="22" spans="1:9" s="11" customFormat="1" ht="15" customHeight="1" x14ac:dyDescent="0.25">
      <c r="A22" s="56">
        <f>IF(I22&lt;&gt;"",MAX(A$1:A21)+1,"")</f>
        <v>15</v>
      </c>
      <c r="B22" s="45" t="s">
        <v>143</v>
      </c>
      <c r="C22" t="s">
        <v>57</v>
      </c>
      <c r="D22">
        <f>IF(OR(C22="sint64",C22="uint64",C22="double64"), 8, IF(OR(C22="sint32",C22="uint32",C22="float32"),4,IF(OR(C22="sint16",C22="uint16"),2,  IF(OR(C22="sint8",C22="uint8"),1,""))))</f>
        <v>4</v>
      </c>
      <c r="E22" s="2" t="s">
        <v>431</v>
      </c>
      <c r="F22"/>
      <c r="G22" s="11">
        <f>ROUND( (DIRECT_IND_POS_7 * 32768)/BASE_IND,0)</f>
        <v>20401</v>
      </c>
      <c r="H22" s="9" t="str">
        <f>IF(G22&lt;&gt;"",IF(C22="float32",FLOAT2HEX(G22),DEC2HEX(G22,8)),"")</f>
        <v>00004FB1</v>
      </c>
      <c r="I22" s="9">
        <f>IF(G22&lt;&gt;"",HEX2DEC(H22),"")</f>
        <v>20401</v>
      </c>
    </row>
    <row r="23" spans="1:9" s="55" customFormat="1" ht="15" customHeight="1" x14ac:dyDescent="0.25">
      <c r="A23" s="56" t="str">
        <f>IF(I23&lt;&gt;"",MAX(A$1:A22)+1,"")</f>
        <v/>
      </c>
      <c r="B23" s="57"/>
      <c r="C23" s="51"/>
      <c r="D23" s="51"/>
      <c r="E23" s="52"/>
      <c r="F23" s="51"/>
      <c r="H23" s="54"/>
      <c r="I23" s="54"/>
    </row>
    <row r="24" spans="1:9" s="11" customFormat="1" ht="15" customHeight="1" x14ac:dyDescent="0.25">
      <c r="A24" s="56">
        <f>IF(I24&lt;&gt;"",MAX(A$1:A23)+1,"")</f>
        <v>16</v>
      </c>
      <c r="B24" s="45" t="s">
        <v>144</v>
      </c>
      <c r="C24" t="s">
        <v>57</v>
      </c>
      <c r="D24">
        <f t="shared" si="0"/>
        <v>4</v>
      </c>
      <c r="E24" s="2" t="s">
        <v>432</v>
      </c>
      <c r="F24"/>
      <c r="G24" s="11">
        <f>ROUND( (QUAD_CURR_POS_0 * 32768)/BASE_CURRENT,0)</f>
        <v>0</v>
      </c>
      <c r="H24" s="9" t="str">
        <f>IF(G24&lt;&gt;"",IF(C24="float32",FLOAT2HEX(G24),DEC2HEX(G24,8)),"")</f>
        <v>00000000</v>
      </c>
      <c r="I24" s="9">
        <f t="shared" si="1"/>
        <v>0</v>
      </c>
    </row>
    <row r="25" spans="1:9" s="11" customFormat="1" ht="15" customHeight="1" x14ac:dyDescent="0.25">
      <c r="A25" s="56">
        <f>IF(I25&lt;&gt;"",MAX(A$1:A24)+1,"")</f>
        <v>17</v>
      </c>
      <c r="B25" s="45" t="s">
        <v>152</v>
      </c>
      <c r="C25" t="s">
        <v>57</v>
      </c>
      <c r="D25">
        <f>IF(OR(C25="sint64",C25="uint64",C25="double64"), 8, IF(OR(C25="sint32",C25="uint32",C25="float32"),4,IF(OR(C25="sint16",C25="uint16"),2,  IF(OR(C25="sint8",C25="uint8"),1,""))))</f>
        <v>4</v>
      </c>
      <c r="E25" s="2" t="s">
        <v>440</v>
      </c>
      <c r="F25"/>
      <c r="G25" s="11">
        <f>ROUND( (QUAD_IND_POS_0 * 32768)/BASE_IND,0)</f>
        <v>26444</v>
      </c>
      <c r="H25" s="9" t="str">
        <f>IF(G25&lt;&gt;"",IF(C25="float32",FLOAT2HEX(G25),DEC2HEX(G25,8)),"")</f>
        <v>0000674C</v>
      </c>
      <c r="I25" s="9">
        <f>IF(G25&lt;&gt;"",HEX2DEC(H25),"")</f>
        <v>26444</v>
      </c>
    </row>
    <row r="26" spans="1:9" s="11" customFormat="1" ht="15" customHeight="1" x14ac:dyDescent="0.25">
      <c r="A26" s="56">
        <f>IF(I26&lt;&gt;"",MAX(A$1:A25)+1,"")</f>
        <v>18</v>
      </c>
      <c r="B26" s="45" t="s">
        <v>145</v>
      </c>
      <c r="C26" t="s">
        <v>57</v>
      </c>
      <c r="D26">
        <f t="shared" si="0"/>
        <v>4</v>
      </c>
      <c r="E26" s="2" t="s">
        <v>433</v>
      </c>
      <c r="F26"/>
      <c r="G26" s="11">
        <f>ROUND( (QUAD_CURR_POS_1 * 32768)/BASE_CURRENT,0)</f>
        <v>3986</v>
      </c>
      <c r="H26" s="9" t="str">
        <f>IF(G26&lt;&gt;"",IF(C26="float32",FLOAT2HEX(G26),DEC2HEX(G26,8)),"")</f>
        <v>00000F92</v>
      </c>
      <c r="I26" s="9">
        <f t="shared" si="1"/>
        <v>3986</v>
      </c>
    </row>
    <row r="27" spans="1:9" s="11" customFormat="1" ht="15" customHeight="1" x14ac:dyDescent="0.25">
      <c r="A27" s="56">
        <f>IF(I27&lt;&gt;"",MAX(A$1:A26)+1,"")</f>
        <v>19</v>
      </c>
      <c r="B27" s="45" t="s">
        <v>153</v>
      </c>
      <c r="C27" t="s">
        <v>57</v>
      </c>
      <c r="D27">
        <f>IF(OR(C27="sint64",C27="uint64",C27="double64"), 8, IF(OR(C27="sint32",C27="uint32",C27="float32"),4,IF(OR(C27="sint16",C27="uint16"),2,  IF(OR(C27="sint8",C27="uint8"),1,""))))</f>
        <v>4</v>
      </c>
      <c r="E27" s="2" t="s">
        <v>441</v>
      </c>
      <c r="F27"/>
      <c r="G27" s="11">
        <f>ROUND( (QUAD_IND_POS_1 * 32768)/BASE_IND,0)</f>
        <v>26762</v>
      </c>
      <c r="H27" s="9" t="str">
        <f>IF(G27&lt;&gt;"",IF(C27="float32",FLOAT2HEX(G27),DEC2HEX(G27,8)),"")</f>
        <v>0000688A</v>
      </c>
      <c r="I27" s="9">
        <f>IF(G27&lt;&gt;"",HEX2DEC(H27),"")</f>
        <v>26762</v>
      </c>
    </row>
    <row r="28" spans="1:9" s="11" customFormat="1" ht="15" customHeight="1" x14ac:dyDescent="0.25">
      <c r="A28" s="56">
        <f>IF(I28&lt;&gt;"",MAX(A$1:A27)+1,"")</f>
        <v>20</v>
      </c>
      <c r="B28" s="45" t="s">
        <v>146</v>
      </c>
      <c r="C28" t="s">
        <v>57</v>
      </c>
      <c r="D28">
        <f t="shared" si="0"/>
        <v>4</v>
      </c>
      <c r="E28" s="2" t="s">
        <v>434</v>
      </c>
      <c r="F28"/>
      <c r="G28" s="11">
        <f>ROUND( (QUAD_CURR_POS_2 * 32768)/BASE_CURRENT,0)</f>
        <v>7973</v>
      </c>
      <c r="H28" s="9" t="str">
        <f>IF(G28&lt;&gt;"",IF(C28="float32",FLOAT2HEX(G28),DEC2HEX(G28,8)),"")</f>
        <v>00001F25</v>
      </c>
      <c r="I28" s="9">
        <f t="shared" si="1"/>
        <v>7973</v>
      </c>
    </row>
    <row r="29" spans="1:9" s="11" customFormat="1" ht="15" customHeight="1" x14ac:dyDescent="0.25">
      <c r="A29" s="56">
        <f>IF(I29&lt;&gt;"",MAX(A$1:A28)+1,"")</f>
        <v>21</v>
      </c>
      <c r="B29" s="45" t="s">
        <v>154</v>
      </c>
      <c r="C29" t="s">
        <v>57</v>
      </c>
      <c r="D29">
        <f>IF(OR(C29="sint64",C29="uint64",C29="double64"), 8, IF(OR(C29="sint32",C29="uint32",C29="float32"),4,IF(OR(C29="sint16",C29="uint16"),2,  IF(OR(C29="sint8",C29="uint8"),1,""))))</f>
        <v>4</v>
      </c>
      <c r="E29" s="2" t="s">
        <v>442</v>
      </c>
      <c r="F29"/>
      <c r="G29" s="11">
        <f>ROUND( (QUAD_IND_POS_2 * 32768)/BASE_IND,0)</f>
        <v>26425</v>
      </c>
      <c r="H29" s="9" t="str">
        <f>IF(G29&lt;&gt;"",IF(C29="float32",FLOAT2HEX(G29),DEC2HEX(G29,8)),"")</f>
        <v>00006739</v>
      </c>
      <c r="I29" s="9">
        <f>IF(G29&lt;&gt;"",HEX2DEC(H29),"")</f>
        <v>26425</v>
      </c>
    </row>
    <row r="30" spans="1:9" s="11" customFormat="1" ht="15" customHeight="1" x14ac:dyDescent="0.25">
      <c r="A30" s="56">
        <f>IF(I30&lt;&gt;"",MAX(A$1:A29)+1,"")</f>
        <v>22</v>
      </c>
      <c r="B30" s="45" t="s">
        <v>147</v>
      </c>
      <c r="C30" t="s">
        <v>57</v>
      </c>
      <c r="D30">
        <f t="shared" si="0"/>
        <v>4</v>
      </c>
      <c r="E30" s="2" t="s">
        <v>435</v>
      </c>
      <c r="F30"/>
      <c r="G30" s="11">
        <f>ROUND( (QUAD_CURR_POS_3 * 32768)/BASE_CURRENT,0)</f>
        <v>11959</v>
      </c>
      <c r="H30" s="9" t="str">
        <f>IF(G30&lt;&gt;"",IF(C30="float32",FLOAT2HEX(G30),DEC2HEX(G30,8)),"")</f>
        <v>00002EB7</v>
      </c>
      <c r="I30" s="9">
        <f t="shared" si="1"/>
        <v>11959</v>
      </c>
    </row>
    <row r="31" spans="1:9" s="11" customFormat="1" ht="15" customHeight="1" x14ac:dyDescent="0.25">
      <c r="A31" s="56">
        <f>IF(I31&lt;&gt;"",MAX(A$1:A30)+1,"")</f>
        <v>23</v>
      </c>
      <c r="B31" s="45" t="s">
        <v>155</v>
      </c>
      <c r="C31" t="s">
        <v>57</v>
      </c>
      <c r="D31">
        <f>IF(OR(C31="sint64",C31="uint64",C31="double64"), 8, IF(OR(C31="sint32",C31="uint32",C31="float32"),4,IF(OR(C31="sint16",C31="uint16"),2,  IF(OR(C31="sint8",C31="uint8"),1,""))))</f>
        <v>4</v>
      </c>
      <c r="E31" s="2" t="s">
        <v>443</v>
      </c>
      <c r="F31"/>
      <c r="G31" s="11">
        <f>ROUND( (QUAD_IND_POS_3 * 32768)/BASE_IND,0)</f>
        <v>25499</v>
      </c>
      <c r="H31" s="9" t="str">
        <f>IF(G31&lt;&gt;"",IF(C31="float32",FLOAT2HEX(G31),DEC2HEX(G31,8)),"")</f>
        <v>0000639B</v>
      </c>
      <c r="I31" s="9">
        <f>IF(G31&lt;&gt;"",HEX2DEC(H31),"")</f>
        <v>25499</v>
      </c>
    </row>
    <row r="32" spans="1:9" s="11" customFormat="1" ht="15" customHeight="1" x14ac:dyDescent="0.25">
      <c r="A32" s="56">
        <f>IF(I32&lt;&gt;"",MAX(A$1:A31)+1,"")</f>
        <v>24</v>
      </c>
      <c r="B32" s="45" t="s">
        <v>148</v>
      </c>
      <c r="C32" t="s">
        <v>57</v>
      </c>
      <c r="D32">
        <f t="shared" si="0"/>
        <v>4</v>
      </c>
      <c r="E32" s="2" t="s">
        <v>436</v>
      </c>
      <c r="F32"/>
      <c r="G32" s="11">
        <f>ROUND( (QUAD_CURR_POS_4 * 32768)/BASE_CURRENT,0)</f>
        <v>15945</v>
      </c>
      <c r="H32" s="9" t="str">
        <f>IF(G32&lt;&gt;"",IF(C32="float32",FLOAT2HEX(G32),DEC2HEX(G32,8)),"")</f>
        <v>00003E49</v>
      </c>
      <c r="I32" s="9">
        <f t="shared" si="1"/>
        <v>15945</v>
      </c>
    </row>
    <row r="33" spans="1:9" s="11" customFormat="1" ht="15" customHeight="1" x14ac:dyDescent="0.25">
      <c r="A33" s="56">
        <f>IF(I33&lt;&gt;"",MAX(A$1:A32)+1,"")</f>
        <v>25</v>
      </c>
      <c r="B33" s="45" t="s">
        <v>156</v>
      </c>
      <c r="C33" t="s">
        <v>57</v>
      </c>
      <c r="D33">
        <f>IF(OR(C33="sint64",C33="uint64",C33="double64"), 8, IF(OR(C33="sint32",C33="uint32",C33="float32"),4,IF(OR(C33="sint16",C33="uint16"),2,  IF(OR(C33="sint8",C33="uint8"),1,""))))</f>
        <v>4</v>
      </c>
      <c r="E33" s="2" t="s">
        <v>444</v>
      </c>
      <c r="F33"/>
      <c r="G33" s="11">
        <f>ROUND( (QUAD_IND_POS_4 * 32768)/BASE_IND,0)</f>
        <v>23379</v>
      </c>
      <c r="H33" s="9" t="str">
        <f>IF(G33&lt;&gt;"",IF(C33="float32",FLOAT2HEX(G33),DEC2HEX(G33,8)),"")</f>
        <v>00005B53</v>
      </c>
      <c r="I33" s="9">
        <f>IF(G33&lt;&gt;"",HEX2DEC(H33),"")</f>
        <v>23379</v>
      </c>
    </row>
    <row r="34" spans="1:9" s="11" customFormat="1" ht="15" customHeight="1" x14ac:dyDescent="0.25">
      <c r="A34" s="56">
        <f>IF(I34&lt;&gt;"",MAX(A$1:A33)+1,"")</f>
        <v>26</v>
      </c>
      <c r="B34" s="45" t="s">
        <v>149</v>
      </c>
      <c r="C34" t="s">
        <v>57</v>
      </c>
      <c r="D34">
        <f t="shared" si="0"/>
        <v>4</v>
      </c>
      <c r="E34" s="2" t="s">
        <v>437</v>
      </c>
      <c r="F34"/>
      <c r="G34" s="11">
        <f>ROUND( (QUAD_CURR_POS_5 * 32768)/BASE_CURRENT,0)</f>
        <v>19932</v>
      </c>
      <c r="H34" s="9" t="str">
        <f>IF(G34&lt;&gt;"",IF(C34="float32",FLOAT2HEX(G34),DEC2HEX(G34,8)),"")</f>
        <v>00004DDC</v>
      </c>
      <c r="I34" s="9">
        <f t="shared" si="1"/>
        <v>19932</v>
      </c>
    </row>
    <row r="35" spans="1:9" s="11" customFormat="1" ht="15" customHeight="1" x14ac:dyDescent="0.25">
      <c r="A35" s="56">
        <f>IF(I35&lt;&gt;"",MAX(A$1:A34)+1,"")</f>
        <v>27</v>
      </c>
      <c r="B35" s="45" t="s">
        <v>157</v>
      </c>
      <c r="C35" t="s">
        <v>57</v>
      </c>
      <c r="D35">
        <f>IF(OR(C35="sint64",C35="uint64",C35="double64"), 8, IF(OR(C35="sint32",C35="uint32",C35="float32"),4,IF(OR(C35="sint16",C35="uint16"),2,  IF(OR(C35="sint8",C35="uint8"),1,""))))</f>
        <v>4</v>
      </c>
      <c r="E35" s="2" t="s">
        <v>445</v>
      </c>
      <c r="F35"/>
      <c r="G35" s="11">
        <f>ROUND( (QUAD_IND_POS_5 * 32768)/BASE_IND,0)</f>
        <v>22444</v>
      </c>
      <c r="H35" s="9" t="str">
        <f>IF(G35&lt;&gt;"",IF(C35="float32",FLOAT2HEX(G35),DEC2HEX(G35,8)),"")</f>
        <v>000057AC</v>
      </c>
      <c r="I35" s="9">
        <f>IF(G35&lt;&gt;"",HEX2DEC(H35),"")</f>
        <v>22444</v>
      </c>
    </row>
    <row r="36" spans="1:9" s="11" customFormat="1" ht="15" customHeight="1" x14ac:dyDescent="0.25">
      <c r="A36" s="56">
        <f>IF(I36&lt;&gt;"",MAX(A$1:A35)+1,"")</f>
        <v>28</v>
      </c>
      <c r="B36" s="45" t="s">
        <v>150</v>
      </c>
      <c r="C36" t="s">
        <v>57</v>
      </c>
      <c r="D36">
        <f t="shared" si="0"/>
        <v>4</v>
      </c>
      <c r="E36" s="2" t="s">
        <v>438</v>
      </c>
      <c r="F36"/>
      <c r="G36" s="11">
        <f>ROUND( (QUAD_CURR_POS_6 * 32768)/BASE_CURRENT,0)</f>
        <v>23918</v>
      </c>
      <c r="H36" s="9" t="str">
        <f>IF(G36&lt;&gt;"",IF(C36="float32",FLOAT2HEX(G36),DEC2HEX(G36,8)),"")</f>
        <v>00005D6E</v>
      </c>
      <c r="I36" s="9">
        <f t="shared" si="1"/>
        <v>23918</v>
      </c>
    </row>
    <row r="37" spans="1:9" s="11" customFormat="1" ht="15" customHeight="1" x14ac:dyDescent="0.25">
      <c r="A37" s="56">
        <f>IF(I37&lt;&gt;"",MAX(A$1:A36)+1,"")</f>
        <v>29</v>
      </c>
      <c r="B37" s="45" t="s">
        <v>158</v>
      </c>
      <c r="C37" t="s">
        <v>57</v>
      </c>
      <c r="D37">
        <f>IF(OR(C37="sint64",C37="uint64",C37="double64"), 8, IF(OR(C37="sint32",C37="uint32",C37="float32"),4,IF(OR(C37="sint16",C37="uint16"),2,  IF(OR(C37="sint8",C37="uint8"),1,""))))</f>
        <v>4</v>
      </c>
      <c r="E37" s="2" t="s">
        <v>446</v>
      </c>
      <c r="F37"/>
      <c r="G37" s="11">
        <f>ROUND( (QUAD_IND_POS_6 * 32768)/BASE_IND,0)</f>
        <v>21596</v>
      </c>
      <c r="H37" s="9" t="str">
        <f>IF(G37&lt;&gt;"",IF(C37="float32",FLOAT2HEX(G37),DEC2HEX(G37,8)),"")</f>
        <v>0000545C</v>
      </c>
      <c r="I37" s="9">
        <f>IF(G37&lt;&gt;"",HEX2DEC(H37),"")</f>
        <v>21596</v>
      </c>
    </row>
    <row r="38" spans="1:9" s="11" customFormat="1" ht="15" customHeight="1" x14ac:dyDescent="0.25">
      <c r="A38" s="56">
        <f>IF(I38&lt;&gt;"",MAX(A$1:A37)+1,"")</f>
        <v>30</v>
      </c>
      <c r="B38" s="45" t="s">
        <v>151</v>
      </c>
      <c r="C38" t="s">
        <v>57</v>
      </c>
      <c r="D38">
        <f t="shared" si="0"/>
        <v>4</v>
      </c>
      <c r="E38" s="2" t="s">
        <v>439</v>
      </c>
      <c r="F38"/>
      <c r="G38" s="11">
        <f>ROUND( (QUAD_CURR_POS_7 * 32768)/BASE_CURRENT,0)</f>
        <v>23918</v>
      </c>
      <c r="H38" s="9" t="str">
        <f>IF(G38&lt;&gt;"",IF(C38="float32",FLOAT2HEX(G38),DEC2HEX(G38,8)),"")</f>
        <v>00005D6E</v>
      </c>
      <c r="I38" s="9">
        <f t="shared" si="1"/>
        <v>23918</v>
      </c>
    </row>
    <row r="39" spans="1:9" s="11" customFormat="1" ht="15" customHeight="1" x14ac:dyDescent="0.25">
      <c r="A39" s="56">
        <f>IF(I39&lt;&gt;"",MAX(A$1:A38)+1,"")</f>
        <v>31</v>
      </c>
      <c r="B39" s="45" t="s">
        <v>159</v>
      </c>
      <c r="C39" t="s">
        <v>57</v>
      </c>
      <c r="D39">
        <f>IF(OR(C39="sint64",C39="uint64",C39="double64"), 8, IF(OR(C39="sint32",C39="uint32",C39="float32"),4,IF(OR(C39="sint16",C39="uint16"),2,  IF(OR(C39="sint8",C39="uint8"),1,""))))</f>
        <v>4</v>
      </c>
      <c r="E39" s="2" t="s">
        <v>447</v>
      </c>
      <c r="F39"/>
      <c r="G39" s="11">
        <f>ROUND( (QUAD_IND_POS_7 * 32768)/BASE_IND,0)</f>
        <v>21596</v>
      </c>
      <c r="H39" s="9" t="str">
        <f>IF(G39&lt;&gt;"",IF(C39="float32",FLOAT2HEX(G39),DEC2HEX(G39,8)),"")</f>
        <v>0000545C</v>
      </c>
      <c r="I39" s="9">
        <f>IF(G39&lt;&gt;"",HEX2DEC(H39),"")</f>
        <v>21596</v>
      </c>
    </row>
    <row r="40" spans="1:9" s="55" customFormat="1" ht="15" customHeight="1" x14ac:dyDescent="0.25">
      <c r="A40" s="94">
        <f>IF(I40&lt;&gt;"",MAX(A$1:A39)+1,"")</f>
        <v>32</v>
      </c>
      <c r="B40" s="95" t="s">
        <v>981</v>
      </c>
      <c r="C40" s="101" t="s">
        <v>57</v>
      </c>
      <c r="D40" s="101">
        <f t="shared" ref="D40" si="2">IF(OR(C40="sint64",C40="uint64",C40="double64"), 8, IF(OR(C40="sint32",C40="uint32",C40="float32"),4,IF(OR(C40="sint16",C40="uint16"),2,  IF(OR(C40="sint8",C40="uint8"),1,""))))</f>
        <v>4</v>
      </c>
      <c r="E40" s="87" t="s">
        <v>982</v>
      </c>
      <c r="F40" s="101"/>
      <c r="G40" s="93">
        <f>(A39+1)/4-1</f>
        <v>7</v>
      </c>
      <c r="H40" s="92" t="str">
        <f>IF(G40&lt;&gt;"",IF(C40="float32",FLOAT2HEX(G40),DEC2HEX(G40,8)),"")</f>
        <v>00000007</v>
      </c>
      <c r="I40" s="92">
        <f t="shared" ref="I40" si="3">IF(G40&lt;&gt;"",HEX2DEC(H40),"")</f>
        <v>7</v>
      </c>
    </row>
    <row r="41" spans="1:9" s="11" customFormat="1" ht="15" customHeight="1" x14ac:dyDescent="0.25">
      <c r="A41" s="56"/>
      <c r="B41" s="45"/>
      <c r="C41"/>
      <c r="D41"/>
      <c r="E41" s="2"/>
      <c r="F41"/>
      <c r="H41" s="9"/>
      <c r="I41" s="9"/>
    </row>
    <row r="42" spans="1:9" ht="15" customHeight="1" x14ac:dyDescent="0.25">
      <c r="A42" s="56"/>
      <c r="B42" s="45"/>
      <c r="E42" s="2"/>
      <c r="G42" s="11"/>
      <c r="H42" s="9"/>
      <c r="I42" s="9"/>
    </row>
    <row r="43" spans="1:9" s="11" customFormat="1" ht="15" customHeight="1" x14ac:dyDescent="0.25">
      <c r="A43" s="56"/>
      <c r="B43" s="45"/>
      <c r="C43"/>
      <c r="D43"/>
      <c r="E43" s="2"/>
      <c r="F43"/>
      <c r="H43" s="9"/>
      <c r="I43" s="9"/>
    </row>
    <row r="44" spans="1:9" ht="15" customHeight="1" x14ac:dyDescent="0.25">
      <c r="A44" s="56"/>
      <c r="B44" s="45"/>
      <c r="E44" s="2"/>
      <c r="G44" s="11"/>
      <c r="H44" s="9"/>
      <c r="I44" s="9"/>
    </row>
    <row r="45" spans="1:9" s="11" customFormat="1" ht="15" customHeight="1" x14ac:dyDescent="0.25">
      <c r="A45" s="56"/>
      <c r="B45" s="45"/>
      <c r="C45"/>
      <c r="D45"/>
      <c r="E45" s="2"/>
      <c r="F45"/>
      <c r="H45" s="9"/>
      <c r="I45" s="9"/>
    </row>
    <row r="46" spans="1:9" ht="15" customHeight="1" x14ac:dyDescent="0.25">
      <c r="A46" s="56"/>
      <c r="B46" s="45"/>
      <c r="E46" s="2"/>
      <c r="G46" s="11"/>
      <c r="H46" s="9"/>
      <c r="I46" s="9"/>
    </row>
    <row r="47" spans="1:9" s="11" customFormat="1" ht="15" customHeight="1" x14ac:dyDescent="0.25">
      <c r="A47" s="56"/>
      <c r="B47" s="45"/>
      <c r="C47"/>
      <c r="D47"/>
      <c r="E47" s="2"/>
      <c r="F47"/>
      <c r="H47" s="9"/>
      <c r="I47" s="9"/>
    </row>
    <row r="48" spans="1:9" ht="15" customHeight="1" x14ac:dyDescent="0.25">
      <c r="A48" s="56"/>
      <c r="B48" s="45"/>
      <c r="E48" s="2"/>
      <c r="G48" s="11"/>
      <c r="H48" s="9"/>
      <c r="I48" s="9"/>
    </row>
    <row r="49" spans="1:9" s="11" customFormat="1" ht="15" customHeight="1" x14ac:dyDescent="0.25">
      <c r="A49" s="56"/>
      <c r="B49" s="45"/>
      <c r="C49"/>
      <c r="D49"/>
      <c r="E49" s="2"/>
      <c r="F49"/>
      <c r="H49" s="9"/>
      <c r="I49" s="9"/>
    </row>
    <row r="50" spans="1:9" ht="15" customHeight="1" x14ac:dyDescent="0.25">
      <c r="A50" s="56"/>
      <c r="B50" s="45"/>
      <c r="E50" s="2"/>
      <c r="G50" s="11"/>
      <c r="H50" s="9"/>
      <c r="I50" s="9"/>
    </row>
    <row r="51" spans="1:9" s="11" customFormat="1" ht="15" customHeight="1" x14ac:dyDescent="0.25">
      <c r="A51" s="56"/>
      <c r="B51" s="45"/>
      <c r="C51"/>
      <c r="D51"/>
      <c r="E51" s="2"/>
      <c r="F51"/>
      <c r="H51" s="9"/>
      <c r="I51" s="9"/>
    </row>
    <row r="52" spans="1:9" ht="15" customHeight="1" x14ac:dyDescent="0.25">
      <c r="A52" s="56"/>
      <c r="B52" s="45"/>
      <c r="E52" s="2"/>
      <c r="G52" s="11"/>
      <c r="H52" s="9"/>
      <c r="I52" s="9"/>
    </row>
    <row r="53" spans="1:9" s="11" customFormat="1" ht="15" customHeight="1" x14ac:dyDescent="0.25">
      <c r="A53" s="56"/>
      <c r="B53" s="45"/>
      <c r="C53"/>
      <c r="D53"/>
      <c r="E53" s="2"/>
      <c r="F53"/>
      <c r="H53" s="9"/>
      <c r="I53" s="9"/>
    </row>
    <row r="54" spans="1:9" ht="15" customHeight="1" x14ac:dyDescent="0.25">
      <c r="A54" s="56"/>
      <c r="B54" s="45"/>
      <c r="E54" s="2"/>
      <c r="G54" s="11"/>
      <c r="H54" s="9"/>
      <c r="I54" s="9"/>
    </row>
    <row r="55" spans="1:9" ht="15" customHeight="1" x14ac:dyDescent="0.25">
      <c r="A55" s="56"/>
      <c r="B55" s="45"/>
      <c r="E55" s="2"/>
      <c r="G55" s="11"/>
      <c r="H55" s="9"/>
      <c r="I55" s="9"/>
    </row>
    <row r="56" spans="1:9" ht="15" customHeight="1" x14ac:dyDescent="0.25">
      <c r="A56" s="56"/>
      <c r="B56" s="45"/>
      <c r="E56" s="2"/>
      <c r="G56" s="11"/>
      <c r="H56" s="9"/>
      <c r="I56" s="9"/>
    </row>
    <row r="57" spans="1:9" x14ac:dyDescent="0.25">
      <c r="A57" s="56" t="str">
        <f>IF(I57&lt;&gt;"",MAX(A$1:A56)+1,"")</f>
        <v/>
      </c>
    </row>
    <row r="58" spans="1:9" x14ac:dyDescent="0.25">
      <c r="A58" s="56" t="str">
        <f>IF(I58&lt;&gt;"",MAX(A$1:A57)+1,"")</f>
        <v/>
      </c>
    </row>
    <row r="59" spans="1:9" x14ac:dyDescent="0.25">
      <c r="A59" s="56" t="str">
        <f>IF(I59&lt;&gt;"",MAX(A$1:A58)+1,"")</f>
        <v/>
      </c>
    </row>
  </sheetData>
  <mergeCells count="2">
    <mergeCell ref="B1:H1"/>
    <mergeCell ref="B3:C3"/>
  </mergeCells>
  <dataValidations count="1">
    <dataValidation type="list" allowBlank="1" showInputMessage="1" showErrorMessage="1" sqref="C7:C56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46"/>
  <sheetViews>
    <sheetView zoomScale="85" zoomScaleNormal="85" workbookViewId="0">
      <pane ySplit="5" topLeftCell="A6" activePane="bottomLeft" state="frozen"/>
      <selection activeCell="A285" sqref="A285"/>
      <selection pane="bottomLeft" activeCell="G17" sqref="G17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2" width="9.140625" style="11"/>
  </cols>
  <sheetData>
    <row r="1" spans="1:22" ht="28.5" customHeight="1" x14ac:dyDescent="0.25">
      <c r="B1" s="110" t="s">
        <v>585</v>
      </c>
      <c r="C1" s="110"/>
      <c r="D1" s="110"/>
      <c r="E1" s="110"/>
      <c r="F1" s="110"/>
      <c r="G1" s="110"/>
      <c r="H1" s="110"/>
      <c r="I1" s="10"/>
      <c r="J1" s="10"/>
      <c r="K1" s="10"/>
      <c r="L1" s="10"/>
      <c r="M1" s="10"/>
    </row>
    <row r="2" spans="1:22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3"/>
      <c r="O2" s="13"/>
      <c r="P2" s="13"/>
      <c r="Q2" s="13"/>
      <c r="R2" s="13"/>
      <c r="S2" s="13"/>
      <c r="T2" s="13"/>
      <c r="U2" s="13"/>
      <c r="V2" s="13"/>
    </row>
    <row r="3" spans="1:22" s="9" customFormat="1" ht="19.5" customHeight="1" x14ac:dyDescent="0.3">
      <c r="A3" s="23"/>
      <c r="B3" s="111" t="s">
        <v>162</v>
      </c>
      <c r="C3" s="111"/>
      <c r="D3" s="24">
        <f>SUM(D6:D1542)</f>
        <v>160</v>
      </c>
      <c r="E3" s="24"/>
      <c r="F3" s="24"/>
      <c r="G3" s="24"/>
      <c r="H3" s="25"/>
      <c r="I3" s="16"/>
      <c r="J3" s="16"/>
      <c r="K3" s="16"/>
      <c r="L3" s="16"/>
      <c r="M3" s="16"/>
      <c r="N3" s="13"/>
      <c r="O3" s="13"/>
      <c r="P3" s="13"/>
      <c r="Q3" s="13"/>
      <c r="R3" s="13"/>
      <c r="S3" s="13"/>
      <c r="T3" s="13"/>
      <c r="U3" s="13"/>
      <c r="V3" s="13"/>
    </row>
    <row r="4" spans="1:22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3"/>
      <c r="O4" s="13"/>
      <c r="P4" s="13"/>
      <c r="Q4" s="13"/>
      <c r="R4" s="13"/>
      <c r="S4" s="13"/>
      <c r="T4" s="13"/>
      <c r="U4" s="13"/>
      <c r="V4" s="13"/>
    </row>
    <row r="5" spans="1:22" s="9" customFormat="1" ht="18.75" customHeight="1" x14ac:dyDescent="0.25">
      <c r="A5" s="24" t="s">
        <v>164</v>
      </c>
      <c r="B5" s="41" t="s">
        <v>16</v>
      </c>
      <c r="C5" s="24" t="s">
        <v>161</v>
      </c>
      <c r="D5" s="24" t="s">
        <v>160</v>
      </c>
      <c r="E5" s="24" t="s">
        <v>17</v>
      </c>
      <c r="F5" s="27"/>
      <c r="G5" s="27" t="s">
        <v>21</v>
      </c>
      <c r="H5" s="27" t="s">
        <v>509</v>
      </c>
      <c r="I5" s="27" t="s">
        <v>602</v>
      </c>
      <c r="J5" s="16"/>
      <c r="K5" s="16"/>
      <c r="L5" s="16"/>
      <c r="M5" s="16"/>
      <c r="N5" s="13"/>
      <c r="O5" s="13"/>
      <c r="P5" s="13"/>
      <c r="Q5" s="13"/>
      <c r="R5" s="13"/>
      <c r="S5" s="13"/>
      <c r="T5" s="13"/>
      <c r="U5" s="13"/>
      <c r="V5" s="13"/>
    </row>
    <row r="6" spans="1:22" s="9" customFormat="1" ht="20.25" customHeight="1" x14ac:dyDescent="0.25">
      <c r="A6" s="22"/>
      <c r="B6" s="44" t="s">
        <v>513</v>
      </c>
      <c r="C6" s="21"/>
      <c r="D6" s="21"/>
      <c r="E6" s="21"/>
      <c r="F6" s="21"/>
      <c r="G6" s="21" t="str">
        <f>IF(F6&lt;&gt;"",DEC2HEX(F6,4),"")</f>
        <v/>
      </c>
      <c r="H6" s="21" t="str">
        <f>IF(G6&lt;&gt;"",DEC2HEX(G6,4),"")</f>
        <v/>
      </c>
      <c r="I6" s="21"/>
      <c r="J6" s="16"/>
      <c r="K6" s="16"/>
      <c r="L6" s="16"/>
      <c r="M6" s="16"/>
      <c r="N6" s="13"/>
      <c r="O6" s="13"/>
      <c r="P6" s="13"/>
      <c r="Q6" s="13"/>
      <c r="R6" s="13"/>
      <c r="S6" s="13"/>
      <c r="T6" s="13"/>
      <c r="U6" s="13"/>
      <c r="V6" s="13"/>
    </row>
    <row r="7" spans="1:22" ht="15" customHeight="1" x14ac:dyDescent="0.25">
      <c r="A7" s="22">
        <v>0</v>
      </c>
      <c r="B7" s="45" t="s">
        <v>514</v>
      </c>
      <c r="C7" t="s">
        <v>57</v>
      </c>
      <c r="D7">
        <f t="shared" ref="D7:D44" si="0">IF(OR(C7="sint64",C7="uint64",C7="double64"), 8, IF(OR(C7="sint32",C7="uint32",C7="float32"),4,IF(OR(C7="sint16",C7="uint16"),2,  IF(OR(C7="sint8",C7="uint8"),1,""))))</f>
        <v>4</v>
      </c>
      <c r="E7" s="2" t="s">
        <v>515</v>
      </c>
      <c r="G7" s="11">
        <f>ROUND(((MAX_PHASE_CURR*MAX_PHASE_CURR  * 32768* 32768)/(BASE_CURRENT * BASE_CURRENT)),0)</f>
        <v>778667978</v>
      </c>
      <c r="H7" s="9" t="str">
        <f>IF(G7&lt;&gt;"",IF(C7="float32",FLOAT2HEX(G7),DEC2HEX(G7,8)),"")</f>
        <v>2E6987CA</v>
      </c>
      <c r="I7" s="9">
        <f>IF(G7&lt;&gt;"",HEX2DEC(H7),"")</f>
        <v>778667978</v>
      </c>
    </row>
    <row r="8" spans="1:22" ht="15" customHeight="1" x14ac:dyDescent="0.25">
      <c r="A8" s="22">
        <f>IF(I8&lt;&gt;"",MAX(A$1:A7)+1,"")</f>
        <v>1</v>
      </c>
      <c r="B8" s="45" t="s">
        <v>516</v>
      </c>
      <c r="C8" t="s">
        <v>57</v>
      </c>
      <c r="D8">
        <f t="shared" si="0"/>
        <v>4</v>
      </c>
      <c r="E8" s="2" t="s">
        <v>517</v>
      </c>
      <c r="G8" s="11">
        <f>ROUND((TE_MAX * 32768)/BASE_TORQ,0)</f>
        <v>9508</v>
      </c>
      <c r="H8" s="9" t="str">
        <f>IF(G8&lt;&gt;"",IF(C8="float32",FLOAT2HEX(G8),DEC2HEX(G8,8)),"")</f>
        <v>00002524</v>
      </c>
      <c r="I8" s="9">
        <f t="shared" ref="I8:I44" si="1">IF(G8&lt;&gt;"",HEX2DEC(H8),"")</f>
        <v>9508</v>
      </c>
    </row>
    <row r="9" spans="1:22" ht="15" customHeight="1" x14ac:dyDescent="0.25">
      <c r="A9" s="22">
        <f>IF(I9&lt;&gt;"",MAX(A$1:A8)+1,"")</f>
        <v>2</v>
      </c>
      <c r="B9" s="95" t="s">
        <v>518</v>
      </c>
      <c r="C9" t="s">
        <v>57</v>
      </c>
      <c r="D9">
        <f t="shared" si="0"/>
        <v>4</v>
      </c>
      <c r="E9" s="2" t="s">
        <v>519</v>
      </c>
      <c r="G9" s="11">
        <f>ROUND((FORCE_MAX_STARTING_TORQUE * (32768/BASE_TORQ)),0)</f>
        <v>4041</v>
      </c>
      <c r="H9" s="9" t="str">
        <f>IF(G9&lt;&gt;"",IF(C9="float32",FLOAT2HEX(G9),DEC2HEX(G9,8)),"")</f>
        <v>00000FC9</v>
      </c>
      <c r="I9" s="9">
        <f t="shared" si="1"/>
        <v>4041</v>
      </c>
    </row>
    <row r="10" spans="1:22" ht="15" customHeight="1" x14ac:dyDescent="0.25">
      <c r="A10" s="22">
        <f>IF(I10&lt;&gt;"",MAX(A$1:A9)+1,"")</f>
        <v>3</v>
      </c>
      <c r="B10" s="45" t="s">
        <v>520</v>
      </c>
      <c r="C10" t="s">
        <v>63</v>
      </c>
      <c r="D10">
        <f t="shared" si="0"/>
        <v>4</v>
      </c>
      <c r="E10" s="87" t="s">
        <v>1008</v>
      </c>
      <c r="G10" s="11">
        <f>ROUND(((1000) * FORCE_MAX_STARTING_TIME),0)</f>
        <v>1000</v>
      </c>
      <c r="H10" s="9" t="str">
        <f>IF(G10&lt;&gt;"",IF(C10="float32",FLOAT2HEX(G10),DEC2HEX(G10,8)),"")</f>
        <v>000003E8</v>
      </c>
      <c r="I10" s="9">
        <f t="shared" si="1"/>
        <v>1000</v>
      </c>
    </row>
    <row r="11" spans="1:22" ht="15" customHeight="1" x14ac:dyDescent="0.25">
      <c r="A11" s="22">
        <f>IF(I11&lt;&gt;"",MAX(A$1:A10)+1,"")</f>
        <v>4</v>
      </c>
      <c r="B11" s="45" t="s">
        <v>521</v>
      </c>
      <c r="C11" t="s">
        <v>57</v>
      </c>
      <c r="D11">
        <f t="shared" si="0"/>
        <v>4</v>
      </c>
      <c r="E11" s="2" t="s">
        <v>409</v>
      </c>
      <c r="G11" s="11">
        <f>ROUND((ROTOR_LAMBDAM * 32768)/BASE_FLUX,0)</f>
        <v>9907</v>
      </c>
      <c r="H11" s="9" t="str">
        <f>IF(G11&lt;&gt;"",IF(C11="float32",FLOAT2HEX(G11),DEC2HEX(G11,8)),"")</f>
        <v>000026B3</v>
      </c>
      <c r="I11" s="9">
        <f t="shared" si="1"/>
        <v>9907</v>
      </c>
    </row>
    <row r="12" spans="1:22" ht="15" customHeight="1" x14ac:dyDescent="0.25">
      <c r="A12" s="22">
        <f>IF(I12&lt;&gt;"",MAX(A$1:A11)+1,"")</f>
        <v>5</v>
      </c>
      <c r="B12" s="45" t="s">
        <v>522</v>
      </c>
      <c r="C12" t="s">
        <v>57</v>
      </c>
      <c r="D12">
        <f t="shared" si="0"/>
        <v>4</v>
      </c>
      <c r="E12" s="2" t="s">
        <v>523</v>
      </c>
      <c r="G12" s="11">
        <f>ROUND((((STATOR_INDUCTANCE_D/1000)*MAX_PHASE_CURR + ROTOR_LAMBDAM)/BASE_FLUX)*32768,0)</f>
        <v>28749</v>
      </c>
      <c r="H12" s="9" t="str">
        <f>IF(G12&lt;&gt;"",IF(C12="float32",FLOAT2HEX(G12),DEC2HEX(G12,8)),"")</f>
        <v>0000704D</v>
      </c>
      <c r="I12" s="9">
        <f t="shared" si="1"/>
        <v>28749</v>
      </c>
    </row>
    <row r="13" spans="1:22" ht="15" customHeight="1" x14ac:dyDescent="0.25">
      <c r="A13" s="22">
        <f>IF(I13&lt;&gt;"",MAX(A$1:A12)+1,"")</f>
        <v>6</v>
      </c>
      <c r="B13" s="45" t="s">
        <v>524</v>
      </c>
      <c r="C13" t="s">
        <v>57</v>
      </c>
      <c r="D13">
        <f t="shared" si="0"/>
        <v>4</v>
      </c>
      <c r="E13" s="2" t="s">
        <v>525</v>
      </c>
      <c r="G13" s="11">
        <f>ROUND(((STATOR_INDUCTANCE_D * 32768)/BASE_IND),0)</f>
        <v>22126</v>
      </c>
      <c r="H13" s="9" t="str">
        <f>IF(G13&lt;&gt;"",IF(C13="float32",FLOAT2HEX(G13),DEC2HEX(G13,8)),"")</f>
        <v>0000566E</v>
      </c>
      <c r="I13" s="9">
        <f t="shared" si="1"/>
        <v>22126</v>
      </c>
    </row>
    <row r="14" spans="1:22" ht="15" customHeight="1" x14ac:dyDescent="0.25">
      <c r="A14" s="22">
        <f>IF(I14&lt;&gt;"",MAX(A$1:A13)+1,"")</f>
        <v>7</v>
      </c>
      <c r="B14" s="45" t="s">
        <v>526</v>
      </c>
      <c r="C14" t="s">
        <v>57</v>
      </c>
      <c r="D14">
        <f t="shared" si="0"/>
        <v>4</v>
      </c>
      <c r="E14" s="2" t="s">
        <v>527</v>
      </c>
      <c r="G14" s="11">
        <f>ROUND(((SPEED_KP_REGION_0 * BASE_SPEED_RPM * (2^15)) / BASE_TORQ),0)</f>
        <v>41582</v>
      </c>
      <c r="H14" s="9" t="str">
        <f>IF(G14&lt;&gt;"",IF(C14="float32",FLOAT2HEX(G14),DEC2HEX(G14,8)),"")</f>
        <v>0000A26E</v>
      </c>
      <c r="I14" s="9">
        <f t="shared" si="1"/>
        <v>41582</v>
      </c>
    </row>
    <row r="15" spans="1:22" ht="15" customHeight="1" x14ac:dyDescent="0.25">
      <c r="A15" s="22">
        <f>IF(I15&lt;&gt;"",MAX(A$1:A14)+1,"")</f>
        <v>8</v>
      </c>
      <c r="B15" s="45" t="s">
        <v>528</v>
      </c>
      <c r="C15" t="s">
        <v>57</v>
      </c>
      <c r="D15">
        <f t="shared" si="0"/>
        <v>4</v>
      </c>
      <c r="E15" s="2" t="s">
        <v>529</v>
      </c>
      <c r="G15" s="11">
        <f>ROUND(((SPEED_KI_REGION_0 * BASE_SPEED_RPM * OBSERVER_TS * (2^20)) / BASE_TORQ),0)</f>
        <v>291</v>
      </c>
      <c r="H15" s="9" t="str">
        <f>IF(G15&lt;&gt;"",IF(C15="float32",FLOAT2HEX(G15),DEC2HEX(G15,8)),"")</f>
        <v>00000123</v>
      </c>
      <c r="I15" s="9">
        <f t="shared" si="1"/>
        <v>291</v>
      </c>
    </row>
    <row r="16" spans="1:22" ht="15" customHeight="1" x14ac:dyDescent="0.25">
      <c r="A16" s="22">
        <f>IF(I16&lt;&gt;"",MAX(A$1:A15)+1,"")</f>
        <v>9</v>
      </c>
      <c r="B16" s="45" t="s">
        <v>530</v>
      </c>
      <c r="C16" t="s">
        <v>63</v>
      </c>
      <c r="D16">
        <f t="shared" si="0"/>
        <v>4</v>
      </c>
      <c r="E16" s="87" t="s">
        <v>1009</v>
      </c>
      <c r="G16" s="11">
        <f>ROUND(((1000) * TIME_FORCE_USE_DEFAULT_SPEED_GAINS),0)</f>
        <v>1000</v>
      </c>
      <c r="H16" s="9" t="str">
        <f>IF(G16&lt;&gt;"",IF(C16="float32",FLOAT2HEX(G16),DEC2HEX(G16,8)),"")</f>
        <v>000003E8</v>
      </c>
      <c r="I16" s="9">
        <f t="shared" si="1"/>
        <v>1000</v>
      </c>
    </row>
    <row r="17" spans="1:9" ht="15" customHeight="1" x14ac:dyDescent="0.25">
      <c r="A17" s="22">
        <f>IF(I17&lt;&gt;"",MAX(A$1:A16)+1,"")</f>
        <v>10</v>
      </c>
      <c r="B17" s="45" t="s">
        <v>531</v>
      </c>
      <c r="C17" t="s">
        <v>57</v>
      </c>
      <c r="D17">
        <f t="shared" si="0"/>
        <v>4</v>
      </c>
      <c r="E17" s="2" t="s">
        <v>532</v>
      </c>
      <c r="G17" s="11">
        <f>ROUND(LOAD_ANGLE_COS_MAX * 32768,0)</f>
        <v>-8520</v>
      </c>
      <c r="H17" s="9" t="str">
        <f>IF(G17&lt;&gt;"",IF(C17="float32",FLOAT2HEX(G17),DEC2HEX(G17,8)),"")</f>
        <v>FFFFFFDEB8</v>
      </c>
      <c r="I17" s="9">
        <f t="shared" si="1"/>
        <v>-8520</v>
      </c>
    </row>
    <row r="18" spans="1:9" ht="15" customHeight="1" x14ac:dyDescent="0.25">
      <c r="A18" s="22">
        <f>IF(I18&lt;&gt;"",MAX(A$1:A17)+1,"")</f>
        <v>11</v>
      </c>
      <c r="B18" s="45" t="s">
        <v>533</v>
      </c>
      <c r="C18" t="s">
        <v>57</v>
      </c>
      <c r="D18">
        <f t="shared" si="0"/>
        <v>4</v>
      </c>
      <c r="E18" s="2" t="s">
        <v>534</v>
      </c>
      <c r="G18" s="11">
        <f>ROUND(((LOAD_ANGLE_KP * (2^15)) / BASE_TORQ),0)</f>
        <v>1189</v>
      </c>
      <c r="H18" s="9" t="str">
        <f>IF(G18&lt;&gt;"",IF(C18="float32",FLOAT2HEX(G18),DEC2HEX(G18,8)),"")</f>
        <v>000004A5</v>
      </c>
      <c r="I18" s="9">
        <f t="shared" si="1"/>
        <v>1189</v>
      </c>
    </row>
    <row r="19" spans="1:9" ht="15" customHeight="1" x14ac:dyDescent="0.25">
      <c r="A19" s="22">
        <f>IF(I19&lt;&gt;"",MAX(A$1:A18)+1,"")</f>
        <v>12</v>
      </c>
      <c r="B19" s="45" t="s">
        <v>535</v>
      </c>
      <c r="C19" t="s">
        <v>57</v>
      </c>
      <c r="D19">
        <f t="shared" si="0"/>
        <v>4</v>
      </c>
      <c r="E19" s="2" t="s">
        <v>536</v>
      </c>
      <c r="G19" s="11">
        <f>ROUND(((LOAD_ANGLE_KI * OBSERVER_TS * (2^15)) / BASE_TORQ),0)</f>
        <v>19908</v>
      </c>
      <c r="H19" s="9" t="str">
        <f>IF(G19&lt;&gt;"",IF(C19="float32",FLOAT2HEX(G19),DEC2HEX(G19,8)),"")</f>
        <v>00004DC4</v>
      </c>
      <c r="I19" s="9">
        <f t="shared" si="1"/>
        <v>19908</v>
      </c>
    </row>
    <row r="20" spans="1:9" ht="15" customHeight="1" x14ac:dyDescent="0.25">
      <c r="A20" s="22">
        <f>IF(I20&lt;&gt;"",MAX(A$1:A19)+1,"")</f>
        <v>13</v>
      </c>
      <c r="B20" s="45" t="s">
        <v>537</v>
      </c>
      <c r="C20" t="s">
        <v>63</v>
      </c>
      <c r="D20">
        <f t="shared" si="0"/>
        <v>4</v>
      </c>
      <c r="E20" s="2" t="s">
        <v>538</v>
      </c>
      <c r="G20" s="11">
        <f>ROUND(SPEED_CONTROLLER_POSTSCALER,0)</f>
        <v>0</v>
      </c>
      <c r="H20" s="9" t="str">
        <f>IF(G20&lt;&gt;"",IF(C20="float32",FLOAT2HEX(G20),DEC2HEX(G20,8)),"")</f>
        <v>00000000</v>
      </c>
      <c r="I20" s="9">
        <f t="shared" si="1"/>
        <v>0</v>
      </c>
    </row>
    <row r="21" spans="1:9" ht="15" customHeight="1" x14ac:dyDescent="0.25">
      <c r="A21" s="22">
        <f>IF(I21&lt;&gt;"",MAX(A$1:A20)+1,"")</f>
        <v>14</v>
      </c>
      <c r="B21" s="45" t="s">
        <v>539</v>
      </c>
      <c r="C21" t="s">
        <v>57</v>
      </c>
      <c r="D21">
        <f t="shared" si="0"/>
        <v>4</v>
      </c>
      <c r="E21" s="2" t="s">
        <v>527</v>
      </c>
      <c r="G21" s="11">
        <f>ROUND(((SPEED_KP_REGION_0 * BASE_SPEED_RPM * (2^15)) / BASE_TORQ),0)</f>
        <v>41582</v>
      </c>
      <c r="H21" s="9" t="str">
        <f>IF(G21&lt;&gt;"",IF(C21="float32",FLOAT2HEX(G21),DEC2HEX(G21,8)),"")</f>
        <v>0000A26E</v>
      </c>
      <c r="I21" s="9">
        <f t="shared" si="1"/>
        <v>41582</v>
      </c>
    </row>
    <row r="22" spans="1:9" ht="15" customHeight="1" x14ac:dyDescent="0.25">
      <c r="A22" s="22">
        <f>IF(I22&lt;&gt;"",MAX(A$1:A21)+1,"")</f>
        <v>15</v>
      </c>
      <c r="B22" s="45" t="s">
        <v>540</v>
      </c>
      <c r="C22" t="s">
        <v>57</v>
      </c>
      <c r="D22">
        <f t="shared" si="0"/>
        <v>4</v>
      </c>
      <c r="E22" s="2" t="s">
        <v>529</v>
      </c>
      <c r="G22" s="11">
        <f>ROUND(((SPEED_KI_REGION_0 * BASE_SPEED_RPM * OBSERVER_TS * (2^20)) / BASE_TORQ),0)</f>
        <v>291</v>
      </c>
      <c r="H22" s="9" t="str">
        <f>IF(G22&lt;&gt;"",IF(C22="float32",FLOAT2HEX(G22),DEC2HEX(G22,8)),"")</f>
        <v>00000123</v>
      </c>
      <c r="I22" s="9">
        <f t="shared" si="1"/>
        <v>291</v>
      </c>
    </row>
    <row r="23" spans="1:9" ht="15" customHeight="1" x14ac:dyDescent="0.25">
      <c r="A23" s="22">
        <f>IF(I23&lt;&gt;"",MAX(A$1:A22)+1,"")</f>
        <v>16</v>
      </c>
      <c r="B23" s="45" t="s">
        <v>541</v>
      </c>
      <c r="C23" t="s">
        <v>57</v>
      </c>
      <c r="D23">
        <f t="shared" si="0"/>
        <v>4</v>
      </c>
      <c r="E23" s="2" t="s">
        <v>542</v>
      </c>
      <c r="G23" s="11">
        <f>ROUND((SPEED_THRESHOLD_REGION_0 * (32768/BASE_SPEED_RPM)),0)</f>
        <v>10520</v>
      </c>
      <c r="H23" s="9" t="str">
        <f>IF(G23&lt;&gt;"",IF(C23="float32",FLOAT2HEX(G23),DEC2HEX(G23,8)),"")</f>
        <v>00002918</v>
      </c>
      <c r="I23" s="9">
        <f t="shared" si="1"/>
        <v>10520</v>
      </c>
    </row>
    <row r="24" spans="1:9" ht="15" customHeight="1" x14ac:dyDescent="0.25">
      <c r="A24" s="22">
        <f>IF(I24&lt;&gt;"",MAX(A$1:A23)+1,"")</f>
        <v>17</v>
      </c>
      <c r="B24" s="45" t="s">
        <v>543</v>
      </c>
      <c r="C24" t="s">
        <v>57</v>
      </c>
      <c r="D24">
        <f t="shared" si="0"/>
        <v>4</v>
      </c>
      <c r="E24" s="2" t="s">
        <v>544</v>
      </c>
      <c r="G24" s="11">
        <f>ROUND(SPEED_TIME_TO_SWITCH_REGION_0/0.025,0)</f>
        <v>80</v>
      </c>
      <c r="H24" s="9" t="str">
        <f>IF(G24&lt;&gt;"",IF(C24="float32",FLOAT2HEX(G24),DEC2HEX(G24,8)),"")</f>
        <v>00000050</v>
      </c>
      <c r="I24" s="9">
        <f t="shared" si="1"/>
        <v>80</v>
      </c>
    </row>
    <row r="25" spans="1:9" ht="15" customHeight="1" x14ac:dyDescent="0.25">
      <c r="A25" s="22">
        <f>IF(I25&lt;&gt;"",MAX(A$1:A24)+1,"")</f>
        <v>18</v>
      </c>
      <c r="B25" s="45" t="s">
        <v>545</v>
      </c>
      <c r="C25" t="s">
        <v>57</v>
      </c>
      <c r="D25">
        <f t="shared" si="0"/>
        <v>4</v>
      </c>
      <c r="E25" s="2" t="s">
        <v>546</v>
      </c>
      <c r="G25" s="11">
        <f>ROUND((SPEED_KP_REGION_1 * BASE_SPEED_RPM * (2^15)) / BASE_TORQ,0)</f>
        <v>6757</v>
      </c>
      <c r="H25" s="9" t="str">
        <f>IF(G25&lt;&gt;"",IF(C25="float32",FLOAT2HEX(G25),DEC2HEX(G25,8)),"")</f>
        <v>00001A65</v>
      </c>
      <c r="I25" s="9">
        <f t="shared" si="1"/>
        <v>6757</v>
      </c>
    </row>
    <row r="26" spans="1:9" ht="15" customHeight="1" x14ac:dyDescent="0.25">
      <c r="A26" s="22">
        <f>IF(I26&lt;&gt;"",MAX(A$1:A25)+1,"")</f>
        <v>19</v>
      </c>
      <c r="B26" s="45" t="s">
        <v>547</v>
      </c>
      <c r="C26" t="s">
        <v>57</v>
      </c>
      <c r="D26">
        <f t="shared" si="0"/>
        <v>4</v>
      </c>
      <c r="E26" s="2" t="s">
        <v>548</v>
      </c>
      <c r="G26" s="11">
        <f>ROUND(((SPEED_KI_REGION_1 * BASE_SPEED_RPM * OBSERVER_TS * (2^20)) / BASE_TORQ),0)</f>
        <v>123</v>
      </c>
      <c r="H26" s="9" t="str">
        <f>IF(G26&lt;&gt;"",IF(C26="float32",FLOAT2HEX(G26),DEC2HEX(G26,8)),"")</f>
        <v>0000007B</v>
      </c>
      <c r="I26" s="9">
        <f t="shared" si="1"/>
        <v>123</v>
      </c>
    </row>
    <row r="27" spans="1:9" ht="15" customHeight="1" x14ac:dyDescent="0.25">
      <c r="A27" s="22">
        <f>IF(I27&lt;&gt;"",MAX(A$1:A26)+1,"")</f>
        <v>20</v>
      </c>
      <c r="B27" s="45" t="s">
        <v>549</v>
      </c>
      <c r="C27" t="s">
        <v>57</v>
      </c>
      <c r="D27">
        <f t="shared" si="0"/>
        <v>4</v>
      </c>
      <c r="E27" s="2" t="s">
        <v>550</v>
      </c>
      <c r="G27" s="11">
        <f>ROUND(SPEED_THRESHOLD_REGION_1 * (32768/BASE_SPEED_RPM),0)</f>
        <v>284731</v>
      </c>
      <c r="H27" s="9" t="str">
        <f>IF(G27&lt;&gt;"",IF(C27="float32",FLOAT2HEX(G27),DEC2HEX(G27,8)),"")</f>
        <v>0004583B</v>
      </c>
      <c r="I27" s="9">
        <f t="shared" si="1"/>
        <v>284731</v>
      </c>
    </row>
    <row r="28" spans="1:9" ht="15" customHeight="1" x14ac:dyDescent="0.25">
      <c r="A28" s="22">
        <f>IF(I28&lt;&gt;"",MAX(A$1:A27)+1,"")</f>
        <v>21</v>
      </c>
      <c r="B28" s="45" t="s">
        <v>551</v>
      </c>
      <c r="C28" t="s">
        <v>57</v>
      </c>
      <c r="D28">
        <f t="shared" si="0"/>
        <v>4</v>
      </c>
      <c r="E28" s="2" t="s">
        <v>552</v>
      </c>
      <c r="G28" s="11">
        <f>ROUND(SPEED_TIME_TO_SWITCH_REGION_1/0.025,0)</f>
        <v>80</v>
      </c>
      <c r="H28" s="9" t="str">
        <f>IF(G28&lt;&gt;"",IF(C28="float32",FLOAT2HEX(G28),DEC2HEX(G28,8)),"")</f>
        <v>00000050</v>
      </c>
      <c r="I28" s="9">
        <f t="shared" si="1"/>
        <v>80</v>
      </c>
    </row>
    <row r="29" spans="1:9" ht="15" customHeight="1" x14ac:dyDescent="0.25">
      <c r="A29" s="22">
        <f>IF(I29&lt;&gt;"",MAX(A$1:A28)+1,"")</f>
        <v>22</v>
      </c>
      <c r="B29" s="45" t="s">
        <v>553</v>
      </c>
      <c r="C29" t="s">
        <v>57</v>
      </c>
      <c r="D29">
        <f t="shared" si="0"/>
        <v>4</v>
      </c>
      <c r="E29" s="2" t="s">
        <v>554</v>
      </c>
      <c r="G29" s="11">
        <f>ROUND(((SPEED_KP_REGION_2 * BASE_SPEED_RPM * (2^15)) / BASE_TORQ),0)</f>
        <v>2599</v>
      </c>
      <c r="H29" s="9" t="str">
        <f>IF(G29&lt;&gt;"",IF(C29="float32",FLOAT2HEX(G29),DEC2HEX(G29,8)),"")</f>
        <v>00000A27</v>
      </c>
      <c r="I29" s="9">
        <f t="shared" si="1"/>
        <v>2599</v>
      </c>
    </row>
    <row r="30" spans="1:9" ht="15" customHeight="1" x14ac:dyDescent="0.25">
      <c r="A30" s="22">
        <f>IF(I30&lt;&gt;"",MAX(A$1:A29)+1,"")</f>
        <v>23</v>
      </c>
      <c r="B30" s="45" t="s">
        <v>555</v>
      </c>
      <c r="C30" t="s">
        <v>57</v>
      </c>
      <c r="D30">
        <f t="shared" si="0"/>
        <v>4</v>
      </c>
      <c r="E30" s="2" t="s">
        <v>556</v>
      </c>
      <c r="G30" s="11">
        <f>ROUND(((SPEED_KI_REGION_2 * BASE_SPEED_RPM * OBSERVER_TS * (2^20)) / BASE_TORQ),0)</f>
        <v>40</v>
      </c>
      <c r="H30" s="9" t="str">
        <f>IF(G30&lt;&gt;"",IF(C30="float32",FLOAT2HEX(G30),DEC2HEX(G30,8)),"")</f>
        <v>00000028</v>
      </c>
      <c r="I30" s="9">
        <f t="shared" si="1"/>
        <v>40</v>
      </c>
    </row>
    <row r="31" spans="1:9" ht="15" customHeight="1" x14ac:dyDescent="0.25">
      <c r="A31" s="22">
        <f>IF(I31&lt;&gt;"",MAX(A$1:A30)+1,"")</f>
        <v>24</v>
      </c>
      <c r="B31" s="45" t="s">
        <v>557</v>
      </c>
      <c r="C31" t="s">
        <v>57</v>
      </c>
      <c r="D31">
        <f t="shared" si="0"/>
        <v>4</v>
      </c>
      <c r="E31" s="2" t="s">
        <v>558</v>
      </c>
      <c r="G31" s="11">
        <f>ROUND((SPEED_THRESHOLD_REGION_2 * (32768/BASE_SPEED_RPM)),0)</f>
        <v>292223</v>
      </c>
      <c r="H31" s="9" t="str">
        <f>IF(G31&lt;&gt;"",IF(C31="float32",FLOAT2HEX(G31),DEC2HEX(G31,8)),"")</f>
        <v>0004757F</v>
      </c>
      <c r="I31" s="9">
        <f t="shared" si="1"/>
        <v>292223</v>
      </c>
    </row>
    <row r="32" spans="1:9" ht="15" customHeight="1" x14ac:dyDescent="0.25">
      <c r="A32" s="22">
        <f>IF(I32&lt;&gt;"",MAX(A$1:A31)+1,"")</f>
        <v>25</v>
      </c>
      <c r="B32" s="45" t="s">
        <v>559</v>
      </c>
      <c r="C32" t="s">
        <v>57</v>
      </c>
      <c r="D32">
        <f t="shared" si="0"/>
        <v>4</v>
      </c>
      <c r="E32" s="2" t="s">
        <v>560</v>
      </c>
      <c r="G32" s="11">
        <f>ROUND(SPEED_TIME_TO_SWITCH_REGION_2/0.025,0)</f>
        <v>80</v>
      </c>
      <c r="H32" s="9" t="str">
        <f>IF(G32&lt;&gt;"",IF(C32="float32",FLOAT2HEX(G32),DEC2HEX(G32,8)),"")</f>
        <v>00000050</v>
      </c>
      <c r="I32" s="9">
        <f t="shared" si="1"/>
        <v>80</v>
      </c>
    </row>
    <row r="33" spans="1:9" ht="15" customHeight="1" x14ac:dyDescent="0.25">
      <c r="A33" s="22">
        <f>IF(I33&lt;&gt;"",MAX(A$1:A32)+1,"")</f>
        <v>26</v>
      </c>
      <c r="B33" s="45" t="s">
        <v>561</v>
      </c>
      <c r="C33" t="s">
        <v>57</v>
      </c>
      <c r="D33">
        <f t="shared" si="0"/>
        <v>4</v>
      </c>
      <c r="E33" s="2" t="s">
        <v>562</v>
      </c>
      <c r="G33" s="11">
        <f>ROUND(((SPEED_KP_REGION_3 * BASE_SPEED_RPM * (2^15)) / BASE_TORQ),0)</f>
        <v>0</v>
      </c>
      <c r="H33" s="9" t="str">
        <f>IF(G33&lt;&gt;"",IF(C33="float32",FLOAT2HEX(G33),DEC2HEX(G33,8)),"")</f>
        <v>00000000</v>
      </c>
      <c r="I33" s="9">
        <f t="shared" si="1"/>
        <v>0</v>
      </c>
    </row>
    <row r="34" spans="1:9" ht="15" customHeight="1" x14ac:dyDescent="0.25">
      <c r="A34" s="22">
        <f>IF(I34&lt;&gt;"",MAX(A$1:A33)+1,"")</f>
        <v>27</v>
      </c>
      <c r="B34" s="45" t="s">
        <v>563</v>
      </c>
      <c r="C34" t="s">
        <v>57</v>
      </c>
      <c r="D34">
        <f t="shared" si="0"/>
        <v>4</v>
      </c>
      <c r="E34" s="2" t="s">
        <v>564</v>
      </c>
      <c r="G34" s="11">
        <f>ROUND(((SPEED_KI_REGION_3 * BASE_SPEED_RPM * OBSERVER_TS * (2^20)) / BASE_TORQ),0)</f>
        <v>0</v>
      </c>
      <c r="H34" s="9" t="str">
        <f>IF(G34&lt;&gt;"",IF(C34="float32",FLOAT2HEX(G34),DEC2HEX(G34,8)),"")</f>
        <v>00000000</v>
      </c>
      <c r="I34" s="9">
        <f t="shared" si="1"/>
        <v>0</v>
      </c>
    </row>
    <row r="35" spans="1:9" ht="15" customHeight="1" x14ac:dyDescent="0.25">
      <c r="A35" s="22">
        <f>IF(I35&lt;&gt;"",MAX(A$1:A34)+1,"")</f>
        <v>28</v>
      </c>
      <c r="B35" s="45" t="s">
        <v>565</v>
      </c>
      <c r="C35" t="s">
        <v>57</v>
      </c>
      <c r="D35">
        <f t="shared" si="0"/>
        <v>4</v>
      </c>
      <c r="E35" s="2" t="s">
        <v>566</v>
      </c>
      <c r="G35" s="11">
        <f>ROUND((SPEED_THRESHOLD_REGION_3 * (32768/BASE_SPEED_RPM)),0)</f>
        <v>0</v>
      </c>
      <c r="H35" s="9" t="str">
        <f>IF(G35&lt;&gt;"",IF(C35="float32",FLOAT2HEX(G35),DEC2HEX(G35,8)),"")</f>
        <v>00000000</v>
      </c>
      <c r="I35" s="9">
        <f t="shared" si="1"/>
        <v>0</v>
      </c>
    </row>
    <row r="36" spans="1:9" ht="15" customHeight="1" x14ac:dyDescent="0.25">
      <c r="A36" s="22">
        <f>IF(I36&lt;&gt;"",MAX(A$1:A35)+1,"")</f>
        <v>29</v>
      </c>
      <c r="B36" s="45" t="s">
        <v>567</v>
      </c>
      <c r="C36" t="s">
        <v>57</v>
      </c>
      <c r="D36">
        <f t="shared" si="0"/>
        <v>4</v>
      </c>
      <c r="E36" s="2" t="s">
        <v>568</v>
      </c>
      <c r="G36" s="11">
        <f>ROUND(SPEED_TIME_TO_SWITCH_REGION_3/0.025,0)</f>
        <v>80</v>
      </c>
      <c r="H36" s="9" t="str">
        <f>IF(G36&lt;&gt;"",IF(C36="float32",FLOAT2HEX(G36),DEC2HEX(G36,8)),"")</f>
        <v>00000050</v>
      </c>
      <c r="I36" s="9">
        <f t="shared" si="1"/>
        <v>80</v>
      </c>
    </row>
    <row r="37" spans="1:9" ht="15" customHeight="1" x14ac:dyDescent="0.25">
      <c r="A37" s="22">
        <f>IF(I37&lt;&gt;"",MAX(A$1:A36)+1,"")</f>
        <v>30</v>
      </c>
      <c r="B37" s="45" t="s">
        <v>569</v>
      </c>
      <c r="C37" t="s">
        <v>57</v>
      </c>
      <c r="D37">
        <f t="shared" si="0"/>
        <v>4</v>
      </c>
      <c r="E37" s="2" t="s">
        <v>570</v>
      </c>
      <c r="G37" s="11">
        <f>ROUND(((SPEED_KP_REGION_4 * BASE_SPEED_RPM * (2^15)) / BASE_TORQ),0)</f>
        <v>0</v>
      </c>
      <c r="H37" s="9" t="str">
        <f>IF(G37&lt;&gt;"",IF(C37="float32",FLOAT2HEX(G37),DEC2HEX(G37,8)),"")</f>
        <v>00000000</v>
      </c>
      <c r="I37" s="9">
        <f t="shared" si="1"/>
        <v>0</v>
      </c>
    </row>
    <row r="38" spans="1:9" ht="15" customHeight="1" x14ac:dyDescent="0.25">
      <c r="A38" s="22">
        <f>IF(I38&lt;&gt;"",MAX(A$1:A37)+1,"")</f>
        <v>31</v>
      </c>
      <c r="B38" s="45" t="s">
        <v>571</v>
      </c>
      <c r="C38" t="s">
        <v>57</v>
      </c>
      <c r="D38">
        <f t="shared" si="0"/>
        <v>4</v>
      </c>
      <c r="E38" s="2" t="s">
        <v>572</v>
      </c>
      <c r="G38" s="11">
        <f>ROUND(((SPEED_KI_REGION_4 * BASE_SPEED_RPM * OBSERVER_TS * (2^20)) / BASE_TORQ),0)</f>
        <v>0</v>
      </c>
      <c r="H38" s="9" t="str">
        <f>IF(G38&lt;&gt;"",IF(C38="float32",FLOAT2HEX(G38),DEC2HEX(G38,8)),"")</f>
        <v>00000000</v>
      </c>
      <c r="I38" s="9">
        <f t="shared" si="1"/>
        <v>0</v>
      </c>
    </row>
    <row r="39" spans="1:9" ht="15" customHeight="1" x14ac:dyDescent="0.25">
      <c r="A39" s="22">
        <f>IF(I39&lt;&gt;"",MAX(A$1:A38)+1,"")</f>
        <v>32</v>
      </c>
      <c r="B39" s="45" t="s">
        <v>573</v>
      </c>
      <c r="C39" t="s">
        <v>57</v>
      </c>
      <c r="D39">
        <f t="shared" si="0"/>
        <v>4</v>
      </c>
      <c r="E39" s="2" t="s">
        <v>574</v>
      </c>
      <c r="G39" s="11">
        <f>ROUND((SPEED_THRESHOLD_REGION_4 * (32768/BASE_SPEED_RPM)),0)</f>
        <v>0</v>
      </c>
      <c r="H39" s="9" t="str">
        <f>IF(G39&lt;&gt;"",IF(C39="float32",FLOAT2HEX(G39),DEC2HEX(G39,8)),"")</f>
        <v>00000000</v>
      </c>
      <c r="I39" s="9">
        <f t="shared" si="1"/>
        <v>0</v>
      </c>
    </row>
    <row r="40" spans="1:9" ht="15" customHeight="1" x14ac:dyDescent="0.25">
      <c r="A40" s="22">
        <f>IF(I40&lt;&gt;"",MAX(A$1:A39)+1,"")</f>
        <v>33</v>
      </c>
      <c r="B40" s="45" t="s">
        <v>575</v>
      </c>
      <c r="C40" t="s">
        <v>57</v>
      </c>
      <c r="D40">
        <f t="shared" si="0"/>
        <v>4</v>
      </c>
      <c r="E40" s="2" t="s">
        <v>576</v>
      </c>
      <c r="G40" s="11">
        <f>ROUND(SPEED_TIME_TO_SWITCH_REGION_4/0.025,0)</f>
        <v>80</v>
      </c>
      <c r="H40" s="9" t="str">
        <f>IF(G40&lt;&gt;"",IF(C40="float32",FLOAT2HEX(G40),DEC2HEX(G40,8)),"")</f>
        <v>00000050</v>
      </c>
      <c r="I40" s="9">
        <f t="shared" si="1"/>
        <v>80</v>
      </c>
    </row>
    <row r="41" spans="1:9" ht="15" customHeight="1" x14ac:dyDescent="0.25">
      <c r="A41" s="22">
        <f>IF(I41&lt;&gt;"",MAX(A$1:A40)+1,"")</f>
        <v>34</v>
      </c>
      <c r="B41" s="45" t="s">
        <v>577</v>
      </c>
      <c r="C41" t="s">
        <v>57</v>
      </c>
      <c r="D41">
        <f t="shared" si="0"/>
        <v>4</v>
      </c>
      <c r="E41" s="2" t="s">
        <v>578</v>
      </c>
      <c r="G41" s="11">
        <f>ROUND((ROTOR_LAMBDAM * 1000 * 32768 / (BASE_CURRENT * LS_INDUCTANCE)),0)</f>
        <v>13474</v>
      </c>
      <c r="H41" s="9" t="str">
        <f>IF(G41&lt;&gt;"",IF(C41="float32",FLOAT2HEX(G41),DEC2HEX(G41,8)),"")</f>
        <v>000034A2</v>
      </c>
      <c r="I41" s="9">
        <f t="shared" si="1"/>
        <v>13474</v>
      </c>
    </row>
    <row r="42" spans="1:9" ht="15" customHeight="1" x14ac:dyDescent="0.25">
      <c r="A42" s="22">
        <f>IF(I42&lt;&gt;"",MAX(A$1:A41)+1,"")</f>
        <v>35</v>
      </c>
      <c r="B42" s="95" t="s">
        <v>579</v>
      </c>
      <c r="C42" t="s">
        <v>57</v>
      </c>
      <c r="D42">
        <f t="shared" si="0"/>
        <v>4</v>
      </c>
      <c r="E42" s="2" t="s">
        <v>580</v>
      </c>
      <c r="G42" s="11">
        <f>ROUND((BRAKING_CURRENT_AT_LOW_SPEED * 32768 / BASE_CURRENT),0)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ht="15" customHeight="1" x14ac:dyDescent="0.25">
      <c r="A43" s="22">
        <f>IF(I43&lt;&gt;"",MAX(A$1:A42)+1,"")</f>
        <v>36</v>
      </c>
      <c r="B43" s="45" t="s">
        <v>581</v>
      </c>
      <c r="C43" t="s">
        <v>57</v>
      </c>
      <c r="D43">
        <f t="shared" si="0"/>
        <v>4</v>
      </c>
      <c r="E43" s="2" t="s">
        <v>582</v>
      </c>
      <c r="G43" s="11">
        <f>ROUND((LS_INDUCTANCE * 32768) / BASE_IND,0)</f>
        <v>24092</v>
      </c>
      <c r="H43" s="9" t="str">
        <f>IF(G43&lt;&gt;"",IF(C43="float32",FLOAT2HEX(G43),DEC2HEX(G43,8)),"")</f>
        <v>00005E1C</v>
      </c>
      <c r="I43" s="9">
        <f t="shared" si="1"/>
        <v>24092</v>
      </c>
    </row>
    <row r="44" spans="1:9" ht="15" customHeight="1" x14ac:dyDescent="0.25">
      <c r="A44" s="56">
        <f>IF(I44&lt;&gt;"",MAX(A$1:A43)+1,"")</f>
        <v>37</v>
      </c>
      <c r="B44" s="45" t="s">
        <v>583</v>
      </c>
      <c r="C44" t="s">
        <v>65</v>
      </c>
      <c r="D44">
        <f t="shared" si="0"/>
        <v>4</v>
      </c>
      <c r="E44" s="2" t="s">
        <v>584</v>
      </c>
      <c r="G44" s="11">
        <f>(32768 / (BASE_SPEED_RPM))</f>
        <v>14.985815836643795</v>
      </c>
      <c r="H44" s="9" t="str">
        <f>IF(G44&lt;&gt;"",IF(C44="float32",FLOAT2HEX(G44),DEC2HEX(G44,8)),"")</f>
        <v>416FC5E7</v>
      </c>
      <c r="I44" s="9">
        <f t="shared" si="1"/>
        <v>1097844199</v>
      </c>
    </row>
    <row r="45" spans="1:9" x14ac:dyDescent="0.25">
      <c r="A45" s="94">
        <f>IF(I45&lt;&gt;"",MAX(A$1:A44)+1,"")</f>
        <v>38</v>
      </c>
      <c r="B45" s="95" t="s">
        <v>971</v>
      </c>
      <c r="C45" s="101" t="s">
        <v>57</v>
      </c>
      <c r="D45" s="101">
        <f t="shared" ref="D45:D46" si="2">IF(OR(C45="sint64",C45="uint64",C45="double64"), 8, IF(OR(C45="sint32",C45="uint32",C45="float32"),4,IF(OR(C45="sint16",C45="uint16"),2,  IF(OR(C45="sint8",C45="uint8"),1,""))))</f>
        <v>4</v>
      </c>
      <c r="E45" s="87" t="s">
        <v>969</v>
      </c>
      <c r="F45" s="101"/>
      <c r="G45" s="93">
        <f>ROUND(((MAX_PHASE_CURRENT_HIGH_SPEED*MAX_PHASE_CURRENT_HIGH_SPEED  * 32768* 32768)/(BASE_CURRENT * BASE_CURRENT)),0)</f>
        <v>267130790</v>
      </c>
      <c r="H45" s="92" t="str">
        <f>IF(G45&lt;&gt;"",IF(C45="float32",FLOAT2HEX(G45),DEC2HEX(G45,8)),"")</f>
        <v>0FEC17A6</v>
      </c>
      <c r="I45" s="92">
        <f>IF(G45&lt;&gt;"",HEX2DEC(H45),"")</f>
        <v>267130790</v>
      </c>
    </row>
    <row r="46" spans="1:9" x14ac:dyDescent="0.25">
      <c r="A46" s="94">
        <f>IF(I46&lt;&gt;"",MAX(A$1:A45)+1,"")</f>
        <v>39</v>
      </c>
      <c r="B46" s="95" t="s">
        <v>968</v>
      </c>
      <c r="C46" s="101" t="s">
        <v>57</v>
      </c>
      <c r="D46" s="101">
        <f t="shared" si="2"/>
        <v>4</v>
      </c>
      <c r="E46" s="87" t="s">
        <v>970</v>
      </c>
      <c r="F46" s="101"/>
      <c r="G46" s="93">
        <f>ROUND((SPEED_THRESHOLD_MAX_PHASE_CURRENT * (32768/BASE_SPEED_RPM)),0)</f>
        <v>89915</v>
      </c>
      <c r="H46" s="92" t="str">
        <f>IF(G46&lt;&gt;"",IF(C46="float32",FLOAT2HEX(G46),DEC2HEX(G46,8)),"")</f>
        <v>00015F3B</v>
      </c>
      <c r="I46" s="92">
        <f t="shared" ref="I46" si="3">IF(G46&lt;&gt;"",HEX2DEC(H46),"")</f>
        <v>89915</v>
      </c>
    </row>
  </sheetData>
  <mergeCells count="2">
    <mergeCell ref="B1:H1"/>
    <mergeCell ref="B3:C3"/>
  </mergeCells>
  <dataValidations count="1">
    <dataValidation type="list" allowBlank="1" showInputMessage="1" showErrorMessage="1" sqref="C7:C46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U58"/>
  <sheetViews>
    <sheetView zoomScale="85" zoomScaleNormal="85" workbookViewId="0">
      <pane ySplit="5" topLeftCell="A6" activePane="bottomLeft" state="frozen"/>
      <selection activeCell="A285" sqref="A285"/>
      <selection pane="bottomLeft" activeCell="B27" sqref="B27"/>
    </sheetView>
  </sheetViews>
  <sheetFormatPr defaultRowHeight="15" x14ac:dyDescent="0.25"/>
  <cols>
    <col min="1" max="1" width="10.28515625" style="92" bestFit="1" customWidth="1"/>
    <col min="2" max="2" width="68.42578125" style="42" customWidth="1"/>
    <col min="3" max="3" width="8" style="101" bestFit="1" customWidth="1"/>
    <col min="4" max="4" width="14.28515625" style="101" customWidth="1"/>
    <col min="5" max="5" width="92.7109375" style="101" customWidth="1"/>
    <col min="6" max="6" width="12.140625" style="101" customWidth="1"/>
    <col min="7" max="7" width="11.7109375" style="101" bestFit="1" customWidth="1"/>
    <col min="8" max="9" width="23.5703125" style="93" customWidth="1"/>
    <col min="10" max="21" width="9.140625" style="93"/>
    <col min="22" max="16384" width="9.140625" style="101"/>
  </cols>
  <sheetData>
    <row r="1" spans="1:21" ht="28.5" customHeight="1" x14ac:dyDescent="0.25">
      <c r="B1" s="110" t="s">
        <v>511</v>
      </c>
      <c r="C1" s="110"/>
      <c r="D1" s="110"/>
      <c r="E1" s="110"/>
      <c r="F1" s="110"/>
      <c r="G1" s="110"/>
      <c r="H1" s="110"/>
      <c r="I1" s="10"/>
      <c r="J1" s="10"/>
      <c r="K1" s="10"/>
      <c r="L1" s="10"/>
    </row>
    <row r="2" spans="1:21" s="92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3"/>
      <c r="N2" s="13"/>
      <c r="O2" s="13"/>
      <c r="P2" s="13"/>
      <c r="Q2" s="13"/>
      <c r="R2" s="13"/>
      <c r="S2" s="13"/>
      <c r="T2" s="13"/>
      <c r="U2" s="13"/>
    </row>
    <row r="3" spans="1:21" s="92" customFormat="1" ht="19.5" customHeight="1" x14ac:dyDescent="0.3">
      <c r="A3" s="23"/>
      <c r="B3" s="111" t="s">
        <v>162</v>
      </c>
      <c r="C3" s="111"/>
      <c r="D3" s="24">
        <f>SUM(D9:D1373)</f>
        <v>200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2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3"/>
      <c r="N4" s="13"/>
      <c r="O4" s="13"/>
      <c r="P4" s="13"/>
      <c r="Q4" s="13"/>
      <c r="R4" s="13"/>
      <c r="S4" s="13"/>
      <c r="T4" s="13"/>
      <c r="U4" s="13"/>
    </row>
    <row r="5" spans="1:21" s="92" customFormat="1" ht="18.75" customHeight="1" x14ac:dyDescent="0.25">
      <c r="A5" s="24" t="s">
        <v>164</v>
      </c>
      <c r="B5" s="41" t="s">
        <v>16</v>
      </c>
      <c r="C5" s="24" t="s">
        <v>161</v>
      </c>
      <c r="D5" s="24" t="s">
        <v>160</v>
      </c>
      <c r="E5" s="24" t="s">
        <v>17</v>
      </c>
      <c r="F5" s="27"/>
      <c r="G5" s="27" t="s">
        <v>21</v>
      </c>
      <c r="H5" s="27" t="s">
        <v>509</v>
      </c>
      <c r="I5" s="27" t="s">
        <v>602</v>
      </c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</row>
    <row r="6" spans="1:21" s="92" customFormat="1" ht="20.25" customHeight="1" x14ac:dyDescent="0.25">
      <c r="A6" s="94"/>
      <c r="B6" s="80" t="s">
        <v>660</v>
      </c>
      <c r="C6" s="78"/>
      <c r="D6" s="78"/>
      <c r="E6" s="78"/>
      <c r="F6" s="78"/>
      <c r="G6" s="78"/>
      <c r="H6" s="78" t="str">
        <f>IF(G6&lt;&gt;"",DEC2HEX(G6,4),"")</f>
        <v/>
      </c>
      <c r="I6" s="78"/>
      <c r="J6" s="16"/>
      <c r="K6" s="16"/>
      <c r="L6" s="16"/>
      <c r="M6" s="13"/>
      <c r="N6" s="13"/>
      <c r="O6" s="13"/>
      <c r="P6" s="13"/>
      <c r="Q6" s="13"/>
      <c r="R6" s="13"/>
      <c r="S6" s="13"/>
      <c r="T6" s="13"/>
      <c r="U6" s="13"/>
    </row>
    <row r="7" spans="1:21" x14ac:dyDescent="0.25">
      <c r="A7" s="94">
        <v>0</v>
      </c>
      <c r="B7" s="95" t="s">
        <v>979</v>
      </c>
      <c r="C7" s="101" t="s">
        <v>57</v>
      </c>
      <c r="D7" s="101">
        <f>IF(OR(C7="sint64",C7="uint64",C7="double64"), 8, IF(OR(C7="sint32",C7="uint32",C7="float32"),4,IF(OR(C7="sint16",C7="uint16"),2,  IF(OR(C7="sint8",C7="uint8"),1,""))))</f>
        <v>4</v>
      </c>
      <c r="E7" s="87" t="s">
        <v>980</v>
      </c>
      <c r="G7" s="101">
        <f>SIZE_MTPA-1</f>
        <v>24</v>
      </c>
      <c r="H7" s="92" t="str">
        <f>IF(G7&lt;&gt;"",IF(C7="float32",FLOAT2HEX(G7),DEC2HEX(G7,8)),"")</f>
        <v>00000018</v>
      </c>
      <c r="I7" s="92">
        <f t="shared" ref="I7" si="0">IF(G7&lt;&gt;"",HEX2DEC(H7),"")</f>
        <v>24</v>
      </c>
    </row>
    <row r="8" spans="1:21" x14ac:dyDescent="0.25">
      <c r="A8" s="94">
        <f>IF(I8&lt;&gt;"",MAX(A$1:A7)+1,"")</f>
        <v>1</v>
      </c>
      <c r="B8" s="95" t="s">
        <v>974</v>
      </c>
      <c r="C8" s="101" t="s">
        <v>57</v>
      </c>
      <c r="D8" s="101">
        <f>IF(OR(C8="sint64",C8="uint64",C8="double64"), 8, IF(OR(C8="sint32",C8="uint32",C8="float32"),4,IF(OR(C8="sint16",C8="uint16"),2,  IF(OR(C8="sint8",C8="uint8"),1,""))))</f>
        <v>4</v>
      </c>
      <c r="E8" s="87" t="s">
        <v>975</v>
      </c>
      <c r="G8" s="101">
        <f>ROUND(BASE_TORQ/(MTPATorque_1-MTPATorque_0),0)</f>
        <v>80</v>
      </c>
      <c r="H8" s="92" t="str">
        <f>IF(G8&lt;&gt;"",IF(C8="float32",FLOAT2HEX(G8),DEC2HEX(G8,8)),"")</f>
        <v>00000050</v>
      </c>
      <c r="I8" s="92">
        <f t="shared" ref="I8" si="1">IF(G8&lt;&gt;"",HEX2DEC(H8),"")</f>
        <v>80</v>
      </c>
    </row>
    <row r="9" spans="1:21" s="93" customFormat="1" ht="15" customHeight="1" x14ac:dyDescent="0.25">
      <c r="A9" s="94">
        <f>IF(I9&lt;&gt;"",MAX(A$1:A8)+1,"")</f>
        <v>2</v>
      </c>
      <c r="B9" s="95" t="s">
        <v>711</v>
      </c>
      <c r="C9" s="101" t="s">
        <v>57</v>
      </c>
      <c r="D9" s="101">
        <f t="shared" ref="D9:D40" si="2">IF(OR(C9="sint64",C9="uint64",C9="double64"), 8, IF(OR(C9="sint32",C9="uint32",C9="float32"),4,IF(OR(C9="sint16",C9="uint16"),2,  IF(OR(C9="sint8",C9="uint8"),1,""))))</f>
        <v>4</v>
      </c>
      <c r="E9" s="87" t="s">
        <v>761</v>
      </c>
      <c r="F9" s="101"/>
      <c r="G9" s="93">
        <f>ROUND((32768/BASE_TORQ) * MTPATorque_0,0)</f>
        <v>0</v>
      </c>
      <c r="H9" s="92" t="str">
        <f>IF(G9&lt;&gt;"",IF(C9="float32",FLOAT2HEX(G9),DEC2HEX(G9,8)),"")</f>
        <v>00000000</v>
      </c>
      <c r="I9" s="92">
        <f>IF(AND(G9&lt;&gt;"",(ROW()-8)&lt;(($G$7+1)*2+1)),HEX2DEC(H9),"")</f>
        <v>0</v>
      </c>
    </row>
    <row r="10" spans="1:21" s="93" customFormat="1" ht="15" customHeight="1" x14ac:dyDescent="0.25">
      <c r="A10" s="94">
        <f>IF(I10&lt;&gt;"",MAX(A$1:A9)+1,"")</f>
        <v>3</v>
      </c>
      <c r="B10" s="72" t="s">
        <v>736</v>
      </c>
      <c r="C10" s="101" t="s">
        <v>57</v>
      </c>
      <c r="D10" s="101">
        <f>IF(OR(C10="sint64",C10="uint64",C10="double64"), 8, IF(OR(C10="sint32",C10="uint32",C10="float32"),4,IF(OR(C10="sint16",C10="uint16"),2,  IF(OR(C10="sint8",C10="uint8"),1,""))))</f>
        <v>4</v>
      </c>
      <c r="E10" s="87" t="s">
        <v>762</v>
      </c>
      <c r="F10" s="101"/>
      <c r="G10" s="93">
        <f>ROUND((32768/BASE_FLUX) * MTPAFlux_0,0)</f>
        <v>9907</v>
      </c>
      <c r="H10" s="92" t="str">
        <f>IF(G10&lt;&gt;"",IF(C10="float32",FLOAT2HEX(G10),DEC2HEX(G10,8)),"")</f>
        <v>000026B3</v>
      </c>
      <c r="I10" s="92">
        <f t="shared" ref="I10:I58" si="3">IF(AND(G10&lt;&gt;"",(ROW()-8)&lt;(($G$7+1)*2+1)),HEX2DEC(H10),"")</f>
        <v>9907</v>
      </c>
    </row>
    <row r="11" spans="1:21" s="93" customFormat="1" ht="15" customHeight="1" x14ac:dyDescent="0.25">
      <c r="A11" s="94">
        <f>IF(I11&lt;&gt;"",MAX(A$1:A10)+1,"")</f>
        <v>4</v>
      </c>
      <c r="B11" s="95" t="s">
        <v>712</v>
      </c>
      <c r="C11" s="101" t="s">
        <v>57</v>
      </c>
      <c r="D11" s="101">
        <f t="shared" si="2"/>
        <v>4</v>
      </c>
      <c r="E11" s="87" t="s">
        <v>763</v>
      </c>
      <c r="F11" s="101"/>
      <c r="G11" s="93">
        <f>ROUND((32768/BASE_TORQ) * MTPATorque_1,0)</f>
        <v>408</v>
      </c>
      <c r="H11" s="92" t="str">
        <f>IF(G11&lt;&gt;"",IF(C11="float32",FLOAT2HEX(G11),DEC2HEX(G11,8)),"")</f>
        <v>00000198</v>
      </c>
      <c r="I11" s="92">
        <f t="shared" si="3"/>
        <v>408</v>
      </c>
    </row>
    <row r="12" spans="1:21" s="93" customFormat="1" ht="15" customHeight="1" x14ac:dyDescent="0.25">
      <c r="A12" s="94">
        <f>IF(I12&lt;&gt;"",MAX(A$1:A11)+1,"")</f>
        <v>5</v>
      </c>
      <c r="B12" s="72" t="s">
        <v>737</v>
      </c>
      <c r="C12" s="101" t="s">
        <v>57</v>
      </c>
      <c r="D12" s="101">
        <f>IF(OR(C12="sint64",C12="uint64",C12="double64"), 8, IF(OR(C12="sint32",C12="uint32",C12="float32"),4,IF(OR(C12="sint16",C12="uint16"),2,  IF(OR(C12="sint8",C12="uint8"),1,""))))</f>
        <v>4</v>
      </c>
      <c r="E12" s="87" t="s">
        <v>764</v>
      </c>
      <c r="F12" s="101"/>
      <c r="G12" s="93">
        <f>ROUND((32768/BASE_FLUX) * MTPAFlux_1,0)</f>
        <v>9952</v>
      </c>
      <c r="H12" s="92" t="str">
        <f>IF(G12&lt;&gt;"",IF(C12="float32",FLOAT2HEX(G12),DEC2HEX(G12,8)),"")</f>
        <v>000026E0</v>
      </c>
      <c r="I12" s="92">
        <f t="shared" si="3"/>
        <v>9952</v>
      </c>
    </row>
    <row r="13" spans="1:21" s="93" customFormat="1" ht="15" customHeight="1" x14ac:dyDescent="0.25">
      <c r="A13" s="94">
        <f>IF(I13&lt;&gt;"",MAX(A$1:A12)+1,"")</f>
        <v>6</v>
      </c>
      <c r="B13" s="95" t="s">
        <v>713</v>
      </c>
      <c r="C13" s="101" t="s">
        <v>57</v>
      </c>
      <c r="D13" s="101">
        <f t="shared" si="2"/>
        <v>4</v>
      </c>
      <c r="E13" s="87" t="s">
        <v>765</v>
      </c>
      <c r="F13" s="101"/>
      <c r="G13" s="93">
        <f>ROUND((32768/BASE_TORQ) * MTPATorque_2,0)</f>
        <v>816</v>
      </c>
      <c r="H13" s="92" t="str">
        <f>IF(G13&lt;&gt;"",IF(C13="float32",FLOAT2HEX(G13),DEC2HEX(G13,8)),"")</f>
        <v>00000330</v>
      </c>
      <c r="I13" s="92">
        <f t="shared" si="3"/>
        <v>816</v>
      </c>
    </row>
    <row r="14" spans="1:21" s="93" customFormat="1" ht="15" customHeight="1" x14ac:dyDescent="0.25">
      <c r="A14" s="94">
        <f>IF(I14&lt;&gt;"",MAX(A$1:A13)+1,"")</f>
        <v>7</v>
      </c>
      <c r="B14" s="72" t="s">
        <v>738</v>
      </c>
      <c r="C14" s="101" t="s">
        <v>57</v>
      </c>
      <c r="D14" s="101">
        <f>IF(OR(C14="sint64",C14="uint64",C14="double64"), 8, IF(OR(C14="sint32",C14="uint32",C14="float32"),4,IF(OR(C14="sint16",C14="uint16"),2,  IF(OR(C14="sint8",C14="uint8"),1,""))))</f>
        <v>4</v>
      </c>
      <c r="E14" s="87" t="s">
        <v>766</v>
      </c>
      <c r="F14" s="101"/>
      <c r="G14" s="93">
        <f>ROUND((32768/BASE_FLUX) * MTPAFlux_2,0)</f>
        <v>10076</v>
      </c>
      <c r="H14" s="92" t="str">
        <f>IF(G14&lt;&gt;"",IF(C14="float32",FLOAT2HEX(G14),DEC2HEX(G14,8)),"")</f>
        <v>0000275C</v>
      </c>
      <c r="I14" s="92">
        <f t="shared" si="3"/>
        <v>10076</v>
      </c>
    </row>
    <row r="15" spans="1:21" s="93" customFormat="1" ht="15" customHeight="1" x14ac:dyDescent="0.25">
      <c r="A15" s="94">
        <f>IF(I15&lt;&gt;"",MAX(A$1:A14)+1,"")</f>
        <v>8</v>
      </c>
      <c r="B15" s="95" t="s">
        <v>714</v>
      </c>
      <c r="C15" s="101" t="s">
        <v>57</v>
      </c>
      <c r="D15" s="101">
        <f t="shared" si="2"/>
        <v>4</v>
      </c>
      <c r="E15" s="87" t="s">
        <v>767</v>
      </c>
      <c r="F15" s="101"/>
      <c r="G15" s="93">
        <f>ROUND((32768/BASE_TORQ) * MTPATorque_3,0)</f>
        <v>1224</v>
      </c>
      <c r="H15" s="92" t="str">
        <f>IF(G15&lt;&gt;"",IF(C15="float32",FLOAT2HEX(G15),DEC2HEX(G15,8)),"")</f>
        <v>000004C8</v>
      </c>
      <c r="I15" s="92">
        <f t="shared" si="3"/>
        <v>1224</v>
      </c>
    </row>
    <row r="16" spans="1:21" s="93" customFormat="1" ht="15" customHeight="1" x14ac:dyDescent="0.25">
      <c r="A16" s="94">
        <f>IF(I16&lt;&gt;"",MAX(A$1:A15)+1,"")</f>
        <v>9</v>
      </c>
      <c r="B16" s="72" t="s">
        <v>739</v>
      </c>
      <c r="C16" s="101" t="s">
        <v>57</v>
      </c>
      <c r="D16" s="101">
        <f>IF(OR(C16="sint64",C16="uint64",C16="double64"), 8, IF(OR(C16="sint32",C16="uint32",C16="float32"),4,IF(OR(C16="sint16",C16="uint16"),2,  IF(OR(C16="sint8",C16="uint8"),1,""))))</f>
        <v>4</v>
      </c>
      <c r="E16" s="87" t="s">
        <v>768</v>
      </c>
      <c r="F16" s="101"/>
      <c r="G16" s="93">
        <f>ROUND((32768/BASE_FLUX) * MTPAFlux_3,0)</f>
        <v>10283</v>
      </c>
      <c r="H16" s="92" t="str">
        <f>IF(G16&lt;&gt;"",IF(C16="float32",FLOAT2HEX(G16),DEC2HEX(G16,8)),"")</f>
        <v>0000282B</v>
      </c>
      <c r="I16" s="92">
        <f t="shared" si="3"/>
        <v>10283</v>
      </c>
    </row>
    <row r="17" spans="1:9" s="93" customFormat="1" ht="15" customHeight="1" x14ac:dyDescent="0.25">
      <c r="A17" s="94">
        <f>IF(I17&lt;&gt;"",MAX(A$1:A16)+1,"")</f>
        <v>10</v>
      </c>
      <c r="B17" s="95" t="s">
        <v>715</v>
      </c>
      <c r="C17" s="101" t="s">
        <v>57</v>
      </c>
      <c r="D17" s="101">
        <f t="shared" si="2"/>
        <v>4</v>
      </c>
      <c r="E17" s="87" t="s">
        <v>769</v>
      </c>
      <c r="F17" s="101"/>
      <c r="G17" s="93">
        <f>ROUND((32768/BASE_TORQ) * MTPATorque_4,0)</f>
        <v>1632</v>
      </c>
      <c r="H17" s="92" t="str">
        <f>IF(G17&lt;&gt;"",IF(C17="float32",FLOAT2HEX(G17),DEC2HEX(G17,8)),"")</f>
        <v>00000660</v>
      </c>
      <c r="I17" s="92">
        <f t="shared" si="3"/>
        <v>1632</v>
      </c>
    </row>
    <row r="18" spans="1:9" s="93" customFormat="1" ht="15" customHeight="1" x14ac:dyDescent="0.25">
      <c r="A18" s="94">
        <f>IF(I18&lt;&gt;"",MAX(A$1:A17)+1,"")</f>
        <v>11</v>
      </c>
      <c r="B18" s="72" t="s">
        <v>740</v>
      </c>
      <c r="C18" s="101" t="s">
        <v>57</v>
      </c>
      <c r="D18" s="101">
        <f>IF(OR(C18="sint64",C18="uint64",C18="double64"), 8, IF(OR(C18="sint32",C18="uint32",C18="float32"),4,IF(OR(C18="sint16",C18="uint16"),2,  IF(OR(C18="sint8",C18="uint8"),1,""))))</f>
        <v>4</v>
      </c>
      <c r="E18" s="87" t="s">
        <v>770</v>
      </c>
      <c r="F18" s="101"/>
      <c r="G18" s="93">
        <f>ROUND((32768/BASE_FLUX) * MTPAFlux_4,0)</f>
        <v>10565</v>
      </c>
      <c r="H18" s="92" t="str">
        <f>IF(G18&lt;&gt;"",IF(C18="float32",FLOAT2HEX(G18),DEC2HEX(G18,8)),"")</f>
        <v>00002945</v>
      </c>
      <c r="I18" s="92">
        <f t="shared" si="3"/>
        <v>10565</v>
      </c>
    </row>
    <row r="19" spans="1:9" s="93" customFormat="1" ht="15" customHeight="1" x14ac:dyDescent="0.25">
      <c r="A19" s="94">
        <f>IF(I19&lt;&gt;"",MAX(A$1:A18)+1,"")</f>
        <v>12</v>
      </c>
      <c r="B19" s="95" t="s">
        <v>716</v>
      </c>
      <c r="C19" s="101" t="s">
        <v>57</v>
      </c>
      <c r="D19" s="101">
        <f t="shared" si="2"/>
        <v>4</v>
      </c>
      <c r="E19" s="87" t="s">
        <v>771</v>
      </c>
      <c r="F19" s="101"/>
      <c r="G19" s="93">
        <f>ROUND((32768/BASE_TORQ) * MTPATorque_5,0)</f>
        <v>2040</v>
      </c>
      <c r="H19" s="92" t="str">
        <f>IF(G19&lt;&gt;"",IF(C19="float32",FLOAT2HEX(G19),DEC2HEX(G19,8)),"")</f>
        <v>000007F8</v>
      </c>
      <c r="I19" s="92">
        <f t="shared" si="3"/>
        <v>2040</v>
      </c>
    </row>
    <row r="20" spans="1:9" s="93" customFormat="1" ht="15" customHeight="1" x14ac:dyDescent="0.25">
      <c r="A20" s="94">
        <f>IF(I20&lt;&gt;"",MAX(A$1:A19)+1,"")</f>
        <v>13</v>
      </c>
      <c r="B20" s="72" t="s">
        <v>741</v>
      </c>
      <c r="C20" s="101" t="s">
        <v>57</v>
      </c>
      <c r="D20" s="101">
        <f>IF(OR(C20="sint64",C20="uint64",C20="double64"), 8, IF(OR(C20="sint32",C20="uint32",C20="float32"),4,IF(OR(C20="sint16",C20="uint16"),2,  IF(OR(C20="sint8",C20="uint8"),1,""))))</f>
        <v>4</v>
      </c>
      <c r="E20" s="87" t="s">
        <v>772</v>
      </c>
      <c r="F20" s="101"/>
      <c r="G20" s="93">
        <f>ROUND((32768/BASE_FLUX) * MTPAFlux_5,0)</f>
        <v>10920</v>
      </c>
      <c r="H20" s="92" t="str">
        <f>IF(G20&lt;&gt;"",IF(C20="float32",FLOAT2HEX(G20),DEC2HEX(G20,8)),"")</f>
        <v>00002AA8</v>
      </c>
      <c r="I20" s="92">
        <f t="shared" si="3"/>
        <v>10920</v>
      </c>
    </row>
    <row r="21" spans="1:9" s="93" customFormat="1" ht="15" customHeight="1" x14ac:dyDescent="0.25">
      <c r="A21" s="94">
        <f>IF(I21&lt;&gt;"",MAX(A$1:A20)+1,"")</f>
        <v>14</v>
      </c>
      <c r="B21" s="95" t="s">
        <v>717</v>
      </c>
      <c r="C21" s="101" t="s">
        <v>57</v>
      </c>
      <c r="D21" s="101">
        <f t="shared" si="2"/>
        <v>4</v>
      </c>
      <c r="E21" s="87" t="s">
        <v>773</v>
      </c>
      <c r="F21" s="101"/>
      <c r="G21" s="93">
        <f>ROUND((32768/BASE_TORQ) * MTPATorque_6,0)</f>
        <v>2448</v>
      </c>
      <c r="H21" s="92" t="str">
        <f>IF(G21&lt;&gt;"",IF(C21="float32",FLOAT2HEX(G21),DEC2HEX(G21,8)),"")</f>
        <v>00000990</v>
      </c>
      <c r="I21" s="92">
        <f t="shared" si="3"/>
        <v>2448</v>
      </c>
    </row>
    <row r="22" spans="1:9" s="93" customFormat="1" ht="15" customHeight="1" x14ac:dyDescent="0.25">
      <c r="A22" s="94">
        <f>IF(I22&lt;&gt;"",MAX(A$1:A21)+1,"")</f>
        <v>15</v>
      </c>
      <c r="B22" s="72" t="s">
        <v>742</v>
      </c>
      <c r="C22" s="101" t="s">
        <v>57</v>
      </c>
      <c r="D22" s="101">
        <f>IF(OR(C22="sint64",C22="uint64",C22="double64"), 8, IF(OR(C22="sint32",C22="uint32",C22="float32"),4,IF(OR(C22="sint16",C22="uint16"),2,  IF(OR(C22="sint8",C22="uint8"),1,""))))</f>
        <v>4</v>
      </c>
      <c r="E22" s="87" t="s">
        <v>774</v>
      </c>
      <c r="F22" s="101"/>
      <c r="G22" s="93">
        <f>ROUND((32768/BASE_FLUX) * MTPAFlux_6,0)</f>
        <v>11332</v>
      </c>
      <c r="H22" s="92" t="str">
        <f>IF(G22&lt;&gt;"",IF(C22="float32",FLOAT2HEX(G22),DEC2HEX(G22,8)),"")</f>
        <v>00002C44</v>
      </c>
      <c r="I22" s="92">
        <f t="shared" si="3"/>
        <v>11332</v>
      </c>
    </row>
    <row r="23" spans="1:9" s="93" customFormat="1" ht="15" customHeight="1" x14ac:dyDescent="0.25">
      <c r="A23" s="94">
        <f>IF(I23&lt;&gt;"",MAX(A$1:A22)+1,"")</f>
        <v>16</v>
      </c>
      <c r="B23" s="95" t="s">
        <v>718</v>
      </c>
      <c r="C23" s="101" t="s">
        <v>57</v>
      </c>
      <c r="D23" s="101">
        <f t="shared" si="2"/>
        <v>4</v>
      </c>
      <c r="E23" s="87" t="s">
        <v>775</v>
      </c>
      <c r="F23" s="101"/>
      <c r="G23" s="93">
        <f>ROUND((32768/BASE_TORQ) * MTPATorque_7,0)</f>
        <v>2856</v>
      </c>
      <c r="H23" s="92" t="str">
        <f>IF(G23&lt;&gt;"",IF(C23="float32",FLOAT2HEX(G23),DEC2HEX(G23,8)),"")</f>
        <v>00000B28</v>
      </c>
      <c r="I23" s="92">
        <f t="shared" si="3"/>
        <v>2856</v>
      </c>
    </row>
    <row r="24" spans="1:9" s="93" customFormat="1" ht="15" customHeight="1" x14ac:dyDescent="0.25">
      <c r="A24" s="94">
        <f>IF(I24&lt;&gt;"",MAX(A$1:A23)+1,"")</f>
        <v>17</v>
      </c>
      <c r="B24" s="72" t="s">
        <v>743</v>
      </c>
      <c r="C24" s="101" t="s">
        <v>57</v>
      </c>
      <c r="D24" s="101">
        <f>IF(OR(C24="sint64",C24="uint64",C24="double64"), 8, IF(OR(C24="sint32",C24="uint32",C24="float32"),4,IF(OR(C24="sint16",C24="uint16"),2,  IF(OR(C24="sint8",C24="uint8"),1,""))))</f>
        <v>4</v>
      </c>
      <c r="E24" s="87" t="s">
        <v>776</v>
      </c>
      <c r="F24" s="101"/>
      <c r="G24" s="93">
        <f>ROUND((32768/BASE_FLUX) * MTPAFlux_7,0)</f>
        <v>11799</v>
      </c>
      <c r="H24" s="92" t="str">
        <f>IF(G24&lt;&gt;"",IF(C24="float32",FLOAT2HEX(G24),DEC2HEX(G24,8)),"")</f>
        <v>00002E17</v>
      </c>
      <c r="I24" s="92">
        <f t="shared" si="3"/>
        <v>11799</v>
      </c>
    </row>
    <row r="25" spans="1:9" s="93" customFormat="1" ht="15" customHeight="1" x14ac:dyDescent="0.25">
      <c r="A25" s="94">
        <f>IF(I25&lt;&gt;"",MAX(A$1:A24)+1,"")</f>
        <v>18</v>
      </c>
      <c r="B25" s="95" t="s">
        <v>719</v>
      </c>
      <c r="C25" s="101" t="s">
        <v>57</v>
      </c>
      <c r="D25" s="101">
        <f t="shared" si="2"/>
        <v>4</v>
      </c>
      <c r="E25" s="87" t="s">
        <v>777</v>
      </c>
      <c r="F25" s="101"/>
      <c r="G25" s="93">
        <f>ROUND((32768/BASE_TORQ) * MTPATorque_8,0)</f>
        <v>3264</v>
      </c>
      <c r="H25" s="92" t="str">
        <f>IF(G25&lt;&gt;"",IF(C25="float32",FLOAT2HEX(G25),DEC2HEX(G25,8)),"")</f>
        <v>00000CC0</v>
      </c>
      <c r="I25" s="92">
        <f t="shared" si="3"/>
        <v>3264</v>
      </c>
    </row>
    <row r="26" spans="1:9" s="93" customFormat="1" ht="15" customHeight="1" x14ac:dyDescent="0.25">
      <c r="A26" s="94">
        <f>IF(I26&lt;&gt;"",MAX(A$1:A25)+1,"")</f>
        <v>19</v>
      </c>
      <c r="B26" s="72" t="s">
        <v>744</v>
      </c>
      <c r="C26" s="101" t="s">
        <v>57</v>
      </c>
      <c r="D26" s="101">
        <f>IF(OR(C26="sint64",C26="uint64",C26="double64"), 8, IF(OR(C26="sint32",C26="uint32",C26="float32"),4,IF(OR(C26="sint16",C26="uint16"),2,  IF(OR(C26="sint8",C26="uint8"),1,""))))</f>
        <v>4</v>
      </c>
      <c r="E26" s="87" t="s">
        <v>778</v>
      </c>
      <c r="F26" s="101"/>
      <c r="G26" s="93">
        <f>ROUND((32768/BASE_FLUX) * MTPAFlux_8,0)</f>
        <v>12322</v>
      </c>
      <c r="H26" s="92" t="str">
        <f>IF(G26&lt;&gt;"",IF(C26="float32",FLOAT2HEX(G26),DEC2HEX(G26,8)),"")</f>
        <v>00003022</v>
      </c>
      <c r="I26" s="92">
        <f t="shared" si="3"/>
        <v>12322</v>
      </c>
    </row>
    <row r="27" spans="1:9" s="93" customFormat="1" ht="15" customHeight="1" x14ac:dyDescent="0.25">
      <c r="A27" s="94">
        <f>IF(I27&lt;&gt;"",MAX(A$1:A26)+1,"")</f>
        <v>20</v>
      </c>
      <c r="B27" s="95" t="s">
        <v>720</v>
      </c>
      <c r="C27" s="101" t="s">
        <v>57</v>
      </c>
      <c r="D27" s="101">
        <f t="shared" si="2"/>
        <v>4</v>
      </c>
      <c r="E27" s="87" t="s">
        <v>779</v>
      </c>
      <c r="F27" s="101"/>
      <c r="G27" s="93">
        <f>ROUND((32768/BASE_TORQ) * MTPATorque_9,0)</f>
        <v>3672</v>
      </c>
      <c r="H27" s="92" t="str">
        <f>IF(G27&lt;&gt;"",IF(C27="float32",FLOAT2HEX(G27),DEC2HEX(G27,8)),"")</f>
        <v>00000E58</v>
      </c>
      <c r="I27" s="92">
        <f t="shared" si="3"/>
        <v>3672</v>
      </c>
    </row>
    <row r="28" spans="1:9" s="93" customFormat="1" ht="15" customHeight="1" x14ac:dyDescent="0.25">
      <c r="A28" s="94">
        <f>IF(I28&lt;&gt;"",MAX(A$1:A27)+1,"")</f>
        <v>21</v>
      </c>
      <c r="B28" s="72" t="s">
        <v>745</v>
      </c>
      <c r="C28" s="101" t="s">
        <v>57</v>
      </c>
      <c r="D28" s="101">
        <f>IF(OR(C28="sint64",C28="uint64",C28="double64"), 8, IF(OR(C28="sint32",C28="uint32",C28="float32"),4,IF(OR(C28="sint16",C28="uint16"),2,  IF(OR(C28="sint8",C28="uint8"),1,""))))</f>
        <v>4</v>
      </c>
      <c r="E28" s="87" t="s">
        <v>780</v>
      </c>
      <c r="F28" s="101"/>
      <c r="G28" s="93">
        <f>ROUND((32768/BASE_FLUX) * MTPAFlux_9,0)</f>
        <v>12764</v>
      </c>
      <c r="H28" s="92" t="str">
        <f>IF(G28&lt;&gt;"",IF(C28="float32",FLOAT2HEX(G28),DEC2HEX(G28,8)),"")</f>
        <v>000031DC</v>
      </c>
      <c r="I28" s="92">
        <f t="shared" si="3"/>
        <v>12764</v>
      </c>
    </row>
    <row r="29" spans="1:9" s="93" customFormat="1" ht="15" customHeight="1" x14ac:dyDescent="0.25">
      <c r="A29" s="94">
        <f>IF(I29&lt;&gt;"",MAX(A$1:A28)+1,"")</f>
        <v>22</v>
      </c>
      <c r="B29" s="95" t="s">
        <v>721</v>
      </c>
      <c r="C29" s="101" t="s">
        <v>57</v>
      </c>
      <c r="D29" s="101">
        <f t="shared" si="2"/>
        <v>4</v>
      </c>
      <c r="E29" s="87" t="s">
        <v>781</v>
      </c>
      <c r="F29" s="101"/>
      <c r="G29" s="93">
        <f>ROUND((32768/BASE_TORQ) * MTPATorque_10,0)</f>
        <v>4080</v>
      </c>
      <c r="H29" s="92" t="str">
        <f>IF(G29&lt;&gt;"",IF(C29="float32",FLOAT2HEX(G29),DEC2HEX(G29,8)),"")</f>
        <v>00000FF0</v>
      </c>
      <c r="I29" s="92">
        <f t="shared" si="3"/>
        <v>4080</v>
      </c>
    </row>
    <row r="30" spans="1:9" s="93" customFormat="1" ht="15" customHeight="1" x14ac:dyDescent="0.25">
      <c r="A30" s="94">
        <f>IF(I30&lt;&gt;"",MAX(A$1:A29)+1,"")</f>
        <v>23</v>
      </c>
      <c r="B30" s="72" t="s">
        <v>746</v>
      </c>
      <c r="C30" s="101" t="s">
        <v>57</v>
      </c>
      <c r="D30" s="101">
        <f>IF(OR(C30="sint64",C30="uint64",C30="double64"), 8, IF(OR(C30="sint32",C30="uint32",C30="float32"),4,IF(OR(C30="sint16",C30="uint16"),2,  IF(OR(C30="sint8",C30="uint8"),1,""))))</f>
        <v>4</v>
      </c>
      <c r="E30" s="87" t="s">
        <v>782</v>
      </c>
      <c r="F30" s="101"/>
      <c r="G30" s="93">
        <f>ROUND((32768/BASE_FLUX) * MTPAFlux_10,0)</f>
        <v>12888</v>
      </c>
      <c r="H30" s="92" t="str">
        <f>IF(G30&lt;&gt;"",IF(C30="float32",FLOAT2HEX(G30),DEC2HEX(G30,8)),"")</f>
        <v>00003258</v>
      </c>
      <c r="I30" s="92">
        <f t="shared" si="3"/>
        <v>12888</v>
      </c>
    </row>
    <row r="31" spans="1:9" s="93" customFormat="1" ht="15" customHeight="1" x14ac:dyDescent="0.25">
      <c r="A31" s="94">
        <f>IF(I31&lt;&gt;"",MAX(A$1:A30)+1,"")</f>
        <v>24</v>
      </c>
      <c r="B31" s="95" t="s">
        <v>722</v>
      </c>
      <c r="C31" s="101" t="s">
        <v>57</v>
      </c>
      <c r="D31" s="101">
        <f t="shared" si="2"/>
        <v>4</v>
      </c>
      <c r="E31" s="87" t="s">
        <v>783</v>
      </c>
      <c r="F31" s="101"/>
      <c r="G31" s="93">
        <f>ROUND((32768/BASE_TORQ) * MTPATorque_11,0)</f>
        <v>4488</v>
      </c>
      <c r="H31" s="92" t="str">
        <f>IF(G31&lt;&gt;"",IF(C31="float32",FLOAT2HEX(G31),DEC2HEX(G31,8)),"")</f>
        <v>00001188</v>
      </c>
      <c r="I31" s="92">
        <f t="shared" si="3"/>
        <v>4488</v>
      </c>
    </row>
    <row r="32" spans="1:9" s="93" customFormat="1" ht="15" customHeight="1" x14ac:dyDescent="0.25">
      <c r="A32" s="94">
        <f>IF(I32&lt;&gt;"",MAX(A$1:A31)+1,"")</f>
        <v>25</v>
      </c>
      <c r="B32" s="72" t="s">
        <v>747</v>
      </c>
      <c r="C32" s="101" t="s">
        <v>57</v>
      </c>
      <c r="D32" s="101">
        <f>IF(OR(C32="sint64",C32="uint64",C32="double64"), 8, IF(OR(C32="sint32",C32="uint32",C32="float32"),4,IF(OR(C32="sint16",C32="uint16"),2,  IF(OR(C32="sint8",C32="uint8"),1,""))))</f>
        <v>4</v>
      </c>
      <c r="E32" s="87" t="s">
        <v>784</v>
      </c>
      <c r="F32" s="101"/>
      <c r="G32" s="93">
        <f>ROUND((32768/BASE_FLUX) * MTPAFlux_11,0)</f>
        <v>13008</v>
      </c>
      <c r="H32" s="92" t="str">
        <f>IF(G32&lt;&gt;"",IF(C32="float32",FLOAT2HEX(G32),DEC2HEX(G32,8)),"")</f>
        <v>000032D0</v>
      </c>
      <c r="I32" s="92">
        <f t="shared" si="3"/>
        <v>13008</v>
      </c>
    </row>
    <row r="33" spans="1:9" s="93" customFormat="1" ht="15" customHeight="1" x14ac:dyDescent="0.25">
      <c r="A33" s="94">
        <f>IF(I33&lt;&gt;"",MAX(A$1:A32)+1,"")</f>
        <v>26</v>
      </c>
      <c r="B33" s="95" t="s">
        <v>723</v>
      </c>
      <c r="C33" s="101" t="s">
        <v>57</v>
      </c>
      <c r="D33" s="101">
        <f t="shared" si="2"/>
        <v>4</v>
      </c>
      <c r="E33" s="87" t="s">
        <v>785</v>
      </c>
      <c r="F33" s="101"/>
      <c r="G33" s="93">
        <f>ROUND((32768/BASE_TORQ) * MTPATorque_12,0)</f>
        <v>4896</v>
      </c>
      <c r="H33" s="92" t="str">
        <f>IF(G33&lt;&gt;"",IF(C33="float32",FLOAT2HEX(G33),DEC2HEX(G33,8)),"")</f>
        <v>00001320</v>
      </c>
      <c r="I33" s="92">
        <f t="shared" si="3"/>
        <v>4896</v>
      </c>
    </row>
    <row r="34" spans="1:9" s="93" customFormat="1" ht="15" customHeight="1" x14ac:dyDescent="0.25">
      <c r="A34" s="94">
        <f>IF(I34&lt;&gt;"",MAX(A$1:A33)+1,"")</f>
        <v>27</v>
      </c>
      <c r="B34" s="72" t="s">
        <v>748</v>
      </c>
      <c r="C34" s="101" t="s">
        <v>57</v>
      </c>
      <c r="D34" s="101">
        <f>IF(OR(C34="sint64",C34="uint64",C34="double64"), 8, IF(OR(C34="sint32",C34="uint32",C34="float32"),4,IF(OR(C34="sint16",C34="uint16"),2,  IF(OR(C34="sint8",C34="uint8"),1,""))))</f>
        <v>4</v>
      </c>
      <c r="E34" s="87" t="s">
        <v>786</v>
      </c>
      <c r="F34" s="101"/>
      <c r="G34" s="93">
        <f>ROUND((32768/BASE_FLUX) * MTPAFlux_12,0)</f>
        <v>13100</v>
      </c>
      <c r="H34" s="92" t="str">
        <f>IF(G34&lt;&gt;"",IF(C34="float32",FLOAT2HEX(G34),DEC2HEX(G34,8)),"")</f>
        <v>0000332C</v>
      </c>
      <c r="I34" s="92">
        <f t="shared" si="3"/>
        <v>13100</v>
      </c>
    </row>
    <row r="35" spans="1:9" s="93" customFormat="1" ht="15" customHeight="1" x14ac:dyDescent="0.25">
      <c r="A35" s="94">
        <f>IF(I35&lt;&gt;"",MAX(A$1:A34)+1,"")</f>
        <v>28</v>
      </c>
      <c r="B35" s="95" t="s">
        <v>724</v>
      </c>
      <c r="C35" s="101" t="s">
        <v>57</v>
      </c>
      <c r="D35" s="101">
        <f t="shared" si="2"/>
        <v>4</v>
      </c>
      <c r="E35" s="87" t="s">
        <v>787</v>
      </c>
      <c r="F35" s="101"/>
      <c r="G35" s="93">
        <f>ROUND((32768/BASE_TORQ) * MTPATorque_13,0)</f>
        <v>5304</v>
      </c>
      <c r="H35" s="92" t="str">
        <f>IF(G35&lt;&gt;"",IF(C35="float32",FLOAT2HEX(G35),DEC2HEX(G35,8)),"")</f>
        <v>000014B8</v>
      </c>
      <c r="I35" s="92">
        <f t="shared" si="3"/>
        <v>5304</v>
      </c>
    </row>
    <row r="36" spans="1:9" s="93" customFormat="1" ht="15" customHeight="1" x14ac:dyDescent="0.25">
      <c r="A36" s="94">
        <f>IF(I36&lt;&gt;"",MAX(A$1:A35)+1,"")</f>
        <v>29</v>
      </c>
      <c r="B36" s="72" t="s">
        <v>749</v>
      </c>
      <c r="C36" s="101" t="s">
        <v>57</v>
      </c>
      <c r="D36" s="101">
        <f>IF(OR(C36="sint64",C36="uint64",C36="double64"), 8, IF(OR(C36="sint32",C36="uint32",C36="float32"),4,IF(OR(C36="sint16",C36="uint16"),2,  IF(OR(C36="sint8",C36="uint8"),1,""))))</f>
        <v>4</v>
      </c>
      <c r="E36" s="87" t="s">
        <v>788</v>
      </c>
      <c r="F36" s="101"/>
      <c r="G36" s="93">
        <f>ROUND((32768/BASE_FLUX) * MTPAFlux_13,0)</f>
        <v>13181</v>
      </c>
      <c r="H36" s="92" t="str">
        <f>IF(G36&lt;&gt;"",IF(C36="float32",FLOAT2HEX(G36),DEC2HEX(G36,8)),"")</f>
        <v>0000337D</v>
      </c>
      <c r="I36" s="92">
        <f t="shared" si="3"/>
        <v>13181</v>
      </c>
    </row>
    <row r="37" spans="1:9" s="93" customFormat="1" ht="15" customHeight="1" x14ac:dyDescent="0.25">
      <c r="A37" s="94">
        <f>IF(I37&lt;&gt;"",MAX(A$1:A36)+1,"")</f>
        <v>30</v>
      </c>
      <c r="B37" s="95" t="s">
        <v>725</v>
      </c>
      <c r="C37" s="101" t="s">
        <v>57</v>
      </c>
      <c r="D37" s="101">
        <f t="shared" si="2"/>
        <v>4</v>
      </c>
      <c r="E37" s="87" t="s">
        <v>789</v>
      </c>
      <c r="F37" s="101"/>
      <c r="G37" s="93">
        <f>ROUND((32768/BASE_TORQ) * MTPATorque_14,0)</f>
        <v>5712</v>
      </c>
      <c r="H37" s="92" t="str">
        <f>IF(G37&lt;&gt;"",IF(C37="float32",FLOAT2HEX(G37),DEC2HEX(G37,8)),"")</f>
        <v>00001650</v>
      </c>
      <c r="I37" s="92">
        <f t="shared" si="3"/>
        <v>5712</v>
      </c>
    </row>
    <row r="38" spans="1:9" s="93" customFormat="1" ht="15" customHeight="1" x14ac:dyDescent="0.25">
      <c r="A38" s="94">
        <f>IF(I38&lt;&gt;"",MAX(A$1:A37)+1,"")</f>
        <v>31</v>
      </c>
      <c r="B38" s="72" t="s">
        <v>750</v>
      </c>
      <c r="C38" s="101" t="s">
        <v>57</v>
      </c>
      <c r="D38" s="101">
        <f>IF(OR(C38="sint64",C38="uint64",C38="double64"), 8, IF(OR(C38="sint32",C38="uint32",C38="float32"),4,IF(OR(C38="sint16",C38="uint16"),2,  IF(OR(C38="sint8",C38="uint8"),1,""))))</f>
        <v>4</v>
      </c>
      <c r="E38" s="87" t="s">
        <v>790</v>
      </c>
      <c r="F38" s="101"/>
      <c r="G38" s="93">
        <f>ROUND((32768/BASE_FLUX) * MTPAFlux_14,0)</f>
        <v>13727</v>
      </c>
      <c r="H38" s="92" t="str">
        <f>IF(G38&lt;&gt;"",IF(C38="float32",FLOAT2HEX(G38),DEC2HEX(G38,8)),"")</f>
        <v>0000359F</v>
      </c>
      <c r="I38" s="92">
        <f t="shared" si="3"/>
        <v>13727</v>
      </c>
    </row>
    <row r="39" spans="1:9" s="93" customFormat="1" ht="15" customHeight="1" x14ac:dyDescent="0.25">
      <c r="A39" s="94">
        <f>IF(I39&lt;&gt;"",MAX(A$1:A38)+1,"")</f>
        <v>32</v>
      </c>
      <c r="B39" s="95" t="s">
        <v>726</v>
      </c>
      <c r="C39" s="101" t="s">
        <v>57</v>
      </c>
      <c r="D39" s="101">
        <f t="shared" si="2"/>
        <v>4</v>
      </c>
      <c r="E39" s="87" t="s">
        <v>791</v>
      </c>
      <c r="F39" s="101"/>
      <c r="G39" s="93">
        <f>ROUND((32768/BASE_TORQ) * MTPATorque_15,0)</f>
        <v>6120</v>
      </c>
      <c r="H39" s="92" t="str">
        <f>IF(G39&lt;&gt;"",IF(C39="float32",FLOAT2HEX(G39),DEC2HEX(G39,8)),"")</f>
        <v>000017E8</v>
      </c>
      <c r="I39" s="92">
        <f t="shared" si="3"/>
        <v>6120</v>
      </c>
    </row>
    <row r="40" spans="1:9" s="93" customFormat="1" ht="15" customHeight="1" x14ac:dyDescent="0.25">
      <c r="A40" s="94">
        <f>IF(I40&lt;&gt;"",MAX(A$1:A39)+1,"")</f>
        <v>33</v>
      </c>
      <c r="B40" s="72" t="s">
        <v>751</v>
      </c>
      <c r="C40" s="101" t="s">
        <v>57</v>
      </c>
      <c r="D40" s="101">
        <f t="shared" si="2"/>
        <v>4</v>
      </c>
      <c r="E40" s="87" t="s">
        <v>792</v>
      </c>
      <c r="F40" s="101"/>
      <c r="G40" s="93">
        <f>ROUND((32768/BASE_FLUX) * MTPAFlux_15,0)</f>
        <v>14343</v>
      </c>
      <c r="H40" s="92" t="str">
        <f>IF(G40&lt;&gt;"",IF(C40="float32",FLOAT2HEX(G40),DEC2HEX(G40,8)),"")</f>
        <v>00003807</v>
      </c>
      <c r="I40" s="92">
        <f t="shared" si="3"/>
        <v>14343</v>
      </c>
    </row>
    <row r="41" spans="1:9" s="93" customFormat="1" ht="15" customHeight="1" x14ac:dyDescent="0.25">
      <c r="A41" s="94">
        <f>IF(I41&lt;&gt;"",MAX(A$1:A40)+1,"")</f>
        <v>34</v>
      </c>
      <c r="B41" s="95" t="s">
        <v>727</v>
      </c>
      <c r="C41" s="101" t="s">
        <v>57</v>
      </c>
      <c r="D41" s="101">
        <f t="shared" ref="D41:D58" si="4">IF(OR(C41="sint64",C41="uint64",C41="double64"), 8, IF(OR(C41="sint32",C41="uint32",C41="float32"),4,IF(OR(C41="sint16",C41="uint16"),2,  IF(OR(C41="sint8",C41="uint8"),1,""))))</f>
        <v>4</v>
      </c>
      <c r="E41" s="87" t="s">
        <v>793</v>
      </c>
      <c r="F41" s="101"/>
      <c r="G41" s="93">
        <f>ROUND((32768/BASE_TORQ) * MTPATorque_16,0)</f>
        <v>6528</v>
      </c>
      <c r="H41" s="92" t="str">
        <f>IF(G41&lt;&gt;"",IF(C41="float32",FLOAT2HEX(G41),DEC2HEX(G41,8)),"")</f>
        <v>00001980</v>
      </c>
      <c r="I41" s="92">
        <f t="shared" si="3"/>
        <v>6528</v>
      </c>
    </row>
    <row r="42" spans="1:9" x14ac:dyDescent="0.25">
      <c r="A42" s="94">
        <f>IF(I42&lt;&gt;"",MAX(A$1:A41)+1,"")</f>
        <v>35</v>
      </c>
      <c r="B42" s="72" t="s">
        <v>752</v>
      </c>
      <c r="C42" s="101" t="s">
        <v>57</v>
      </c>
      <c r="D42" s="101">
        <f t="shared" si="4"/>
        <v>4</v>
      </c>
      <c r="E42" s="87" t="s">
        <v>794</v>
      </c>
      <c r="G42" s="101">
        <f>ROUND((32768/BASE_FLUX) * MTPAFlux_16,0)</f>
        <v>14969</v>
      </c>
      <c r="H42" s="92" t="str">
        <f>IF(G42&lt;&gt;"",IF(C42="float32",FLOAT2HEX(G42),DEC2HEX(G42,8)),"")</f>
        <v>00003A79</v>
      </c>
      <c r="I42" s="92">
        <f t="shared" si="3"/>
        <v>14969</v>
      </c>
    </row>
    <row r="43" spans="1:9" x14ac:dyDescent="0.25">
      <c r="A43" s="94">
        <f>IF(I43&lt;&gt;"",MAX(A$1:A42)+1,"")</f>
        <v>36</v>
      </c>
      <c r="B43" s="95" t="s">
        <v>728</v>
      </c>
      <c r="C43" s="101" t="s">
        <v>57</v>
      </c>
      <c r="D43" s="101">
        <f t="shared" si="4"/>
        <v>4</v>
      </c>
      <c r="E43" s="87" t="s">
        <v>795</v>
      </c>
      <c r="G43" s="101">
        <f>ROUND((32768/BASE_TORQ) * MTPATorque_17,0)</f>
        <v>6936</v>
      </c>
      <c r="H43" s="92" t="str">
        <f>IF(G43&lt;&gt;"",IF(C43="float32",FLOAT2HEX(G43),DEC2HEX(G43,8)),"")</f>
        <v>00001B18</v>
      </c>
      <c r="I43" s="92">
        <f t="shared" si="3"/>
        <v>6936</v>
      </c>
    </row>
    <row r="44" spans="1:9" x14ac:dyDescent="0.25">
      <c r="A44" s="94">
        <f>IF(I44&lt;&gt;"",MAX(A$1:A43)+1,"")</f>
        <v>37</v>
      </c>
      <c r="B44" s="72" t="s">
        <v>753</v>
      </c>
      <c r="C44" s="101" t="s">
        <v>57</v>
      </c>
      <c r="D44" s="101">
        <f t="shared" si="4"/>
        <v>4</v>
      </c>
      <c r="E44" s="87" t="s">
        <v>796</v>
      </c>
      <c r="G44" s="101">
        <f>ROUND((32768/BASE_FLUX) * MTPAFlux_17,0)</f>
        <v>15625</v>
      </c>
      <c r="H44" s="92" t="str">
        <f>IF(G44&lt;&gt;"",IF(C44="float32",FLOAT2HEX(G44),DEC2HEX(G44,8)),"")</f>
        <v>00003D09</v>
      </c>
      <c r="I44" s="92">
        <f t="shared" si="3"/>
        <v>15625</v>
      </c>
    </row>
    <row r="45" spans="1:9" x14ac:dyDescent="0.25">
      <c r="A45" s="94">
        <f>IF(I45&lt;&gt;"",MAX(A$1:A44)+1,"")</f>
        <v>38</v>
      </c>
      <c r="B45" s="95" t="s">
        <v>729</v>
      </c>
      <c r="C45" s="101" t="s">
        <v>57</v>
      </c>
      <c r="D45" s="101">
        <f t="shared" si="4"/>
        <v>4</v>
      </c>
      <c r="E45" s="87" t="s">
        <v>797</v>
      </c>
      <c r="G45" s="101">
        <f>ROUND((32768/BASE_TORQ) * MTPATorque_18,0)</f>
        <v>7344</v>
      </c>
      <c r="H45" s="92" t="str">
        <f>IF(G45&lt;&gt;"",IF(C45="float32",FLOAT2HEX(G45),DEC2HEX(G45,8)),"")</f>
        <v>00001CB0</v>
      </c>
      <c r="I45" s="92">
        <f t="shared" si="3"/>
        <v>7344</v>
      </c>
    </row>
    <row r="46" spans="1:9" x14ac:dyDescent="0.25">
      <c r="A46" s="94">
        <f>IF(I46&lt;&gt;"",MAX(A$1:A45)+1,"")</f>
        <v>39</v>
      </c>
      <c r="B46" s="72" t="s">
        <v>754</v>
      </c>
      <c r="C46" s="101" t="s">
        <v>57</v>
      </c>
      <c r="D46" s="101">
        <f t="shared" si="4"/>
        <v>4</v>
      </c>
      <c r="E46" s="87" t="s">
        <v>798</v>
      </c>
      <c r="G46" s="101">
        <f>ROUND((32768/BASE_FLUX) * MTPAFlux_18,0)</f>
        <v>16280</v>
      </c>
      <c r="H46" s="92" t="str">
        <f>IF(G46&lt;&gt;"",IF(C46="float32",FLOAT2HEX(G46),DEC2HEX(G46,8)),"")</f>
        <v>00003F98</v>
      </c>
      <c r="I46" s="92">
        <f t="shared" si="3"/>
        <v>16280</v>
      </c>
    </row>
    <row r="47" spans="1:9" x14ac:dyDescent="0.25">
      <c r="A47" s="94">
        <f>IF(I47&lt;&gt;"",MAX(A$1:A46)+1,"")</f>
        <v>40</v>
      </c>
      <c r="B47" s="95" t="s">
        <v>730</v>
      </c>
      <c r="C47" s="101" t="s">
        <v>57</v>
      </c>
      <c r="D47" s="101">
        <f t="shared" si="4"/>
        <v>4</v>
      </c>
      <c r="E47" s="87" t="s">
        <v>799</v>
      </c>
      <c r="G47" s="101">
        <f>ROUND((32768/BASE_TORQ) * MTPATorque_19,0)</f>
        <v>7752</v>
      </c>
      <c r="H47" s="92" t="str">
        <f>IF(G47&lt;&gt;"",IF(C47="float32",FLOAT2HEX(G47),DEC2HEX(G47,8)),"")</f>
        <v>00001E48</v>
      </c>
      <c r="I47" s="92">
        <f t="shared" si="3"/>
        <v>7752</v>
      </c>
    </row>
    <row r="48" spans="1:9" x14ac:dyDescent="0.25">
      <c r="A48" s="94">
        <f>IF(I48&lt;&gt;"",MAX(A$1:A47)+1,"")</f>
        <v>41</v>
      </c>
      <c r="B48" s="72" t="s">
        <v>755</v>
      </c>
      <c r="C48" s="101" t="s">
        <v>57</v>
      </c>
      <c r="D48" s="101">
        <f t="shared" si="4"/>
        <v>4</v>
      </c>
      <c r="E48" s="87" t="s">
        <v>800</v>
      </c>
      <c r="G48" s="101">
        <f>ROUND((32768/BASE_FLUX) * MTPAFlux_19,0)</f>
        <v>16950</v>
      </c>
      <c r="H48" s="92" t="str">
        <f>IF(G48&lt;&gt;"",IF(C48="float32",FLOAT2HEX(G48),DEC2HEX(G48,8)),"")</f>
        <v>00004236</v>
      </c>
      <c r="I48" s="92">
        <f t="shared" si="3"/>
        <v>16950</v>
      </c>
    </row>
    <row r="49" spans="1:9" x14ac:dyDescent="0.25">
      <c r="A49" s="94">
        <f>IF(I49&lt;&gt;"",MAX(A$1:A48)+1,"")</f>
        <v>42</v>
      </c>
      <c r="B49" s="95" t="s">
        <v>731</v>
      </c>
      <c r="C49" s="101" t="s">
        <v>57</v>
      </c>
      <c r="D49" s="101">
        <f t="shared" si="4"/>
        <v>4</v>
      </c>
      <c r="E49" s="87" t="s">
        <v>801</v>
      </c>
      <c r="G49" s="101">
        <f>ROUND((32768/BASE_TORQ) * MTPATorque_20,0)</f>
        <v>8160</v>
      </c>
      <c r="H49" s="92" t="str">
        <f>IF(G49&lt;&gt;"",IF(C49="float32",FLOAT2HEX(G49),DEC2HEX(G49,8)),"")</f>
        <v>00001FE0</v>
      </c>
      <c r="I49" s="92">
        <f t="shared" si="3"/>
        <v>8160</v>
      </c>
    </row>
    <row r="50" spans="1:9" x14ac:dyDescent="0.25">
      <c r="A50" s="94">
        <f>IF(I50&lt;&gt;"",MAX(A$1:A49)+1,"")</f>
        <v>43</v>
      </c>
      <c r="B50" s="72" t="s">
        <v>756</v>
      </c>
      <c r="C50" s="101" t="s">
        <v>57</v>
      </c>
      <c r="D50" s="101">
        <f t="shared" si="4"/>
        <v>4</v>
      </c>
      <c r="E50" s="87" t="s">
        <v>802</v>
      </c>
      <c r="G50" s="101">
        <f>ROUND((32768/BASE_FLUX) * MTPAFlux_20,0)</f>
        <v>17634</v>
      </c>
      <c r="H50" s="92" t="str">
        <f>IF(G50&lt;&gt;"",IF(C50="float32",FLOAT2HEX(G50),DEC2HEX(G50,8)),"")</f>
        <v>000044E2</v>
      </c>
      <c r="I50" s="92">
        <f t="shared" si="3"/>
        <v>17634</v>
      </c>
    </row>
    <row r="51" spans="1:9" x14ac:dyDescent="0.25">
      <c r="A51" s="94">
        <f>IF(I51&lt;&gt;"",MAX(A$1:A50)+1,"")</f>
        <v>44</v>
      </c>
      <c r="B51" s="95" t="s">
        <v>732</v>
      </c>
      <c r="C51" s="101" t="s">
        <v>57</v>
      </c>
      <c r="D51" s="101">
        <f t="shared" si="4"/>
        <v>4</v>
      </c>
      <c r="E51" s="87" t="s">
        <v>803</v>
      </c>
      <c r="G51" s="101">
        <f>ROUND((32768/BASE_TORQ) * MTPATorque_21,0)</f>
        <v>8568</v>
      </c>
      <c r="H51" s="92" t="str">
        <f>IF(G51&lt;&gt;"",IF(C51="float32",FLOAT2HEX(G51),DEC2HEX(G51,8)),"")</f>
        <v>00002178</v>
      </c>
      <c r="I51" s="92">
        <f t="shared" si="3"/>
        <v>8568</v>
      </c>
    </row>
    <row r="52" spans="1:9" x14ac:dyDescent="0.25">
      <c r="A52" s="94">
        <f>IF(I52&lt;&gt;"",MAX(A$1:A51)+1,"")</f>
        <v>45</v>
      </c>
      <c r="B52" s="72" t="s">
        <v>757</v>
      </c>
      <c r="C52" s="101" t="s">
        <v>57</v>
      </c>
      <c r="D52" s="101">
        <f t="shared" si="4"/>
        <v>4</v>
      </c>
      <c r="E52" s="87" t="s">
        <v>804</v>
      </c>
      <c r="G52" s="101">
        <f>ROUND((32768/BASE_FLUX) * MTPAFlux_21,0)</f>
        <v>18318</v>
      </c>
      <c r="H52" s="92" t="str">
        <f>IF(G52&lt;&gt;"",IF(C52="float32",FLOAT2HEX(G52),DEC2HEX(G52,8)),"")</f>
        <v>0000478E</v>
      </c>
      <c r="I52" s="92">
        <f t="shared" si="3"/>
        <v>18318</v>
      </c>
    </row>
    <row r="53" spans="1:9" x14ac:dyDescent="0.25">
      <c r="A53" s="94">
        <f>IF(I53&lt;&gt;"",MAX(A$1:A52)+1,"")</f>
        <v>46</v>
      </c>
      <c r="B53" s="95" t="s">
        <v>733</v>
      </c>
      <c r="C53" s="101" t="s">
        <v>57</v>
      </c>
      <c r="D53" s="101">
        <f t="shared" si="4"/>
        <v>4</v>
      </c>
      <c r="E53" s="87" t="s">
        <v>805</v>
      </c>
      <c r="G53" s="101">
        <f>ROUND((32768/BASE_TORQ) * MTPATorque_22,0)</f>
        <v>8976</v>
      </c>
      <c r="H53" s="92" t="str">
        <f>IF(G53&lt;&gt;"",IF(C53="float32",FLOAT2HEX(G53),DEC2HEX(G53,8)),"")</f>
        <v>00002310</v>
      </c>
      <c r="I53" s="92">
        <f t="shared" si="3"/>
        <v>8976</v>
      </c>
    </row>
    <row r="54" spans="1:9" x14ac:dyDescent="0.25">
      <c r="A54" s="94">
        <f>IF(I54&lt;&gt;"",MAX(A$1:A53)+1,"")</f>
        <v>47</v>
      </c>
      <c r="B54" s="72" t="s">
        <v>758</v>
      </c>
      <c r="C54" s="101" t="s">
        <v>57</v>
      </c>
      <c r="D54" s="101">
        <f t="shared" si="4"/>
        <v>4</v>
      </c>
      <c r="E54" s="87" t="s">
        <v>806</v>
      </c>
      <c r="G54" s="101">
        <f>ROUND((32768/BASE_FLUX) * MTPAFlux_22,0)</f>
        <v>19003</v>
      </c>
      <c r="H54" s="92" t="str">
        <f>IF(G54&lt;&gt;"",IF(C54="float32",FLOAT2HEX(G54),DEC2HEX(G54,8)),"")</f>
        <v>00004A3B</v>
      </c>
      <c r="I54" s="92">
        <f t="shared" si="3"/>
        <v>19003</v>
      </c>
    </row>
    <row r="55" spans="1:9" x14ac:dyDescent="0.25">
      <c r="A55" s="94">
        <f>IF(I55&lt;&gt;"",MAX(A$1:A54)+1,"")</f>
        <v>48</v>
      </c>
      <c r="B55" s="95" t="s">
        <v>734</v>
      </c>
      <c r="C55" s="101" t="s">
        <v>57</v>
      </c>
      <c r="D55" s="101">
        <f t="shared" si="4"/>
        <v>4</v>
      </c>
      <c r="E55" s="87" t="s">
        <v>807</v>
      </c>
      <c r="G55" s="101">
        <f>ROUND((32768/BASE_TORQ) * MTPATorque_23,0)</f>
        <v>9384</v>
      </c>
      <c r="H55" s="92" t="str">
        <f>IF(G55&lt;&gt;"",IF(C55="float32",FLOAT2HEX(G55),DEC2HEX(G55,8)),"")</f>
        <v>000024A8</v>
      </c>
      <c r="I55" s="92">
        <f t="shared" si="3"/>
        <v>9384</v>
      </c>
    </row>
    <row r="56" spans="1:9" x14ac:dyDescent="0.25">
      <c r="A56" s="94">
        <f>IF(I56&lt;&gt;"",MAX(A$1:A55)+1,"")</f>
        <v>49</v>
      </c>
      <c r="B56" s="72" t="s">
        <v>759</v>
      </c>
      <c r="C56" s="101" t="s">
        <v>57</v>
      </c>
      <c r="D56" s="101">
        <f t="shared" si="4"/>
        <v>4</v>
      </c>
      <c r="E56" s="87" t="s">
        <v>808</v>
      </c>
      <c r="G56" s="101">
        <f>ROUND((32768/BASE_FLUX) * MTPAFlux_23,0)</f>
        <v>19699</v>
      </c>
      <c r="H56" s="92" t="str">
        <f>IF(G56&lt;&gt;"",IF(C56="float32",FLOAT2HEX(G56),DEC2HEX(G56,8)),"")</f>
        <v>00004CF3</v>
      </c>
      <c r="I56" s="92">
        <f t="shared" si="3"/>
        <v>19699</v>
      </c>
    </row>
    <row r="57" spans="1:9" x14ac:dyDescent="0.25">
      <c r="A57" s="94">
        <f>IF(I57&lt;&gt;"",MAX(A$1:A56)+1,"")</f>
        <v>50</v>
      </c>
      <c r="B57" s="95" t="s">
        <v>735</v>
      </c>
      <c r="C57" s="101" t="s">
        <v>57</v>
      </c>
      <c r="D57" s="101">
        <f t="shared" si="4"/>
        <v>4</v>
      </c>
      <c r="E57" s="87" t="s">
        <v>809</v>
      </c>
      <c r="G57" s="101">
        <f>ROUND((32768/BASE_TORQ) * MTPATorque_24,0)</f>
        <v>9384</v>
      </c>
      <c r="H57" s="92" t="str">
        <f>IF(G57&lt;&gt;"",IF(C57="float32",FLOAT2HEX(G57),DEC2HEX(G57,8)),"")</f>
        <v>000024A8</v>
      </c>
      <c r="I57" s="92">
        <f t="shared" si="3"/>
        <v>9384</v>
      </c>
    </row>
    <row r="58" spans="1:9" x14ac:dyDescent="0.25">
      <c r="A58" s="94">
        <f>IF(I58&lt;&gt;"",MAX(A$1:A57)+1,"")</f>
        <v>51</v>
      </c>
      <c r="B58" s="72" t="s">
        <v>760</v>
      </c>
      <c r="C58" s="101" t="s">
        <v>57</v>
      </c>
      <c r="D58" s="101">
        <f t="shared" si="4"/>
        <v>4</v>
      </c>
      <c r="E58" s="87" t="s">
        <v>810</v>
      </c>
      <c r="G58" s="101">
        <f>ROUND((32768/BASE_FLUX) * MTPAFlux_24,0)</f>
        <v>19699</v>
      </c>
      <c r="H58" s="92" t="str">
        <f>IF(G58&lt;&gt;"",IF(C58="float32",FLOAT2HEX(G58),DEC2HEX(G58,8)),"")</f>
        <v>00004CF3</v>
      </c>
      <c r="I58" s="92">
        <f t="shared" si="3"/>
        <v>19699</v>
      </c>
    </row>
  </sheetData>
  <mergeCells count="2">
    <mergeCell ref="B1:H1"/>
    <mergeCell ref="B3:C3"/>
  </mergeCells>
  <dataValidations count="1">
    <dataValidation type="list" allowBlank="1" showInputMessage="1" showErrorMessage="1" sqref="C9:C5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U58"/>
  <sheetViews>
    <sheetView zoomScale="85" zoomScaleNormal="85" workbookViewId="0">
      <pane ySplit="5" topLeftCell="A6" activePane="bottomLeft" state="frozen"/>
      <selection activeCell="A285" sqref="A285"/>
      <selection pane="bottomLeft" activeCell="A6" sqref="A6"/>
    </sheetView>
  </sheetViews>
  <sheetFormatPr defaultRowHeight="15" x14ac:dyDescent="0.25"/>
  <cols>
    <col min="1" max="1" width="10.28515625" style="92" bestFit="1" customWidth="1"/>
    <col min="2" max="2" width="68.42578125" style="42" customWidth="1"/>
    <col min="3" max="3" width="8" style="101" bestFit="1" customWidth="1"/>
    <col min="4" max="4" width="14.28515625" style="101" customWidth="1"/>
    <col min="5" max="5" width="92.7109375" style="101" customWidth="1"/>
    <col min="6" max="6" width="12.140625" style="101" customWidth="1"/>
    <col min="7" max="7" width="11.7109375" style="101" bestFit="1" customWidth="1"/>
    <col min="8" max="9" width="23.5703125" style="93" customWidth="1"/>
    <col min="10" max="20" width="9.140625" style="93"/>
    <col min="21" max="16384" width="9.140625" style="101"/>
  </cols>
  <sheetData>
    <row r="1" spans="1:21" ht="28.5" customHeight="1" x14ac:dyDescent="0.25">
      <c r="B1" s="110" t="s">
        <v>511</v>
      </c>
      <c r="C1" s="110"/>
      <c r="D1" s="110"/>
      <c r="E1" s="110"/>
      <c r="F1" s="110"/>
      <c r="G1" s="110"/>
      <c r="H1" s="110"/>
      <c r="I1" s="10"/>
      <c r="J1" s="10"/>
      <c r="K1" s="10"/>
    </row>
    <row r="2" spans="1:21" s="92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3"/>
      <c r="M2" s="13"/>
      <c r="N2" s="13"/>
      <c r="O2" s="13"/>
      <c r="P2" s="13"/>
      <c r="Q2" s="13"/>
      <c r="R2" s="13"/>
      <c r="S2" s="13"/>
      <c r="T2" s="13"/>
    </row>
    <row r="3" spans="1:21" s="92" customFormat="1" ht="19.5" customHeight="1" x14ac:dyDescent="0.3">
      <c r="A3" s="23"/>
      <c r="B3" s="111" t="s">
        <v>162</v>
      </c>
      <c r="C3" s="111"/>
      <c r="D3" s="24">
        <f>SUM(D9:D1008)</f>
        <v>200</v>
      </c>
      <c r="E3" s="24"/>
      <c r="F3" s="24"/>
      <c r="G3" s="24"/>
      <c r="H3" s="25"/>
      <c r="I3" s="16"/>
      <c r="J3" s="16"/>
      <c r="K3" s="16"/>
      <c r="L3" s="13"/>
      <c r="M3" s="13"/>
      <c r="N3" s="13"/>
      <c r="O3" s="13"/>
      <c r="P3" s="13"/>
      <c r="Q3" s="13"/>
      <c r="R3" s="13"/>
      <c r="S3" s="13"/>
      <c r="T3" s="13"/>
    </row>
    <row r="4" spans="1:21" s="92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3"/>
      <c r="M4" s="13"/>
      <c r="N4" s="13"/>
      <c r="O4" s="13"/>
      <c r="P4" s="13"/>
      <c r="Q4" s="13"/>
      <c r="R4" s="13"/>
      <c r="S4" s="13"/>
      <c r="T4" s="13"/>
    </row>
    <row r="5" spans="1:21" s="92" customFormat="1" ht="18.75" customHeight="1" x14ac:dyDescent="0.25">
      <c r="A5" s="24" t="s">
        <v>164</v>
      </c>
      <c r="B5" s="41" t="s">
        <v>16</v>
      </c>
      <c r="C5" s="24" t="s">
        <v>161</v>
      </c>
      <c r="D5" s="24" t="s">
        <v>160</v>
      </c>
      <c r="E5" s="24" t="s">
        <v>17</v>
      </c>
      <c r="F5" s="27"/>
      <c r="G5" s="27" t="s">
        <v>21</v>
      </c>
      <c r="H5" s="27" t="s">
        <v>509</v>
      </c>
      <c r="I5" s="27" t="s">
        <v>602</v>
      </c>
      <c r="J5" s="16"/>
      <c r="K5" s="16"/>
      <c r="L5" s="13"/>
      <c r="M5" s="13"/>
      <c r="N5" s="13"/>
      <c r="O5" s="13"/>
      <c r="P5" s="13"/>
      <c r="Q5" s="13"/>
      <c r="R5" s="13"/>
      <c r="S5" s="13"/>
      <c r="T5" s="13"/>
    </row>
    <row r="6" spans="1:21" s="92" customFormat="1" ht="20.25" customHeight="1" x14ac:dyDescent="0.25">
      <c r="A6" s="94"/>
      <c r="B6" s="80" t="s">
        <v>811</v>
      </c>
      <c r="C6" s="78"/>
      <c r="D6" s="78"/>
      <c r="E6" s="78"/>
      <c r="F6" s="78"/>
      <c r="G6" s="78"/>
      <c r="H6" s="78" t="str">
        <f>IF(G6&lt;&gt;"",DEC2HEX(G6,4),"")</f>
        <v/>
      </c>
      <c r="I6" s="78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</row>
    <row r="7" spans="1:21" x14ac:dyDescent="0.25">
      <c r="A7" s="94">
        <v>0</v>
      </c>
      <c r="B7" s="95" t="s">
        <v>983</v>
      </c>
      <c r="C7" s="101" t="s">
        <v>57</v>
      </c>
      <c r="D7" s="101">
        <f>IF(OR(C7="sint64",C7="uint64",C7="double64"), 8, IF(OR(C7="sint32",C7="uint32",C7="float32"),4,IF(OR(C7="sint16",C7="uint16"),2,  IF(OR(C7="sint8",C7="uint8"),1,""))))</f>
        <v>4</v>
      </c>
      <c r="E7" s="87" t="s">
        <v>984</v>
      </c>
      <c r="G7" s="101">
        <f>SIZE_MTPV-1</f>
        <v>24</v>
      </c>
      <c r="H7" s="92" t="str">
        <f>IF(G7&lt;&gt;"",IF(C7="float32",FLOAT2HEX(G7),DEC2HEX(G7,8)),"")</f>
        <v>00000018</v>
      </c>
      <c r="I7" s="92">
        <f t="shared" ref="I7" si="0">IF(G7&lt;&gt;"",HEX2DEC(H7),"")</f>
        <v>24</v>
      </c>
    </row>
    <row r="8" spans="1:21" x14ac:dyDescent="0.25">
      <c r="A8" s="94">
        <f>IF(I8&lt;&gt;"",MAX(A$1:A7)+1,"")</f>
        <v>1</v>
      </c>
      <c r="B8" s="95" t="s">
        <v>976</v>
      </c>
      <c r="C8" s="101" t="s">
        <v>57</v>
      </c>
      <c r="D8" s="101">
        <f>IF(OR(C8="sint64",C8="uint64",C8="double64"), 8, IF(OR(C8="sint32",C8="uint32",C8="float32"),4,IF(OR(C8="sint16",C8="uint16"),2,  IF(OR(C8="sint8",C8="uint8"),1,""))))</f>
        <v>4</v>
      </c>
      <c r="E8" s="87" t="s">
        <v>977</v>
      </c>
      <c r="G8" s="101">
        <f>ROUND(BASE_FLUX/(MTPVFlux_1-MTPVFlux_0),0)</f>
        <v>40</v>
      </c>
      <c r="H8" s="92" t="str">
        <f>IF(G8&lt;&gt;"",IF(C8="float32",FLOAT2HEX(G8),DEC2HEX(G8,8)),"")</f>
        <v>00000028</v>
      </c>
      <c r="I8" s="92">
        <f>IF(G8&lt;&gt;"",HEX2DEC(H8),"")</f>
        <v>40</v>
      </c>
      <c r="U8" s="93"/>
    </row>
    <row r="9" spans="1:21" s="93" customFormat="1" ht="15" customHeight="1" x14ac:dyDescent="0.25">
      <c r="A9" s="94">
        <f>IF(I9&lt;&gt;"",MAX(A$1:A8)+1,"")</f>
        <v>2</v>
      </c>
      <c r="B9" s="95" t="s">
        <v>862</v>
      </c>
      <c r="C9" s="101" t="s">
        <v>57</v>
      </c>
      <c r="D9" s="101">
        <f t="shared" ref="D9:D51" si="1">IF(OR(C9="sint64",C9="uint64",C9="double64"), 8, IF(OR(C9="sint32",C9="uint32",C9="float32"),4,IF(OR(C9="sint16",C9="uint16"),2,  IF(OR(C9="sint8",C9="uint8"),1,""))))</f>
        <v>4</v>
      </c>
      <c r="E9" s="87" t="s">
        <v>912</v>
      </c>
      <c r="F9" s="101"/>
      <c r="G9" s="93">
        <f>ROUND((32768/BASE_FLUX) * MTPVFlux_0,0)</f>
        <v>820</v>
      </c>
      <c r="H9" s="92" t="str">
        <f>IF(G9&lt;&gt;"",IF(C9="float32",FLOAT2HEX(G9),DEC2HEX(G9,8)),"")</f>
        <v>00000334</v>
      </c>
      <c r="I9" s="92">
        <f>IF(AND(G9&lt;&gt;"",(ROW()-8)&lt;(($G$7+1)*3+1)),HEX2DEC(H9),"")</f>
        <v>820</v>
      </c>
    </row>
    <row r="10" spans="1:21" s="93" customFormat="1" ht="15" customHeight="1" x14ac:dyDescent="0.25">
      <c r="A10" s="94">
        <f>IF(I10&lt;&gt;"",MAX(A$1:A9)+1,"")</f>
        <v>3</v>
      </c>
      <c r="B10" s="72" t="s">
        <v>863</v>
      </c>
      <c r="C10" s="101" t="s">
        <v>57</v>
      </c>
      <c r="D10" s="101">
        <f>IF(OR(C10="sint64",C10="uint64",C10="double64"), 8, IF(OR(C10="sint32",C10="uint32",C10="float32"),4,IF(OR(C10="sint16",C10="uint16"),2,  IF(OR(C10="sint8",C10="uint8"),1,""))))</f>
        <v>4</v>
      </c>
      <c r="E10" s="87" t="s">
        <v>913</v>
      </c>
      <c r="F10" s="101"/>
      <c r="G10" s="93">
        <f>ROUND((32768/BASE_TORQ) * MTPVTorque_0,0)</f>
        <v>152</v>
      </c>
      <c r="H10" s="92" t="str">
        <f>IF(G10&lt;&gt;"",IF(C10="float32",FLOAT2HEX(G10),DEC2HEX(G10,8)),"")</f>
        <v>00000098</v>
      </c>
      <c r="I10" s="92">
        <f t="shared" ref="I10:I52" si="2">IF(AND(G10&lt;&gt;"",(ROW()-8)&lt;(($G$7+1)*3+1)),HEX2DEC(H10),"")</f>
        <v>152</v>
      </c>
    </row>
    <row r="11" spans="1:21" s="93" customFormat="1" ht="15" customHeight="1" x14ac:dyDescent="0.25">
      <c r="A11" s="94">
        <f>IF(I11&lt;&gt;"",MAX(A$1:A10)+1,"")</f>
        <v>4</v>
      </c>
      <c r="B11" s="95" t="s">
        <v>864</v>
      </c>
      <c r="C11" s="101" t="s">
        <v>57</v>
      </c>
      <c r="D11" s="101">
        <f>IF(OR(C11="sint64",C11="uint64",C11="double64"), 8, IF(OR(C11="sint32",C11="uint32",C11="float32"),4,IF(OR(C11="sint16",C11="uint16"),2,  IF(OR(C11="sint8",C11="uint8"),1,""))))</f>
        <v>4</v>
      </c>
      <c r="E11" s="87" t="s">
        <v>914</v>
      </c>
      <c r="F11" s="101"/>
      <c r="G11" s="93">
        <f>ROUND((32768/BASE_FLUX) * MTPVFlux_1,0)</f>
        <v>1631</v>
      </c>
      <c r="H11" s="92" t="str">
        <f>IF(G11&lt;&gt;"",IF(C11="float32",FLOAT2HEX(G11),DEC2HEX(G11,8)),"")</f>
        <v>0000065F</v>
      </c>
      <c r="I11" s="92">
        <f t="shared" si="2"/>
        <v>1631</v>
      </c>
    </row>
    <row r="12" spans="1:21" s="93" customFormat="1" ht="15" customHeight="1" x14ac:dyDescent="0.25">
      <c r="A12" s="94">
        <f>IF(I12&lt;&gt;"",MAX(A$1:A11)+1,"")</f>
        <v>5</v>
      </c>
      <c r="B12" s="72" t="s">
        <v>865</v>
      </c>
      <c r="C12" s="101" t="s">
        <v>57</v>
      </c>
      <c r="D12" s="101">
        <f t="shared" si="1"/>
        <v>4</v>
      </c>
      <c r="E12" s="87" t="s">
        <v>915</v>
      </c>
      <c r="F12" s="101"/>
      <c r="G12" s="93">
        <f>ROUND((32768/BASE_TORQ) * MTPVTorque_1,0)</f>
        <v>670</v>
      </c>
      <c r="H12" s="92" t="str">
        <f>IF(G12&lt;&gt;"",IF(C12="float32",FLOAT2HEX(G12),DEC2HEX(G12,8)),"")</f>
        <v>0000029E</v>
      </c>
      <c r="I12" s="92">
        <f t="shared" si="2"/>
        <v>670</v>
      </c>
    </row>
    <row r="13" spans="1:21" s="93" customFormat="1" ht="15" customHeight="1" x14ac:dyDescent="0.25">
      <c r="A13" s="94">
        <f>IF(I13&lt;&gt;"",MAX(A$1:A12)+1,"")</f>
        <v>6</v>
      </c>
      <c r="B13" s="95" t="s">
        <v>866</v>
      </c>
      <c r="C13" s="101" t="s">
        <v>57</v>
      </c>
      <c r="D13" s="101">
        <f t="shared" si="1"/>
        <v>4</v>
      </c>
      <c r="E13" s="87" t="s">
        <v>916</v>
      </c>
      <c r="F13" s="101"/>
      <c r="G13" s="93">
        <f>ROUND((32768/BASE_FLUX) * MTPVFlux_2,0)</f>
        <v>2441</v>
      </c>
      <c r="H13" s="92" t="str">
        <f>IF(G13&lt;&gt;"",IF(C13="float32",FLOAT2HEX(G13),DEC2HEX(G13,8)),"")</f>
        <v>00000989</v>
      </c>
      <c r="I13" s="92">
        <f t="shared" si="2"/>
        <v>2441</v>
      </c>
    </row>
    <row r="14" spans="1:21" s="93" customFormat="1" ht="15" customHeight="1" x14ac:dyDescent="0.25">
      <c r="A14" s="94">
        <f>IF(I14&lt;&gt;"",MAX(A$1:A13)+1,"")</f>
        <v>7</v>
      </c>
      <c r="B14" s="72" t="s">
        <v>867</v>
      </c>
      <c r="C14" s="101" t="s">
        <v>57</v>
      </c>
      <c r="D14" s="101">
        <f>IF(OR(C14="sint64",C14="uint64",C14="double64"), 8, IF(OR(C14="sint32",C14="uint32",C14="float32"),4,IF(OR(C14="sint16",C14="uint16"),2,  IF(OR(C14="sint8",C14="uint8"),1,""))))</f>
        <v>4</v>
      </c>
      <c r="E14" s="87" t="s">
        <v>917</v>
      </c>
      <c r="F14" s="101"/>
      <c r="G14" s="93">
        <f>ROUND((32768/BASE_TORQ) * MTPVTorque_2,0)</f>
        <v>1072</v>
      </c>
      <c r="H14" s="92" t="str">
        <f>IF(G14&lt;&gt;"",IF(C14="float32",FLOAT2HEX(G14),DEC2HEX(G14,8)),"")</f>
        <v>00000430</v>
      </c>
      <c r="I14" s="92">
        <f t="shared" si="2"/>
        <v>1072</v>
      </c>
    </row>
    <row r="15" spans="1:21" s="93" customFormat="1" ht="15" customHeight="1" x14ac:dyDescent="0.25">
      <c r="A15" s="94">
        <f>IF(I15&lt;&gt;"",MAX(A$1:A14)+1,"")</f>
        <v>8</v>
      </c>
      <c r="B15" s="95" t="s">
        <v>868</v>
      </c>
      <c r="C15" s="101" t="s">
        <v>57</v>
      </c>
      <c r="D15" s="101">
        <f>IF(OR(C15="sint64",C15="uint64",C15="double64"), 8, IF(OR(C15="sint32",C15="uint32",C15="float32"),4,IF(OR(C15="sint16",C15="uint16"),2,  IF(OR(C15="sint8",C15="uint8"),1,""))))</f>
        <v>4</v>
      </c>
      <c r="E15" s="87" t="s">
        <v>918</v>
      </c>
      <c r="F15" s="101"/>
      <c r="G15" s="93">
        <f>ROUND((32768/BASE_FLUX) * MTPVFlux_3,0)</f>
        <v>3252</v>
      </c>
      <c r="H15" s="92" t="str">
        <f>IF(G15&lt;&gt;"",IF(C15="float32",FLOAT2HEX(G15),DEC2HEX(G15,8)),"")</f>
        <v>00000CB4</v>
      </c>
      <c r="I15" s="92">
        <f t="shared" si="2"/>
        <v>3252</v>
      </c>
    </row>
    <row r="16" spans="1:21" s="93" customFormat="1" ht="15" customHeight="1" x14ac:dyDescent="0.25">
      <c r="A16" s="94">
        <f>IF(I16&lt;&gt;"",MAX(A$1:A15)+1,"")</f>
        <v>9</v>
      </c>
      <c r="B16" s="72" t="s">
        <v>869</v>
      </c>
      <c r="C16" s="101" t="s">
        <v>57</v>
      </c>
      <c r="D16" s="101">
        <f t="shared" si="1"/>
        <v>4</v>
      </c>
      <c r="E16" s="87" t="s">
        <v>919</v>
      </c>
      <c r="F16" s="101"/>
      <c r="G16" s="93">
        <f>ROUND((32768/BASE_TORQ) * MTPVTorque_3,0)</f>
        <v>1452</v>
      </c>
      <c r="H16" s="92" t="str">
        <f>IF(G16&lt;&gt;"",IF(C16="float32",FLOAT2HEX(G16),DEC2HEX(G16,8)),"")</f>
        <v>000005AC</v>
      </c>
      <c r="I16" s="92">
        <f t="shared" si="2"/>
        <v>1452</v>
      </c>
    </row>
    <row r="17" spans="1:9" s="93" customFormat="1" ht="15" customHeight="1" x14ac:dyDescent="0.25">
      <c r="A17" s="94">
        <f>IF(I17&lt;&gt;"",MAX(A$1:A16)+1,"")</f>
        <v>10</v>
      </c>
      <c r="B17" s="95" t="s">
        <v>870</v>
      </c>
      <c r="C17" s="101" t="s">
        <v>57</v>
      </c>
      <c r="D17" s="101">
        <f t="shared" si="1"/>
        <v>4</v>
      </c>
      <c r="E17" s="87" t="s">
        <v>920</v>
      </c>
      <c r="F17" s="101"/>
      <c r="G17" s="93">
        <f>ROUND((32768/BASE_FLUX) * MTPVFlux_4,0)</f>
        <v>4062</v>
      </c>
      <c r="H17" s="92" t="str">
        <f>IF(G17&lt;&gt;"",IF(C17="float32",FLOAT2HEX(G17),DEC2HEX(G17,8)),"")</f>
        <v>00000FDE</v>
      </c>
      <c r="I17" s="92">
        <f t="shared" si="2"/>
        <v>4062</v>
      </c>
    </row>
    <row r="18" spans="1:9" s="93" customFormat="1" ht="15" customHeight="1" x14ac:dyDescent="0.25">
      <c r="A18" s="94">
        <f>IF(I18&lt;&gt;"",MAX(A$1:A17)+1,"")</f>
        <v>11</v>
      </c>
      <c r="B18" s="72" t="s">
        <v>871</v>
      </c>
      <c r="C18" s="101" t="s">
        <v>57</v>
      </c>
      <c r="D18" s="101">
        <f>IF(OR(C18="sint64",C18="uint64",C18="double64"), 8, IF(OR(C18="sint32",C18="uint32",C18="float32"),4,IF(OR(C18="sint16",C18="uint16"),2,  IF(OR(C18="sint8",C18="uint8"),1,""))))</f>
        <v>4</v>
      </c>
      <c r="E18" s="87" t="s">
        <v>921</v>
      </c>
      <c r="F18" s="101"/>
      <c r="G18" s="93">
        <f>ROUND((32768/BASE_TORQ) * MTPVTorque_4,0)</f>
        <v>1819</v>
      </c>
      <c r="H18" s="92" t="str">
        <f>IF(G18&lt;&gt;"",IF(C18="float32",FLOAT2HEX(G18),DEC2HEX(G18,8)),"")</f>
        <v>0000071B</v>
      </c>
      <c r="I18" s="92">
        <f t="shared" si="2"/>
        <v>1819</v>
      </c>
    </row>
    <row r="19" spans="1:9" s="93" customFormat="1" ht="15" customHeight="1" x14ac:dyDescent="0.25">
      <c r="A19" s="94">
        <f>IF(I19&lt;&gt;"",MAX(A$1:A18)+1,"")</f>
        <v>12</v>
      </c>
      <c r="B19" s="95" t="s">
        <v>872</v>
      </c>
      <c r="C19" s="101" t="s">
        <v>57</v>
      </c>
      <c r="D19" s="101">
        <f>IF(OR(C19="sint64",C19="uint64",C19="double64"), 8, IF(OR(C19="sint32",C19="uint32",C19="float32"),4,IF(OR(C19="sint16",C19="uint16"),2,  IF(OR(C19="sint8",C19="uint8"),1,""))))</f>
        <v>4</v>
      </c>
      <c r="E19" s="87" t="s">
        <v>922</v>
      </c>
      <c r="F19" s="101"/>
      <c r="G19" s="93">
        <f>ROUND((32768/BASE_FLUX) * MTPVFlux_5,0)</f>
        <v>4873</v>
      </c>
      <c r="H19" s="92" t="str">
        <f>IF(G19&lt;&gt;"",IF(C19="float32",FLOAT2HEX(G19),DEC2HEX(G19,8)),"")</f>
        <v>00001309</v>
      </c>
      <c r="I19" s="92">
        <f t="shared" si="2"/>
        <v>4873</v>
      </c>
    </row>
    <row r="20" spans="1:9" s="93" customFormat="1" ht="15" customHeight="1" x14ac:dyDescent="0.25">
      <c r="A20" s="94">
        <f>IF(I20&lt;&gt;"",MAX(A$1:A19)+1,"")</f>
        <v>13</v>
      </c>
      <c r="B20" s="72" t="s">
        <v>873</v>
      </c>
      <c r="C20" s="101" t="s">
        <v>57</v>
      </c>
      <c r="D20" s="101">
        <f t="shared" si="1"/>
        <v>4</v>
      </c>
      <c r="E20" s="87" t="s">
        <v>923</v>
      </c>
      <c r="F20" s="101"/>
      <c r="G20" s="93">
        <f>ROUND((32768/BASE_TORQ) * MTPVTorque_5,0)</f>
        <v>2174</v>
      </c>
      <c r="H20" s="92" t="str">
        <f>IF(G20&lt;&gt;"",IF(C20="float32",FLOAT2HEX(G20),DEC2HEX(G20,8)),"")</f>
        <v>0000087E</v>
      </c>
      <c r="I20" s="92">
        <f t="shared" si="2"/>
        <v>2174</v>
      </c>
    </row>
    <row r="21" spans="1:9" s="93" customFormat="1" ht="15" customHeight="1" x14ac:dyDescent="0.25">
      <c r="A21" s="94">
        <f>IF(I21&lt;&gt;"",MAX(A$1:A20)+1,"")</f>
        <v>14</v>
      </c>
      <c r="B21" s="95" t="s">
        <v>874</v>
      </c>
      <c r="C21" s="101" t="s">
        <v>57</v>
      </c>
      <c r="D21" s="101">
        <f t="shared" si="1"/>
        <v>4</v>
      </c>
      <c r="E21" s="87" t="s">
        <v>924</v>
      </c>
      <c r="F21" s="101"/>
      <c r="G21" s="93">
        <f>ROUND((32768/BASE_FLUX) * MTPVFlux_6,0)</f>
        <v>5683</v>
      </c>
      <c r="H21" s="92" t="str">
        <f>IF(G21&lt;&gt;"",IF(C21="float32",FLOAT2HEX(G21),DEC2HEX(G21,8)),"")</f>
        <v>00001633</v>
      </c>
      <c r="I21" s="92">
        <f t="shared" si="2"/>
        <v>5683</v>
      </c>
    </row>
    <row r="22" spans="1:9" s="93" customFormat="1" ht="15" customHeight="1" x14ac:dyDescent="0.25">
      <c r="A22" s="94">
        <f>IF(I22&lt;&gt;"",MAX(A$1:A21)+1,"")</f>
        <v>15</v>
      </c>
      <c r="B22" s="72" t="s">
        <v>875</v>
      </c>
      <c r="C22" s="101" t="s">
        <v>57</v>
      </c>
      <c r="D22" s="101">
        <f>IF(OR(C22="sint64",C22="uint64",C22="double64"), 8, IF(OR(C22="sint32",C22="uint32",C22="float32"),4,IF(OR(C22="sint16",C22="uint16"),2,  IF(OR(C22="sint8",C22="uint8"),1,""))))</f>
        <v>4</v>
      </c>
      <c r="E22" s="87" t="s">
        <v>925</v>
      </c>
      <c r="F22" s="101"/>
      <c r="G22" s="93">
        <f>ROUND((32768/BASE_TORQ) * MTPVTorque_6,0)</f>
        <v>2517</v>
      </c>
      <c r="H22" s="92" t="str">
        <f>IF(G22&lt;&gt;"",IF(C22="float32",FLOAT2HEX(G22),DEC2HEX(G22,8)),"")</f>
        <v>000009D5</v>
      </c>
      <c r="I22" s="92">
        <f t="shared" si="2"/>
        <v>2517</v>
      </c>
    </row>
    <row r="23" spans="1:9" s="93" customFormat="1" ht="15" customHeight="1" x14ac:dyDescent="0.25">
      <c r="A23" s="94">
        <f>IF(I23&lt;&gt;"",MAX(A$1:A22)+1,"")</f>
        <v>16</v>
      </c>
      <c r="B23" s="95" t="s">
        <v>876</v>
      </c>
      <c r="C23" s="101" t="s">
        <v>57</v>
      </c>
      <c r="D23" s="101">
        <f>IF(OR(C23="sint64",C23="uint64",C23="double64"), 8, IF(OR(C23="sint32",C23="uint32",C23="float32"),4,IF(OR(C23="sint16",C23="uint16"),2,  IF(OR(C23="sint8",C23="uint8"),1,""))))</f>
        <v>4</v>
      </c>
      <c r="E23" s="87" t="s">
        <v>926</v>
      </c>
      <c r="F23" s="101"/>
      <c r="G23" s="93">
        <f>ROUND((32768/BASE_FLUX) * MTPVFlux_7,0)</f>
        <v>6494</v>
      </c>
      <c r="H23" s="92" t="str">
        <f>IF(G23&lt;&gt;"",IF(C23="float32",FLOAT2HEX(G23),DEC2HEX(G23,8)),"")</f>
        <v>0000195E</v>
      </c>
      <c r="I23" s="92">
        <f t="shared" si="2"/>
        <v>6494</v>
      </c>
    </row>
    <row r="24" spans="1:9" s="93" customFormat="1" ht="15" customHeight="1" x14ac:dyDescent="0.25">
      <c r="A24" s="94">
        <f>IF(I24&lt;&gt;"",MAX(A$1:A23)+1,"")</f>
        <v>17</v>
      </c>
      <c r="B24" s="72" t="s">
        <v>877</v>
      </c>
      <c r="C24" s="101" t="s">
        <v>57</v>
      </c>
      <c r="D24" s="101">
        <f t="shared" si="1"/>
        <v>4</v>
      </c>
      <c r="E24" s="87" t="s">
        <v>927</v>
      </c>
      <c r="F24" s="101"/>
      <c r="G24" s="93">
        <f>ROUND((32768/BASE_TORQ) * MTPVTorque_7,0)</f>
        <v>2846</v>
      </c>
      <c r="H24" s="92" t="str">
        <f>IF(G24&lt;&gt;"",IF(C24="float32",FLOAT2HEX(G24),DEC2HEX(G24,8)),"")</f>
        <v>00000B1E</v>
      </c>
      <c r="I24" s="92">
        <f t="shared" si="2"/>
        <v>2846</v>
      </c>
    </row>
    <row r="25" spans="1:9" s="93" customFormat="1" ht="15" customHeight="1" x14ac:dyDescent="0.25">
      <c r="A25" s="94">
        <f>IF(I25&lt;&gt;"",MAX(A$1:A24)+1,"")</f>
        <v>18</v>
      </c>
      <c r="B25" s="95" t="s">
        <v>878</v>
      </c>
      <c r="C25" s="101" t="s">
        <v>57</v>
      </c>
      <c r="D25" s="101">
        <f t="shared" si="1"/>
        <v>4</v>
      </c>
      <c r="E25" s="87" t="s">
        <v>928</v>
      </c>
      <c r="F25" s="101"/>
      <c r="G25" s="93">
        <f>ROUND((32768/BASE_FLUX) * MTPVFlux_8,0)</f>
        <v>7304</v>
      </c>
      <c r="H25" s="92" t="str">
        <f>IF(G25&lt;&gt;"",IF(C25="float32",FLOAT2HEX(G25),DEC2HEX(G25,8)),"")</f>
        <v>00001C88</v>
      </c>
      <c r="I25" s="92">
        <f t="shared" si="2"/>
        <v>7304</v>
      </c>
    </row>
    <row r="26" spans="1:9" s="93" customFormat="1" ht="15" customHeight="1" x14ac:dyDescent="0.25">
      <c r="A26" s="94">
        <f>IF(I26&lt;&gt;"",MAX(A$1:A25)+1,"")</f>
        <v>19</v>
      </c>
      <c r="B26" s="72" t="s">
        <v>879</v>
      </c>
      <c r="C26" s="101" t="s">
        <v>57</v>
      </c>
      <c r="D26" s="101">
        <f>IF(OR(C26="sint64",C26="uint64",C26="double64"), 8, IF(OR(C26="sint32",C26="uint32",C26="float32"),4,IF(OR(C26="sint16",C26="uint16"),2,  IF(OR(C26="sint8",C26="uint8"),1,""))))</f>
        <v>4</v>
      </c>
      <c r="E26" s="87" t="s">
        <v>929</v>
      </c>
      <c r="F26" s="101"/>
      <c r="G26" s="93">
        <f>ROUND((32768/BASE_TORQ) * MTPVTorque_8,0)</f>
        <v>3158</v>
      </c>
      <c r="H26" s="92" t="str">
        <f>IF(G26&lt;&gt;"",IF(C26="float32",FLOAT2HEX(G26),DEC2HEX(G26,8)),"")</f>
        <v>00000C56</v>
      </c>
      <c r="I26" s="92">
        <f t="shared" si="2"/>
        <v>3158</v>
      </c>
    </row>
    <row r="27" spans="1:9" s="93" customFormat="1" ht="15" customHeight="1" x14ac:dyDescent="0.25">
      <c r="A27" s="94">
        <f>IF(I27&lt;&gt;"",MAX(A$1:A26)+1,"")</f>
        <v>20</v>
      </c>
      <c r="B27" s="95" t="s">
        <v>880</v>
      </c>
      <c r="C27" s="101" t="s">
        <v>57</v>
      </c>
      <c r="D27" s="101">
        <f>IF(OR(C27="sint64",C27="uint64",C27="double64"), 8, IF(OR(C27="sint32",C27="uint32",C27="float32"),4,IF(OR(C27="sint16",C27="uint16"),2,  IF(OR(C27="sint8",C27="uint8"),1,""))))</f>
        <v>4</v>
      </c>
      <c r="E27" s="87" t="s">
        <v>930</v>
      </c>
      <c r="F27" s="101"/>
      <c r="G27" s="93">
        <f>ROUND((32768/BASE_FLUX) * MTPVFlux_9,0)</f>
        <v>8114</v>
      </c>
      <c r="H27" s="92" t="str">
        <f>IF(G27&lt;&gt;"",IF(C27="float32",FLOAT2HEX(G27),DEC2HEX(G27,8)),"")</f>
        <v>00001FB2</v>
      </c>
      <c r="I27" s="92">
        <f t="shared" si="2"/>
        <v>8114</v>
      </c>
    </row>
    <row r="28" spans="1:9" s="93" customFormat="1" ht="15" customHeight="1" x14ac:dyDescent="0.25">
      <c r="A28" s="94">
        <f>IF(I28&lt;&gt;"",MAX(A$1:A27)+1,"")</f>
        <v>21</v>
      </c>
      <c r="B28" s="72" t="s">
        <v>881</v>
      </c>
      <c r="C28" s="101" t="s">
        <v>57</v>
      </c>
      <c r="D28" s="101">
        <f t="shared" si="1"/>
        <v>4</v>
      </c>
      <c r="E28" s="87" t="s">
        <v>931</v>
      </c>
      <c r="F28" s="101"/>
      <c r="G28" s="93">
        <f>ROUND((32768/BASE_TORQ) * MTPVTorque_9,0)</f>
        <v>3453</v>
      </c>
      <c r="H28" s="92" t="str">
        <f>IF(G28&lt;&gt;"",IF(C28="float32",FLOAT2HEX(G28),DEC2HEX(G28,8)),"")</f>
        <v>00000D7D</v>
      </c>
      <c r="I28" s="92">
        <f t="shared" si="2"/>
        <v>3453</v>
      </c>
    </row>
    <row r="29" spans="1:9" s="93" customFormat="1" ht="15" customHeight="1" x14ac:dyDescent="0.25">
      <c r="A29" s="94">
        <f>IF(I29&lt;&gt;"",MAX(A$1:A28)+1,"")</f>
        <v>22</v>
      </c>
      <c r="B29" s="95" t="s">
        <v>882</v>
      </c>
      <c r="C29" s="101" t="s">
        <v>57</v>
      </c>
      <c r="D29" s="101">
        <f t="shared" si="1"/>
        <v>4</v>
      </c>
      <c r="E29" s="87" t="s">
        <v>932</v>
      </c>
      <c r="F29" s="101"/>
      <c r="G29" s="93">
        <f>ROUND((32768/BASE_FLUX) * MTPVFlux_10,0)</f>
        <v>8925</v>
      </c>
      <c r="H29" s="92" t="str">
        <f>IF(G29&lt;&gt;"",IF(C29="float32",FLOAT2HEX(G29),DEC2HEX(G29,8)),"")</f>
        <v>000022DD</v>
      </c>
      <c r="I29" s="92">
        <f t="shared" si="2"/>
        <v>8925</v>
      </c>
    </row>
    <row r="30" spans="1:9" s="93" customFormat="1" ht="15" customHeight="1" x14ac:dyDescent="0.25">
      <c r="A30" s="94">
        <f>IF(I30&lt;&gt;"",MAX(A$1:A29)+1,"")</f>
        <v>23</v>
      </c>
      <c r="B30" s="72" t="s">
        <v>883</v>
      </c>
      <c r="C30" s="101" t="s">
        <v>57</v>
      </c>
      <c r="D30" s="101">
        <f t="shared" si="1"/>
        <v>4</v>
      </c>
      <c r="E30" s="87" t="s">
        <v>933</v>
      </c>
      <c r="F30" s="101"/>
      <c r="G30" s="93">
        <f>ROUND((32768/BASE_TORQ) * MTPVTorque_10,0)</f>
        <v>3727</v>
      </c>
      <c r="H30" s="92" t="str">
        <f>IF(G30&lt;&gt;"",IF(C30="float32",FLOAT2HEX(G30),DEC2HEX(G30,8)),"")</f>
        <v>00000E8F</v>
      </c>
      <c r="I30" s="92">
        <f t="shared" si="2"/>
        <v>3727</v>
      </c>
    </row>
    <row r="31" spans="1:9" x14ac:dyDescent="0.25">
      <c r="A31" s="94">
        <f>IF(I31&lt;&gt;"",MAX(A$1:A30)+1,"")</f>
        <v>24</v>
      </c>
      <c r="B31" s="95" t="s">
        <v>884</v>
      </c>
      <c r="C31" s="101" t="s">
        <v>57</v>
      </c>
      <c r="D31" s="101">
        <f t="shared" si="1"/>
        <v>4</v>
      </c>
      <c r="E31" s="87" t="s">
        <v>934</v>
      </c>
      <c r="G31" s="101">
        <f>ROUND((32768/BASE_FLUX) * MTPVFlux_11,0)</f>
        <v>9735</v>
      </c>
      <c r="H31" s="92" t="str">
        <f>IF(G31&lt;&gt;"",IF(C31="float32",FLOAT2HEX(G31),DEC2HEX(G31,8)),"")</f>
        <v>00002607</v>
      </c>
      <c r="I31" s="92">
        <f t="shared" si="2"/>
        <v>9735</v>
      </c>
    </row>
    <row r="32" spans="1:9" x14ac:dyDescent="0.25">
      <c r="A32" s="94">
        <f>IF(I32&lt;&gt;"",MAX(A$1:A31)+1,"")</f>
        <v>25</v>
      </c>
      <c r="B32" s="72" t="s">
        <v>885</v>
      </c>
      <c r="C32" s="101" t="s">
        <v>57</v>
      </c>
      <c r="D32" s="101">
        <f t="shared" si="1"/>
        <v>4</v>
      </c>
      <c r="E32" s="87" t="s">
        <v>935</v>
      </c>
      <c r="G32" s="101">
        <f>ROUND((32768/BASE_TORQ) * MTPVTorque_11,0)</f>
        <v>3950</v>
      </c>
      <c r="H32" s="92" t="str">
        <f>IF(G32&lt;&gt;"",IF(C32="float32",FLOAT2HEX(G32),DEC2HEX(G32,8)),"")</f>
        <v>00000F6E</v>
      </c>
      <c r="I32" s="92">
        <f t="shared" si="2"/>
        <v>3950</v>
      </c>
    </row>
    <row r="33" spans="1:9" x14ac:dyDescent="0.25">
      <c r="A33" s="94">
        <f>IF(I33&lt;&gt;"",MAX(A$1:A32)+1,"")</f>
        <v>26</v>
      </c>
      <c r="B33" s="95" t="s">
        <v>886</v>
      </c>
      <c r="C33" s="101" t="s">
        <v>57</v>
      </c>
      <c r="D33" s="101">
        <f t="shared" si="1"/>
        <v>4</v>
      </c>
      <c r="E33" s="87" t="s">
        <v>936</v>
      </c>
      <c r="G33" s="101">
        <f>ROUND((32768/BASE_FLUX) * MTPVFlux_12,0)</f>
        <v>10546</v>
      </c>
      <c r="H33" s="92" t="str">
        <f>IF(G33&lt;&gt;"",IF(C33="float32",FLOAT2HEX(G33),DEC2HEX(G33,8)),"")</f>
        <v>00002932</v>
      </c>
      <c r="I33" s="92">
        <f t="shared" si="2"/>
        <v>10546</v>
      </c>
    </row>
    <row r="34" spans="1:9" x14ac:dyDescent="0.25">
      <c r="A34" s="94">
        <f>IF(I34&lt;&gt;"",MAX(A$1:A33)+1,"")</f>
        <v>27</v>
      </c>
      <c r="B34" s="72" t="s">
        <v>887</v>
      </c>
      <c r="C34" s="101" t="s">
        <v>57</v>
      </c>
      <c r="D34" s="101">
        <f t="shared" si="1"/>
        <v>4</v>
      </c>
      <c r="E34" s="87" t="s">
        <v>937</v>
      </c>
      <c r="G34" s="101">
        <f>ROUND((32768/BASE_TORQ) * MTPVTorque_12,0)</f>
        <v>4334</v>
      </c>
      <c r="H34" s="92" t="str">
        <f>IF(G34&lt;&gt;"",IF(C34="float32",FLOAT2HEX(G34),DEC2HEX(G34,8)),"")</f>
        <v>000010EE</v>
      </c>
      <c r="I34" s="92">
        <f t="shared" si="2"/>
        <v>4334</v>
      </c>
    </row>
    <row r="35" spans="1:9" x14ac:dyDescent="0.25">
      <c r="A35" s="94">
        <f>IF(I35&lt;&gt;"",MAX(A$1:A34)+1,"")</f>
        <v>28</v>
      </c>
      <c r="B35" s="95" t="s">
        <v>888</v>
      </c>
      <c r="C35" s="101" t="s">
        <v>57</v>
      </c>
      <c r="D35" s="101">
        <f t="shared" si="1"/>
        <v>4</v>
      </c>
      <c r="E35" s="87" t="s">
        <v>938</v>
      </c>
      <c r="G35" s="101">
        <f>ROUND((32768/BASE_FLUX) * MTPVFlux_13,0)</f>
        <v>11356</v>
      </c>
      <c r="H35" s="92" t="str">
        <f>IF(G35&lt;&gt;"",IF(C35="float32",FLOAT2HEX(G35),DEC2HEX(G35,8)),"")</f>
        <v>00002C5C</v>
      </c>
      <c r="I35" s="92">
        <f t="shared" si="2"/>
        <v>11356</v>
      </c>
    </row>
    <row r="36" spans="1:9" x14ac:dyDescent="0.25">
      <c r="A36" s="94">
        <f>IF(I36&lt;&gt;"",MAX(A$1:A35)+1,"")</f>
        <v>29</v>
      </c>
      <c r="B36" s="72" t="s">
        <v>889</v>
      </c>
      <c r="C36" s="101" t="s">
        <v>57</v>
      </c>
      <c r="D36" s="101">
        <f t="shared" si="1"/>
        <v>4</v>
      </c>
      <c r="E36" s="87" t="s">
        <v>939</v>
      </c>
      <c r="G36" s="101">
        <f>ROUND((32768/BASE_TORQ) * MTPVTorque_13,0)</f>
        <v>4873</v>
      </c>
      <c r="H36" s="92" t="str">
        <f>IF(G36&lt;&gt;"",IF(C36="float32",FLOAT2HEX(G36),DEC2HEX(G36,8)),"")</f>
        <v>00001309</v>
      </c>
      <c r="I36" s="92">
        <f t="shared" si="2"/>
        <v>4873</v>
      </c>
    </row>
    <row r="37" spans="1:9" x14ac:dyDescent="0.25">
      <c r="A37" s="94">
        <f>IF(I37&lt;&gt;"",MAX(A$1:A36)+1,"")</f>
        <v>30</v>
      </c>
      <c r="B37" s="95" t="s">
        <v>890</v>
      </c>
      <c r="C37" s="101" t="s">
        <v>57</v>
      </c>
      <c r="D37" s="101">
        <f t="shared" si="1"/>
        <v>4</v>
      </c>
      <c r="E37" s="87" t="s">
        <v>940</v>
      </c>
      <c r="G37" s="101">
        <f>ROUND((32768/BASE_FLUX) * MTPVFlux_14,0)</f>
        <v>12167</v>
      </c>
      <c r="H37" s="92" t="str">
        <f>IF(G37&lt;&gt;"",IF(C37="float32",FLOAT2HEX(G37),DEC2HEX(G37,8)),"")</f>
        <v>00002F87</v>
      </c>
      <c r="I37" s="92">
        <f t="shared" si="2"/>
        <v>12167</v>
      </c>
    </row>
    <row r="38" spans="1:9" x14ac:dyDescent="0.25">
      <c r="A38" s="94">
        <f>IF(I38&lt;&gt;"",MAX(A$1:A37)+1,"")</f>
        <v>31</v>
      </c>
      <c r="B38" s="72" t="s">
        <v>891</v>
      </c>
      <c r="C38" s="101" t="s">
        <v>57</v>
      </c>
      <c r="D38" s="101">
        <f t="shared" si="1"/>
        <v>4</v>
      </c>
      <c r="E38" s="87" t="s">
        <v>941</v>
      </c>
      <c r="G38" s="101">
        <f>ROUND((32768/BASE_TORQ) * MTPVTorque_14,0)</f>
        <v>5507</v>
      </c>
      <c r="H38" s="92" t="str">
        <f>IF(G38&lt;&gt;"",IF(C38="float32",FLOAT2HEX(G38),DEC2HEX(G38,8)),"")</f>
        <v>00001583</v>
      </c>
      <c r="I38" s="92">
        <f t="shared" si="2"/>
        <v>5507</v>
      </c>
    </row>
    <row r="39" spans="1:9" x14ac:dyDescent="0.25">
      <c r="A39" s="94">
        <f>IF(I39&lt;&gt;"",MAX(A$1:A38)+1,"")</f>
        <v>32</v>
      </c>
      <c r="B39" s="95" t="s">
        <v>892</v>
      </c>
      <c r="C39" s="101" t="s">
        <v>57</v>
      </c>
      <c r="D39" s="101">
        <f t="shared" si="1"/>
        <v>4</v>
      </c>
      <c r="E39" s="87" t="s">
        <v>942</v>
      </c>
      <c r="G39" s="101">
        <f>ROUND((32768/BASE_FLUX) * MTPVFlux_15,0)</f>
        <v>12977</v>
      </c>
      <c r="H39" s="92" t="str">
        <f>IF(G39&lt;&gt;"",IF(C39="float32",FLOAT2HEX(G39),DEC2HEX(G39,8)),"")</f>
        <v>000032B1</v>
      </c>
      <c r="I39" s="92">
        <f t="shared" si="2"/>
        <v>12977</v>
      </c>
    </row>
    <row r="40" spans="1:9" x14ac:dyDescent="0.25">
      <c r="A40" s="94">
        <f>IF(I40&lt;&gt;"",MAX(A$1:A39)+1,"")</f>
        <v>33</v>
      </c>
      <c r="B40" s="72" t="s">
        <v>893</v>
      </c>
      <c r="C40" s="101" t="s">
        <v>57</v>
      </c>
      <c r="D40" s="101">
        <f t="shared" si="1"/>
        <v>4</v>
      </c>
      <c r="E40" s="87" t="s">
        <v>943</v>
      </c>
      <c r="G40" s="101">
        <f>ROUND((32768/BASE_TORQ) * MTPVTorque_15,0)</f>
        <v>6360</v>
      </c>
      <c r="H40" s="92" t="str">
        <f>IF(G40&lt;&gt;"",IF(C40="float32",FLOAT2HEX(G40),DEC2HEX(G40,8)),"")</f>
        <v>000018D8</v>
      </c>
      <c r="I40" s="92">
        <f t="shared" si="2"/>
        <v>6360</v>
      </c>
    </row>
    <row r="41" spans="1:9" x14ac:dyDescent="0.25">
      <c r="A41" s="94">
        <f>IF(I41&lt;&gt;"",MAX(A$1:A40)+1,"")</f>
        <v>34</v>
      </c>
      <c r="B41" s="95" t="s">
        <v>894</v>
      </c>
      <c r="C41" s="101" t="s">
        <v>57</v>
      </c>
      <c r="D41" s="101">
        <f t="shared" si="1"/>
        <v>4</v>
      </c>
      <c r="E41" s="87" t="s">
        <v>944</v>
      </c>
      <c r="G41" s="101">
        <f>ROUND((32768/BASE_FLUX) * MTPVFlux_16,0)</f>
        <v>13788</v>
      </c>
      <c r="H41" s="92" t="str">
        <f>IF(G41&lt;&gt;"",IF(C41="float32",FLOAT2HEX(G41),DEC2HEX(G41,8)),"")</f>
        <v>000035DC</v>
      </c>
      <c r="I41" s="92">
        <f t="shared" si="2"/>
        <v>13788</v>
      </c>
    </row>
    <row r="42" spans="1:9" x14ac:dyDescent="0.25">
      <c r="A42" s="94">
        <f>IF(I42&lt;&gt;"",MAX(A$1:A41)+1,"")</f>
        <v>35</v>
      </c>
      <c r="B42" s="72" t="s">
        <v>895</v>
      </c>
      <c r="C42" s="101" t="s">
        <v>57</v>
      </c>
      <c r="D42" s="101">
        <f t="shared" si="1"/>
        <v>4</v>
      </c>
      <c r="E42" s="87" t="s">
        <v>945</v>
      </c>
      <c r="G42" s="101">
        <f>ROUND((32768/BASE_TORQ) * MTPVTorque_16,0)</f>
        <v>7223</v>
      </c>
      <c r="H42" s="92" t="str">
        <f>IF(G42&lt;&gt;"",IF(C42="float32",FLOAT2HEX(G42),DEC2HEX(G42,8)),"")</f>
        <v>00001C37</v>
      </c>
      <c r="I42" s="92">
        <f t="shared" si="2"/>
        <v>7223</v>
      </c>
    </row>
    <row r="43" spans="1:9" x14ac:dyDescent="0.25">
      <c r="A43" s="94">
        <f>IF(I43&lt;&gt;"",MAX(A$1:A42)+1,"")</f>
        <v>36</v>
      </c>
      <c r="B43" s="95" t="s">
        <v>896</v>
      </c>
      <c r="C43" s="101" t="s">
        <v>57</v>
      </c>
      <c r="D43" s="101">
        <f t="shared" si="1"/>
        <v>4</v>
      </c>
      <c r="E43" s="87" t="s">
        <v>946</v>
      </c>
      <c r="G43" s="101">
        <f>ROUND((32768/BASE_FLUX) * MTPVFlux_17,0)</f>
        <v>14598</v>
      </c>
      <c r="H43" s="92" t="str">
        <f>IF(G43&lt;&gt;"",IF(C43="float32",FLOAT2HEX(G43),DEC2HEX(G43,8)),"")</f>
        <v>00003906</v>
      </c>
      <c r="I43" s="92">
        <f t="shared" si="2"/>
        <v>14598</v>
      </c>
    </row>
    <row r="44" spans="1:9" x14ac:dyDescent="0.25">
      <c r="A44" s="94">
        <f>IF(I44&lt;&gt;"",MAX(A$1:A43)+1,"")</f>
        <v>37</v>
      </c>
      <c r="B44" s="72" t="s">
        <v>897</v>
      </c>
      <c r="C44" s="101" t="s">
        <v>57</v>
      </c>
      <c r="D44" s="101">
        <f t="shared" si="1"/>
        <v>4</v>
      </c>
      <c r="E44" s="87" t="s">
        <v>947</v>
      </c>
      <c r="G44" s="101">
        <f>ROUND((32768/BASE_TORQ) * MTPVTorque_17,0)</f>
        <v>8089</v>
      </c>
      <c r="H44" s="92" t="str">
        <f>IF(G44&lt;&gt;"",IF(C44="float32",FLOAT2HEX(G44),DEC2HEX(G44,8)),"")</f>
        <v>00001F99</v>
      </c>
      <c r="I44" s="92">
        <f t="shared" si="2"/>
        <v>8089</v>
      </c>
    </row>
    <row r="45" spans="1:9" x14ac:dyDescent="0.25">
      <c r="A45" s="94">
        <f>IF(I45&lt;&gt;"",MAX(A$1:A44)+1,"")</f>
        <v>38</v>
      </c>
      <c r="B45" s="95" t="s">
        <v>898</v>
      </c>
      <c r="C45" s="101" t="s">
        <v>57</v>
      </c>
      <c r="D45" s="101">
        <f t="shared" si="1"/>
        <v>4</v>
      </c>
      <c r="E45" s="87" t="s">
        <v>948</v>
      </c>
      <c r="G45" s="101">
        <f>ROUND((32768/BASE_FLUX) * MTPVFlux_18,0)</f>
        <v>15409</v>
      </c>
      <c r="H45" s="92" t="str">
        <f>IF(G45&lt;&gt;"",IF(C45="float32",FLOAT2HEX(G45),DEC2HEX(G45,8)),"")</f>
        <v>00003C31</v>
      </c>
      <c r="I45" s="92">
        <f t="shared" si="2"/>
        <v>15409</v>
      </c>
    </row>
    <row r="46" spans="1:9" x14ac:dyDescent="0.25">
      <c r="A46" s="94">
        <f>IF(I46&lt;&gt;"",MAX(A$1:A45)+1,"")</f>
        <v>39</v>
      </c>
      <c r="B46" s="72" t="s">
        <v>899</v>
      </c>
      <c r="C46" s="101" t="s">
        <v>57</v>
      </c>
      <c r="D46" s="101">
        <f t="shared" si="1"/>
        <v>4</v>
      </c>
      <c r="E46" s="87" t="s">
        <v>949</v>
      </c>
      <c r="G46" s="101">
        <f>ROUND((32768/BASE_TORQ) * MTPVTorque_18,0)</f>
        <v>8565</v>
      </c>
      <c r="H46" s="92" t="str">
        <f>IF(G46&lt;&gt;"",IF(C46="float32",FLOAT2HEX(G46),DEC2HEX(G46,8)),"")</f>
        <v>00002175</v>
      </c>
      <c r="I46" s="92">
        <f t="shared" si="2"/>
        <v>8565</v>
      </c>
    </row>
    <row r="47" spans="1:9" x14ac:dyDescent="0.25">
      <c r="A47" s="94">
        <f>IF(I47&lt;&gt;"",MAX(A$1:A46)+1,"")</f>
        <v>40</v>
      </c>
      <c r="B47" s="95" t="s">
        <v>900</v>
      </c>
      <c r="C47" s="101" t="s">
        <v>57</v>
      </c>
      <c r="D47" s="101">
        <f t="shared" si="1"/>
        <v>4</v>
      </c>
      <c r="E47" s="87" t="s">
        <v>950</v>
      </c>
      <c r="G47" s="101">
        <f>ROUND((32768/BASE_FLUX) * MTPVFlux_19,0)</f>
        <v>16219</v>
      </c>
      <c r="H47" s="92" t="str">
        <f>IF(G47&lt;&gt;"",IF(C47="float32",FLOAT2HEX(G47),DEC2HEX(G47,8)),"")</f>
        <v>00003F5B</v>
      </c>
      <c r="I47" s="92">
        <f t="shared" si="2"/>
        <v>16219</v>
      </c>
    </row>
    <row r="48" spans="1:9" x14ac:dyDescent="0.25">
      <c r="A48" s="94">
        <f>IF(I48&lt;&gt;"",MAX(A$1:A47)+1,"")</f>
        <v>41</v>
      </c>
      <c r="B48" s="72" t="s">
        <v>901</v>
      </c>
      <c r="C48" s="101" t="s">
        <v>57</v>
      </c>
      <c r="D48" s="101">
        <f t="shared" si="1"/>
        <v>4</v>
      </c>
      <c r="E48" s="87" t="s">
        <v>951</v>
      </c>
      <c r="G48" s="101">
        <f>ROUND((32768/BASE_TORQ) * MTPVTorque_19,0)</f>
        <v>8565</v>
      </c>
      <c r="H48" s="92" t="str">
        <f>IF(G48&lt;&gt;"",IF(C48="float32",FLOAT2HEX(G48),DEC2HEX(G48,8)),"")</f>
        <v>00002175</v>
      </c>
      <c r="I48" s="92">
        <f t="shared" si="2"/>
        <v>8565</v>
      </c>
    </row>
    <row r="49" spans="1:9" x14ac:dyDescent="0.25">
      <c r="A49" s="94">
        <f>IF(I49&lt;&gt;"",MAX(A$1:A48)+1,"")</f>
        <v>42</v>
      </c>
      <c r="B49" s="95" t="s">
        <v>902</v>
      </c>
      <c r="C49" s="101" t="s">
        <v>57</v>
      </c>
      <c r="D49" s="101">
        <f t="shared" si="1"/>
        <v>4</v>
      </c>
      <c r="E49" s="87" t="s">
        <v>952</v>
      </c>
      <c r="G49" s="101">
        <f>ROUND((32768/BASE_FLUX) * MTPVFlux_20,0)</f>
        <v>17029</v>
      </c>
      <c r="H49" s="92" t="str">
        <f>IF(G49&lt;&gt;"",IF(C49="float32",FLOAT2HEX(G49),DEC2HEX(G49,8)),"")</f>
        <v>00004285</v>
      </c>
      <c r="I49" s="92">
        <f t="shared" si="2"/>
        <v>17029</v>
      </c>
    </row>
    <row r="50" spans="1:9" x14ac:dyDescent="0.25">
      <c r="A50" s="94">
        <f>IF(I50&lt;&gt;"",MAX(A$1:A49)+1,"")</f>
        <v>43</v>
      </c>
      <c r="B50" s="72" t="s">
        <v>903</v>
      </c>
      <c r="C50" s="101" t="s">
        <v>57</v>
      </c>
      <c r="D50" s="101">
        <f t="shared" si="1"/>
        <v>4</v>
      </c>
      <c r="E50" s="87" t="s">
        <v>953</v>
      </c>
      <c r="G50" s="101">
        <f>ROUND((32768/BASE_TORQ) * MTPVTorque_20,0)</f>
        <v>8565</v>
      </c>
      <c r="H50" s="92" t="str">
        <f>IF(G50&lt;&gt;"",IF(C50="float32",FLOAT2HEX(G50),DEC2HEX(G50,8)),"")</f>
        <v>00002175</v>
      </c>
      <c r="I50" s="92">
        <f t="shared" si="2"/>
        <v>8565</v>
      </c>
    </row>
    <row r="51" spans="1:9" x14ac:dyDescent="0.25">
      <c r="A51" s="94">
        <f>IF(I51&lt;&gt;"",MAX(A$1:A50)+1,"")</f>
        <v>44</v>
      </c>
      <c r="B51" s="95" t="s">
        <v>904</v>
      </c>
      <c r="C51" s="101" t="s">
        <v>57</v>
      </c>
      <c r="D51" s="101">
        <f t="shared" si="1"/>
        <v>4</v>
      </c>
      <c r="E51" s="87" t="s">
        <v>954</v>
      </c>
      <c r="G51" s="101">
        <f>ROUND((32768/BASE_FLUX) * MTPVFlux_21,0)</f>
        <v>17840</v>
      </c>
      <c r="H51" s="92" t="str">
        <f>IF(G51&lt;&gt;"",IF(C51="float32",FLOAT2HEX(G51),DEC2HEX(G51,8)),"")</f>
        <v>000045B0</v>
      </c>
      <c r="I51" s="92">
        <f t="shared" si="2"/>
        <v>17840</v>
      </c>
    </row>
    <row r="52" spans="1:9" x14ac:dyDescent="0.25">
      <c r="A52" s="94">
        <f>IF(I52&lt;&gt;"",MAX(A$1:A51)+1,"")</f>
        <v>45</v>
      </c>
      <c r="B52" s="72" t="s">
        <v>905</v>
      </c>
      <c r="C52" s="101" t="s">
        <v>57</v>
      </c>
      <c r="D52" s="101">
        <f t="shared" ref="D52:D58" si="3">IF(OR(C52="sint64",C52="uint64",C52="double64"), 8, IF(OR(C52="sint32",C52="uint32",C52="float32"),4,IF(OR(C52="sint16",C52="uint16"),2,  IF(OR(C52="sint8",C52="uint8"),1,""))))</f>
        <v>4</v>
      </c>
      <c r="E52" s="87" t="s">
        <v>955</v>
      </c>
      <c r="G52" s="101">
        <f>ROUND((32768/BASE_TORQ) * MTPVTorque_21,0)</f>
        <v>8565</v>
      </c>
      <c r="H52" s="92" t="str">
        <f>IF(G52&lt;&gt;"",IF(C52="float32",FLOAT2HEX(G52),DEC2HEX(G52,8)),"")</f>
        <v>00002175</v>
      </c>
      <c r="I52" s="92">
        <f t="shared" si="2"/>
        <v>8565</v>
      </c>
    </row>
    <row r="53" spans="1:9" x14ac:dyDescent="0.25">
      <c r="A53" s="94">
        <f>IF(I53&lt;&gt;"",MAX(A$1:A52)+1,"")</f>
        <v>46</v>
      </c>
      <c r="B53" s="95" t="s">
        <v>906</v>
      </c>
      <c r="C53" s="101" t="s">
        <v>57</v>
      </c>
      <c r="D53" s="101">
        <f t="shared" si="3"/>
        <v>4</v>
      </c>
      <c r="E53" s="87" t="s">
        <v>956</v>
      </c>
      <c r="G53" s="101">
        <f>ROUND((32768/BASE_FLUX) * MTPVFlux_22,0)</f>
        <v>18650</v>
      </c>
      <c r="H53" s="92" t="str">
        <f>IF(G53&lt;&gt;"",IF(C53="float32",FLOAT2HEX(G53),DEC2HEX(G53,8)),"")</f>
        <v>000048DA</v>
      </c>
      <c r="I53" s="92">
        <f t="shared" ref="I53:I58" si="4">IF(AND(G53&lt;&gt;"",(ROW()-8)&lt;(($G$7+1)*3+1)),HEX2DEC(H53),"")</f>
        <v>18650</v>
      </c>
    </row>
    <row r="54" spans="1:9" x14ac:dyDescent="0.25">
      <c r="A54" s="94">
        <f>IF(I54&lt;&gt;"",MAX(A$1:A53)+1,"")</f>
        <v>47</v>
      </c>
      <c r="B54" s="72" t="s">
        <v>907</v>
      </c>
      <c r="C54" s="101" t="s">
        <v>57</v>
      </c>
      <c r="D54" s="101">
        <f t="shared" si="3"/>
        <v>4</v>
      </c>
      <c r="E54" s="87" t="s">
        <v>957</v>
      </c>
      <c r="G54" s="101">
        <f>ROUND((32768/BASE_TORQ) * MTPVTorque_22,0)</f>
        <v>8565</v>
      </c>
      <c r="H54" s="92" t="str">
        <f>IF(G54&lt;&gt;"",IF(C54="float32",FLOAT2HEX(G54),DEC2HEX(G54,8)),"")</f>
        <v>00002175</v>
      </c>
      <c r="I54" s="92">
        <f t="shared" si="4"/>
        <v>8565</v>
      </c>
    </row>
    <row r="55" spans="1:9" x14ac:dyDescent="0.25">
      <c r="A55" s="94">
        <f>IF(I55&lt;&gt;"",MAX(A$1:A54)+1,"")</f>
        <v>48</v>
      </c>
      <c r="B55" s="95" t="s">
        <v>908</v>
      </c>
      <c r="C55" s="101" t="s">
        <v>57</v>
      </c>
      <c r="D55" s="101">
        <f t="shared" si="3"/>
        <v>4</v>
      </c>
      <c r="E55" s="87" t="s">
        <v>958</v>
      </c>
      <c r="G55" s="101">
        <f>ROUND((32768/BASE_FLUX) * MTPVFlux_23,0)</f>
        <v>19461</v>
      </c>
      <c r="H55" s="92" t="str">
        <f>IF(G55&lt;&gt;"",IF(C55="float32",FLOAT2HEX(G55),DEC2HEX(G55,8)),"")</f>
        <v>00004C05</v>
      </c>
      <c r="I55" s="92">
        <f t="shared" si="4"/>
        <v>19461</v>
      </c>
    </row>
    <row r="56" spans="1:9" x14ac:dyDescent="0.25">
      <c r="A56" s="94">
        <f>IF(I56&lt;&gt;"",MAX(A$1:A55)+1,"")</f>
        <v>49</v>
      </c>
      <c r="B56" s="72" t="s">
        <v>909</v>
      </c>
      <c r="C56" s="101" t="s">
        <v>57</v>
      </c>
      <c r="D56" s="101">
        <f t="shared" si="3"/>
        <v>4</v>
      </c>
      <c r="E56" s="87" t="s">
        <v>959</v>
      </c>
      <c r="G56" s="101">
        <f>ROUND((32768/BASE_TORQ) * MTPVTorque_23,0)</f>
        <v>8565</v>
      </c>
      <c r="H56" s="92" t="str">
        <f>IF(G56&lt;&gt;"",IF(C56="float32",FLOAT2HEX(G56),DEC2HEX(G56,8)),"")</f>
        <v>00002175</v>
      </c>
      <c r="I56" s="92">
        <f t="shared" si="4"/>
        <v>8565</v>
      </c>
    </row>
    <row r="57" spans="1:9" x14ac:dyDescent="0.25">
      <c r="A57" s="94">
        <f>IF(I57&lt;&gt;"",MAX(A$1:A56)+1,"")</f>
        <v>50</v>
      </c>
      <c r="B57" s="95" t="s">
        <v>910</v>
      </c>
      <c r="C57" s="101" t="s">
        <v>57</v>
      </c>
      <c r="D57" s="101">
        <f t="shared" si="3"/>
        <v>4</v>
      </c>
      <c r="E57" s="87" t="s">
        <v>960</v>
      </c>
      <c r="G57" s="101">
        <f>ROUND((32768/BASE_FLUX) * MTPVFlux_24,0)</f>
        <v>19461</v>
      </c>
      <c r="H57" s="92" t="str">
        <f>IF(G57&lt;&gt;"",IF(C57="float32",FLOAT2HEX(G57),DEC2HEX(G57,8)),"")</f>
        <v>00004C05</v>
      </c>
      <c r="I57" s="92">
        <f t="shared" si="4"/>
        <v>19461</v>
      </c>
    </row>
    <row r="58" spans="1:9" x14ac:dyDescent="0.25">
      <c r="A58" s="94">
        <f>IF(I58&lt;&gt;"",MAX(A$1:A57)+1,"")</f>
        <v>51</v>
      </c>
      <c r="B58" s="72" t="s">
        <v>911</v>
      </c>
      <c r="C58" s="101" t="s">
        <v>57</v>
      </c>
      <c r="D58" s="101">
        <f t="shared" si="3"/>
        <v>4</v>
      </c>
      <c r="E58" s="87" t="s">
        <v>961</v>
      </c>
      <c r="G58" s="101">
        <f>ROUND((32768/BASE_TORQ) * MTPVTorque_24,0)</f>
        <v>8565</v>
      </c>
      <c r="H58" s="92" t="str">
        <f>IF(G58&lt;&gt;"",IF(C58="float32",FLOAT2HEX(G58),DEC2HEX(G58,8)),"")</f>
        <v>00002175</v>
      </c>
      <c r="I58" s="92">
        <f t="shared" si="4"/>
        <v>8565</v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9:C5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F7:J17"/>
  <sheetViews>
    <sheetView workbookViewId="0">
      <selection activeCell="J13" sqref="J13"/>
    </sheetView>
  </sheetViews>
  <sheetFormatPr defaultRowHeight="15" x14ac:dyDescent="0.25"/>
  <cols>
    <col min="6" max="6" width="18.5703125" bestFit="1" customWidth="1"/>
    <col min="7" max="7" width="17.7109375" bestFit="1" customWidth="1"/>
  </cols>
  <sheetData>
    <row r="7" spans="6:10" x14ac:dyDescent="0.25">
      <c r="F7" t="s">
        <v>67</v>
      </c>
      <c r="G7" t="s">
        <v>68</v>
      </c>
      <c r="J7" t="s">
        <v>22</v>
      </c>
    </row>
    <row r="8" spans="6:10" x14ac:dyDescent="0.25">
      <c r="F8" t="s">
        <v>59</v>
      </c>
      <c r="G8">
        <v>8</v>
      </c>
      <c r="J8" t="s">
        <v>69</v>
      </c>
    </row>
    <row r="9" spans="6:10" x14ac:dyDescent="0.25">
      <c r="F9" t="s">
        <v>60</v>
      </c>
      <c r="G9">
        <v>16</v>
      </c>
      <c r="J9" t="s">
        <v>23</v>
      </c>
    </row>
    <row r="10" spans="6:10" x14ac:dyDescent="0.25">
      <c r="F10" t="s">
        <v>57</v>
      </c>
      <c r="G10">
        <v>32</v>
      </c>
      <c r="J10" t="s">
        <v>24</v>
      </c>
    </row>
    <row r="11" spans="6:10" x14ac:dyDescent="0.25">
      <c r="F11" t="s">
        <v>61</v>
      </c>
      <c r="G11">
        <v>64</v>
      </c>
      <c r="J11" t="s">
        <v>26</v>
      </c>
    </row>
    <row r="12" spans="6:10" x14ac:dyDescent="0.25">
      <c r="F12" t="s">
        <v>58</v>
      </c>
      <c r="G12">
        <v>8</v>
      </c>
      <c r="J12" t="s">
        <v>25</v>
      </c>
    </row>
    <row r="13" spans="6:10" x14ac:dyDescent="0.25">
      <c r="F13" t="s">
        <v>62</v>
      </c>
      <c r="G13">
        <v>16</v>
      </c>
    </row>
    <row r="14" spans="6:10" x14ac:dyDescent="0.25">
      <c r="F14" t="s">
        <v>63</v>
      </c>
      <c r="G14">
        <v>32</v>
      </c>
    </row>
    <row r="15" spans="6:10" x14ac:dyDescent="0.25">
      <c r="F15" t="s">
        <v>64</v>
      </c>
      <c r="G15">
        <v>64</v>
      </c>
    </row>
    <row r="16" spans="6:10" x14ac:dyDescent="0.25">
      <c r="F16" t="s">
        <v>65</v>
      </c>
      <c r="G16">
        <v>32</v>
      </c>
    </row>
    <row r="17" spans="6:7" x14ac:dyDescent="0.25">
      <c r="F17" t="s">
        <v>66</v>
      </c>
      <c r="G17">
        <v>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306</vt:i4>
      </vt:variant>
    </vt:vector>
  </HeadingPairs>
  <TitlesOfParts>
    <vt:vector size="317" baseType="lpstr">
      <vt:lpstr>Template Instructions</vt:lpstr>
      <vt:lpstr>GUI forms</vt:lpstr>
      <vt:lpstr>Parameters definition</vt:lpstr>
      <vt:lpstr>Parameters definition LUTS</vt:lpstr>
      <vt:lpstr>Displ0</vt:lpstr>
      <vt:lpstr>Displ1</vt:lpstr>
      <vt:lpstr>Displ3</vt:lpstr>
      <vt:lpstr>Displ4</vt:lpstr>
      <vt:lpstr>Displ9</vt:lpstr>
      <vt:lpstr>Displ10</vt:lpstr>
      <vt:lpstr>Data validation entries</vt:lpstr>
      <vt:lpstr>ALGO_BUILD_FLUX_INCREMENT</vt:lpstr>
      <vt:lpstr>ALGO_BUILD_FLUX_MIN_CURRENT</vt:lpstr>
      <vt:lpstr>ALGO_BUILD_FLUX_RATIO_2_FORCE_FLUX</vt:lpstr>
      <vt:lpstr>ALGO_BUILD_FLUX_STARTING_TIME</vt:lpstr>
      <vt:lpstr>ALGO_BUILD_FLUX_TS</vt:lpstr>
      <vt:lpstr>ALGO_RES_EST_1ST_PLATEAU_TIME</vt:lpstr>
      <vt:lpstr>ALGO_RES_EST_2ND_PLATEAU_TIME</vt:lpstr>
      <vt:lpstr>ALGO_RES_EST_3RD_PLATEAU_TIME</vt:lpstr>
      <vt:lpstr>ALGO_RES_EST_BASE_TEMP</vt:lpstr>
      <vt:lpstr>ALGO_RES_EST_BASE_TEMP_COEFF</vt:lpstr>
      <vt:lpstr>ALGO_RES_EST_CURR_1ST_PLATEAU</vt:lpstr>
      <vt:lpstr>ALGO_RES_EST_CURR_2ND_PLATEAU</vt:lpstr>
      <vt:lpstr>ALGO_RES_EST_CURR_3RD_PLATEAU</vt:lpstr>
      <vt:lpstr>ALGO_RES_EST_HANDLER_TS</vt:lpstr>
      <vt:lpstr>ALGO_RES_EST_NR_OF_ESTIMATION_AFTER_RESET</vt:lpstr>
      <vt:lpstr>ALGO_RES_EST_NR_OF_ESTIMATION_IN_ROW_AFTER_SPIN</vt:lpstr>
      <vt:lpstr>ALGO_RES_EST_NUMBER_OF_SAMPLES</vt:lpstr>
      <vt:lpstr>ALGO_RES_EST_OSCILLATION_CHECK_TIME</vt:lpstr>
      <vt:lpstr>ALGO_RES_EST_OSCILLATION_SPEED_THRESHOLD</vt:lpstr>
      <vt:lpstr>ALGO_RES_EST_RS_FROM_BASE_TEMP</vt:lpstr>
      <vt:lpstr>ALGO_RES_EST_SPEED_TO_MEAS_AGAIN</vt:lpstr>
      <vt:lpstr>ALGO_RES_EST_STATOR_RESISTANCE</vt:lpstr>
      <vt:lpstr>ALGO_RES_EST_TEMP_COEFF</vt:lpstr>
      <vt:lpstr>ALGO_RES_EST_TIME_2_OUTDATE_RESISTANCE</vt:lpstr>
      <vt:lpstr>ALGO_RES_EST_TIME_BETWEEN_MEAS_AFTER_RESET</vt:lpstr>
      <vt:lpstr>ALGO_RES_EST_TIME_BETWEEN_MEAS_NORMAL_OPERATION</vt:lpstr>
      <vt:lpstr>ALGO_RES_EST_TIMEOUT_1ST_PLATEAU</vt:lpstr>
      <vt:lpstr>ALGO_RES_EST_TIMEOUT_2ND_PLATEAU</vt:lpstr>
      <vt:lpstr>ALGO_RES_EST_TIMEOUT_THRESHOLD</vt:lpstr>
      <vt:lpstr>ALGO_RES_EST_TS</vt:lpstr>
      <vt:lpstr>ALGO_RES_EST_VOLTAGE_STEP_1ST_PLATEAU</vt:lpstr>
      <vt:lpstr>ALGO_RES_EST_VOLTAGE_STEP_2ND_PLATEAU</vt:lpstr>
      <vt:lpstr>ALGO_RES_EST_VOLTAGE_STEP_3RD_PLATEAU</vt:lpstr>
      <vt:lpstr>ALGO_RUNNING_DEBOUNCER_2_IGBTS_OFF</vt:lpstr>
      <vt:lpstr>ALGO_RUNNING_LOCKED_ROTOR_CURRENT_THRESHOLD</vt:lpstr>
      <vt:lpstr>ALGO_RUNNING_LOCKED_ROTOR_RUNNING_THRESHOLD</vt:lpstr>
      <vt:lpstr>ALGO_RUNNING_LOCKED_ROTOR_START_OR_RUNNING</vt:lpstr>
      <vt:lpstr>ALGO_RUNNING_LOCKED_ROTOR_STARTING_THRESHOLD</vt:lpstr>
      <vt:lpstr>ALGO_RUNNING_MIN_SPEED_2_IGBTS_OFF</vt:lpstr>
      <vt:lpstr>ALGO_RUNNING_MIN_SPEED_BEFORE_STOPPING</vt:lpstr>
      <vt:lpstr>ALGO_RUNNING_TIME_IGBTS_OFF_BELOW_MIN_SPEED</vt:lpstr>
      <vt:lpstr>BASE_ANGLE</vt:lpstr>
      <vt:lpstr>BASE_CURRENT</vt:lpstr>
      <vt:lpstr>BASE_FLUX</vt:lpstr>
      <vt:lpstr>BASE_IND</vt:lpstr>
      <vt:lpstr>BASE_OMEGA</vt:lpstr>
      <vt:lpstr>BASE_POWER</vt:lpstr>
      <vt:lpstr>BASE_RADIAL</vt:lpstr>
      <vt:lpstr>BASE_SPEED_RPM</vt:lpstr>
      <vt:lpstr>BASE_TIME</vt:lpstr>
      <vt:lpstr>BASE_TORQ</vt:lpstr>
      <vt:lpstr>BASE_VOLTAGE</vt:lpstr>
      <vt:lpstr>BASE_VOLTAGE_BUS</vt:lpstr>
      <vt:lpstr>BASE_Z</vt:lpstr>
      <vt:lpstr>BRAKING_CURRENT_AT_LOW_SPEED</vt:lpstr>
      <vt:lpstr>CROSSED_CURR_POS_0</vt:lpstr>
      <vt:lpstr>CROSSED_CURR_POS_1</vt:lpstr>
      <vt:lpstr>CROSSED_CURR_POS_2</vt:lpstr>
      <vt:lpstr>CROSSED_CURR_POS_3</vt:lpstr>
      <vt:lpstr>CROSSED_CURR_POS_4</vt:lpstr>
      <vt:lpstr>CROSSED_CURR_POS_5</vt:lpstr>
      <vt:lpstr>CROSSED_CURR_POS_6</vt:lpstr>
      <vt:lpstr>CROSSED_CURR_POS_7</vt:lpstr>
      <vt:lpstr>CROSSED_IND_POS_0</vt:lpstr>
      <vt:lpstr>CROSSED_IND_POS_1</vt:lpstr>
      <vt:lpstr>CROSSED_IND_POS_2</vt:lpstr>
      <vt:lpstr>CROSSED_IND_POS_3</vt:lpstr>
      <vt:lpstr>CROSSED_IND_POS_4</vt:lpstr>
      <vt:lpstr>CROSSED_IND_POS_5</vt:lpstr>
      <vt:lpstr>CROSSED_IND_POS_6</vt:lpstr>
      <vt:lpstr>CROSSED_IND_POS_7</vt:lpstr>
      <vt:lpstr>D_CURR_CONTROL_KI</vt:lpstr>
      <vt:lpstr>D_CURR_CONTROL_KP</vt:lpstr>
      <vt:lpstr>DC_BUS_MAX_VOLTAGE</vt:lpstr>
      <vt:lpstr>DIRECT_CURR_POS_0</vt:lpstr>
      <vt:lpstr>DIRECT_CURR_POS_1</vt:lpstr>
      <vt:lpstr>DIRECT_CURR_POS_2</vt:lpstr>
      <vt:lpstr>DIRECT_CURR_POS_3</vt:lpstr>
      <vt:lpstr>DIRECT_CURR_POS_4</vt:lpstr>
      <vt:lpstr>DIRECT_CURR_POS_5</vt:lpstr>
      <vt:lpstr>DIRECT_CURR_POS_6</vt:lpstr>
      <vt:lpstr>DIRECT_CURR_POS_7</vt:lpstr>
      <vt:lpstr>DIRECT_IND_POS_0</vt:lpstr>
      <vt:lpstr>DIRECT_IND_POS_1</vt:lpstr>
      <vt:lpstr>DIRECT_IND_POS_2</vt:lpstr>
      <vt:lpstr>DIRECT_IND_POS_3</vt:lpstr>
      <vt:lpstr>DIRECT_IND_POS_4</vt:lpstr>
      <vt:lpstr>DIRECT_IND_POS_5</vt:lpstr>
      <vt:lpstr>DIRECT_IND_POS_6</vt:lpstr>
      <vt:lpstr>DIRECT_IND_POS_7</vt:lpstr>
      <vt:lpstr>DQ_CONTROLLER_MAX_FLUX</vt:lpstr>
      <vt:lpstr>DQ_CONTROLLER_MAX_INPUT_VOLT_FACTOR</vt:lpstr>
      <vt:lpstr>DQ_CONTROLLER_OVER_FLUX_DECREMENT</vt:lpstr>
      <vt:lpstr>DQ_CONTROLLER_TS</vt:lpstr>
      <vt:lpstr>DQ_CURRENT_CONTROL_TS</vt:lpstr>
      <vt:lpstr>DQ_FLUX_KI_REGION_0</vt:lpstr>
      <vt:lpstr>DQ_FLUX_KI_REGION_1</vt:lpstr>
      <vt:lpstr>DQ_FLUX_KI_REGION_2</vt:lpstr>
      <vt:lpstr>DQ_FLUX_KP_REGION_0</vt:lpstr>
      <vt:lpstr>DQ_FLUX_KP_REGION_1</vt:lpstr>
      <vt:lpstr>DQ_FLUX_KP_REGION_2</vt:lpstr>
      <vt:lpstr>DQ_GAINS_SWTICHING_TIME_REGION_0</vt:lpstr>
      <vt:lpstr>DQ_GAINS_SWTICHING_TIME_REGION_1</vt:lpstr>
      <vt:lpstr>DQ_GAINS_SWTICHING_TIME_REGION_2</vt:lpstr>
      <vt:lpstr>DQ_SPEED_THRESHOLD_REGION_0</vt:lpstr>
      <vt:lpstr>DQ_SPEED_THRESHOLD_REGION_1</vt:lpstr>
      <vt:lpstr>DQ_SPEED_THRESHOLD_REGION_2</vt:lpstr>
      <vt:lpstr>DQ_STARTING_TIME</vt:lpstr>
      <vt:lpstr>DQ_TORQUE_KI_REGION_0</vt:lpstr>
      <vt:lpstr>DQ_TORQUE_KI_REGION_1</vt:lpstr>
      <vt:lpstr>DQ_TORQUE_KI_REGION_2</vt:lpstr>
      <vt:lpstr>DQ_TORQUE_KP_REGION_0</vt:lpstr>
      <vt:lpstr>DQ_TORQUE_KP_REGION_1</vt:lpstr>
      <vt:lpstr>DQ_TORQUE_KP_REGION_2</vt:lpstr>
      <vt:lpstr>DQREF_MAX_SPEED_DROP_FACTOR</vt:lpstr>
      <vt:lpstr>DQREF_MIN_AVAILABLE_VOLT_FACTOR</vt:lpstr>
      <vt:lpstr>DQREF_SPEED_DROP_FACTOR</vt:lpstr>
      <vt:lpstr>FLUX_REF_SCALE_TIME</vt:lpstr>
      <vt:lpstr>FORCE_MAX_STARTING_TIME</vt:lpstr>
      <vt:lpstr>FORCE_MAX_STARTING_TORQUE</vt:lpstr>
      <vt:lpstr>K_TORQUE_ERROR</vt:lpstr>
      <vt:lpstr>List_Variable_Format</vt:lpstr>
      <vt:lpstr>List_Variable_Sizes</vt:lpstr>
      <vt:lpstr>LOAD_ANGLE_COS_MAX</vt:lpstr>
      <vt:lpstr>LOAD_ANGLE_KI</vt:lpstr>
      <vt:lpstr>LOAD_ANGLE_KP</vt:lpstr>
      <vt:lpstr>LS_INDUCTANCE</vt:lpstr>
      <vt:lpstr>M_INDEX_CTRL</vt:lpstr>
      <vt:lpstr>M_INDEX_REF</vt:lpstr>
      <vt:lpstr>Max_Available_Voltage_Factor</vt:lpstr>
      <vt:lpstr>MAX_PHASE_CURR</vt:lpstr>
      <vt:lpstr>MAX_PHASE_CURRENT_HIGH_SPEED</vt:lpstr>
      <vt:lpstr>MCL_INPUT_CALL_RATE_HZ</vt:lpstr>
      <vt:lpstr>MTPAFlux_0</vt:lpstr>
      <vt:lpstr>MTPAFlux_1</vt:lpstr>
      <vt:lpstr>MTPAFlux_10</vt:lpstr>
      <vt:lpstr>MTPAFlux_11</vt:lpstr>
      <vt:lpstr>MTPAFlux_12</vt:lpstr>
      <vt:lpstr>MTPAFlux_13</vt:lpstr>
      <vt:lpstr>MTPAFlux_14</vt:lpstr>
      <vt:lpstr>MTPAFlux_15</vt:lpstr>
      <vt:lpstr>MTPAFlux_16</vt:lpstr>
      <vt:lpstr>MTPAFlux_17</vt:lpstr>
      <vt:lpstr>MTPAFlux_18</vt:lpstr>
      <vt:lpstr>MTPAFlux_19</vt:lpstr>
      <vt:lpstr>MTPAFlux_2</vt:lpstr>
      <vt:lpstr>MTPAFlux_20</vt:lpstr>
      <vt:lpstr>MTPAFlux_21</vt:lpstr>
      <vt:lpstr>MTPAFlux_22</vt:lpstr>
      <vt:lpstr>MTPAFlux_23</vt:lpstr>
      <vt:lpstr>MTPAFlux_24</vt:lpstr>
      <vt:lpstr>MTPAFlux_3</vt:lpstr>
      <vt:lpstr>MTPAFlux_4</vt:lpstr>
      <vt:lpstr>MTPAFlux_5</vt:lpstr>
      <vt:lpstr>MTPAFlux_6</vt:lpstr>
      <vt:lpstr>MTPAFlux_7</vt:lpstr>
      <vt:lpstr>MTPAFlux_8</vt:lpstr>
      <vt:lpstr>MTPAFlux_9</vt:lpstr>
      <vt:lpstr>MTPATorque_0</vt:lpstr>
      <vt:lpstr>MTPATorque_1</vt:lpstr>
      <vt:lpstr>MTPATorque_10</vt:lpstr>
      <vt:lpstr>MTPATorque_11</vt:lpstr>
      <vt:lpstr>MTPATorque_12</vt:lpstr>
      <vt:lpstr>MTPATorque_13</vt:lpstr>
      <vt:lpstr>MTPATorque_14</vt:lpstr>
      <vt:lpstr>MTPATorque_15</vt:lpstr>
      <vt:lpstr>MTPATorque_16</vt:lpstr>
      <vt:lpstr>MTPATorque_17</vt:lpstr>
      <vt:lpstr>MTPATorque_18</vt:lpstr>
      <vt:lpstr>MTPATorque_19</vt:lpstr>
      <vt:lpstr>MTPATorque_2</vt:lpstr>
      <vt:lpstr>MTPATorque_20</vt:lpstr>
      <vt:lpstr>MTPATorque_21</vt:lpstr>
      <vt:lpstr>MTPATorque_22</vt:lpstr>
      <vt:lpstr>MTPATorque_23</vt:lpstr>
      <vt:lpstr>MTPATorque_24</vt:lpstr>
      <vt:lpstr>MTPATorque_3</vt:lpstr>
      <vt:lpstr>MTPATorque_4</vt:lpstr>
      <vt:lpstr>MTPATorque_5</vt:lpstr>
      <vt:lpstr>MTPATorque_6</vt:lpstr>
      <vt:lpstr>MTPATorque_7</vt:lpstr>
      <vt:lpstr>MTPATorque_8</vt:lpstr>
      <vt:lpstr>MTPATorque_9</vt:lpstr>
      <vt:lpstr>MTPVFlux_0</vt:lpstr>
      <vt:lpstr>MTPVFlux_1</vt:lpstr>
      <vt:lpstr>MTPVFlux_10</vt:lpstr>
      <vt:lpstr>MTPVFlux_11</vt:lpstr>
      <vt:lpstr>MTPVFlux_12</vt:lpstr>
      <vt:lpstr>MTPVFlux_13</vt:lpstr>
      <vt:lpstr>MTPVFlux_14</vt:lpstr>
      <vt:lpstr>MTPVFlux_15</vt:lpstr>
      <vt:lpstr>MTPVFlux_16</vt:lpstr>
      <vt:lpstr>MTPVFlux_17</vt:lpstr>
      <vt:lpstr>MTPVFlux_18</vt:lpstr>
      <vt:lpstr>MTPVFlux_19</vt:lpstr>
      <vt:lpstr>MTPVFlux_2</vt:lpstr>
      <vt:lpstr>MTPVFlux_20</vt:lpstr>
      <vt:lpstr>MTPVFlux_21</vt:lpstr>
      <vt:lpstr>MTPVFlux_22</vt:lpstr>
      <vt:lpstr>MTPVFlux_23</vt:lpstr>
      <vt:lpstr>MTPVFlux_24</vt:lpstr>
      <vt:lpstr>MTPVFlux_3</vt:lpstr>
      <vt:lpstr>MTPVFlux_4</vt:lpstr>
      <vt:lpstr>MTPVFlux_5</vt:lpstr>
      <vt:lpstr>MTPVFlux_6</vt:lpstr>
      <vt:lpstr>MTPVFlux_7</vt:lpstr>
      <vt:lpstr>MTPVFlux_8</vt:lpstr>
      <vt:lpstr>MTPVFlux_9</vt:lpstr>
      <vt:lpstr>MTPVTorque_0</vt:lpstr>
      <vt:lpstr>MTPVTorque_1</vt:lpstr>
      <vt:lpstr>MTPVTorque_10</vt:lpstr>
      <vt:lpstr>MTPVTorque_11</vt:lpstr>
      <vt:lpstr>MTPVTorque_12</vt:lpstr>
      <vt:lpstr>MTPVTorque_13</vt:lpstr>
      <vt:lpstr>MTPVTorque_14</vt:lpstr>
      <vt:lpstr>MTPVTorque_15</vt:lpstr>
      <vt:lpstr>MTPVTorque_16</vt:lpstr>
      <vt:lpstr>MTPVTorque_17</vt:lpstr>
      <vt:lpstr>MTPVTorque_18</vt:lpstr>
      <vt:lpstr>MTPVTorque_19</vt:lpstr>
      <vt:lpstr>MTPVTorque_2</vt:lpstr>
      <vt:lpstr>MTPVTorque_20</vt:lpstr>
      <vt:lpstr>MTPVTorque_21</vt:lpstr>
      <vt:lpstr>MTPVTorque_22</vt:lpstr>
      <vt:lpstr>MTPVTorque_23</vt:lpstr>
      <vt:lpstr>MTPVTorque_24</vt:lpstr>
      <vt:lpstr>MTPVTorque_3</vt:lpstr>
      <vt:lpstr>MTPVTorque_4</vt:lpstr>
      <vt:lpstr>MTPVTorque_5</vt:lpstr>
      <vt:lpstr>MTPVTorque_6</vt:lpstr>
      <vt:lpstr>MTPVTorque_7</vt:lpstr>
      <vt:lpstr>MTPVTorque_8</vt:lpstr>
      <vt:lpstr>MTPVTorque_9</vt:lpstr>
      <vt:lpstr>OBS_RESIS_ADAPT_CURRENT_THRES</vt:lpstr>
      <vt:lpstr>OBS_RESIS_ADAPT_LIM</vt:lpstr>
      <vt:lpstr>OBS_RESIS_ADAPT_SPEED_THRES</vt:lpstr>
      <vt:lpstr>OBSERVER_G_GAIN</vt:lpstr>
      <vt:lpstr>OBSERVER_G_INTEG_GAIN</vt:lpstr>
      <vt:lpstr>OBSERVER_MIN_FLUX_ZERO_SPEED</vt:lpstr>
      <vt:lpstr>OBSERVER_SPEED_PLL_KI</vt:lpstr>
      <vt:lpstr>OBSERVER_SPEED_PLL_KP</vt:lpstr>
      <vt:lpstr>OBSERVER_STARTING_THRESHOLD</vt:lpstr>
      <vt:lpstr>OBSERVER_TS</vt:lpstr>
      <vt:lpstr>OVERFLUX_FACTOR</vt:lpstr>
      <vt:lpstr>PHASE_ADVANCE_COEF_FDBK</vt:lpstr>
      <vt:lpstr>PHASE_ADVANCE_COEFF</vt:lpstr>
      <vt:lpstr>PI_VOLT_MARGIN</vt:lpstr>
      <vt:lpstr>POLE_PAIRS</vt:lpstr>
      <vt:lpstr>PWM_SPEED_THRESHOLD_PWM_COMP</vt:lpstr>
      <vt:lpstr>Q_CURR_CONTROL_KI</vt:lpstr>
      <vt:lpstr>Q_CURR_CONTROL_KP</vt:lpstr>
      <vt:lpstr>QUAD_CURR_POS_0</vt:lpstr>
      <vt:lpstr>QUAD_CURR_POS_1</vt:lpstr>
      <vt:lpstr>QUAD_CURR_POS_2</vt:lpstr>
      <vt:lpstr>QUAD_CURR_POS_3</vt:lpstr>
      <vt:lpstr>QUAD_CURR_POS_4</vt:lpstr>
      <vt:lpstr>QUAD_CURR_POS_5</vt:lpstr>
      <vt:lpstr>QUAD_CURR_POS_6</vt:lpstr>
      <vt:lpstr>QUAD_CURR_POS_7</vt:lpstr>
      <vt:lpstr>QUAD_IND_POS_0</vt:lpstr>
      <vt:lpstr>QUAD_IND_POS_1</vt:lpstr>
      <vt:lpstr>QUAD_IND_POS_2</vt:lpstr>
      <vt:lpstr>QUAD_IND_POS_3</vt:lpstr>
      <vt:lpstr>QUAD_IND_POS_4</vt:lpstr>
      <vt:lpstr>QUAD_IND_POS_5</vt:lpstr>
      <vt:lpstr>QUAD_IND_POS_6</vt:lpstr>
      <vt:lpstr>QUAD_IND_POS_7</vt:lpstr>
      <vt:lpstr>ROTOR_LAMBDAM</vt:lpstr>
      <vt:lpstr>SAMPLES_NUMBER</vt:lpstr>
      <vt:lpstr>SBPM_MIN_OVERFLUX_FACTOR</vt:lpstr>
      <vt:lpstr>SBPM_OVERFLUX_FACTOR</vt:lpstr>
      <vt:lpstr>SBPM_SPEED_OVERFULX_THRESHOLD</vt:lpstr>
      <vt:lpstr>SIZE_MTPA</vt:lpstr>
      <vt:lpstr>SIZE_MTPV</vt:lpstr>
      <vt:lpstr>SPEED_CONTROLLER_POSTSCALER</vt:lpstr>
      <vt:lpstr>SPEED_KI_REGION_0</vt:lpstr>
      <vt:lpstr>SPEED_KI_REGION_1</vt:lpstr>
      <vt:lpstr>SPEED_KI_REGION_2</vt:lpstr>
      <vt:lpstr>SPEED_KI_REGION_3</vt:lpstr>
      <vt:lpstr>SPEED_KI_REGION_4</vt:lpstr>
      <vt:lpstr>SPEED_KP_REGION_0</vt:lpstr>
      <vt:lpstr>SPEED_KP_REGION_1</vt:lpstr>
      <vt:lpstr>SPEED_KP_REGION_2</vt:lpstr>
      <vt:lpstr>SPEED_KP_REGION_3</vt:lpstr>
      <vt:lpstr>SPEED_KP_REGION_4</vt:lpstr>
      <vt:lpstr>SPEED_OVERFLUX_THRESHOLD</vt:lpstr>
      <vt:lpstr>SPEED_REF_DEFAULT_ACCEL</vt:lpstr>
      <vt:lpstr>SPEED_REF_MIN_SPEED_DEFAULT_ACCEL</vt:lpstr>
      <vt:lpstr>SPEED_THRESHOLD_MAX_PHASE_CURRENT</vt:lpstr>
      <vt:lpstr>SPEED_THRESHOLD_REGION_0</vt:lpstr>
      <vt:lpstr>SPEED_THRESHOLD_REGION_1</vt:lpstr>
      <vt:lpstr>SPEED_THRESHOLD_REGION_2</vt:lpstr>
      <vt:lpstr>SPEED_THRESHOLD_REGION_3</vt:lpstr>
      <vt:lpstr>SPEED_THRESHOLD_REGION_4</vt:lpstr>
      <vt:lpstr>SPEED_TIME_TO_SWITCH_REGION_0</vt:lpstr>
      <vt:lpstr>SPEED_TIME_TO_SWITCH_REGION_1</vt:lpstr>
      <vt:lpstr>SPEED_TIME_TO_SWITCH_REGION_2</vt:lpstr>
      <vt:lpstr>SPEED_TIME_TO_SWITCH_REGION_3</vt:lpstr>
      <vt:lpstr>SPEED_TIME_TO_SWITCH_REGION_4</vt:lpstr>
      <vt:lpstr>STATOR_INDUCTANCE_D</vt:lpstr>
      <vt:lpstr>STATOR_INDUCTANCE_Q</vt:lpstr>
      <vt:lpstr>STATOR_RESISTANCE</vt:lpstr>
      <vt:lpstr>TE_MAX</vt:lpstr>
      <vt:lpstr>TIME_DQ_FORCE_GAINS_STARTING</vt:lpstr>
      <vt:lpstr>TIME_FORCE_USE_DEFAULT_SPEED_GAINS</vt:lpstr>
      <vt:lpstr>TORQUE_ERROR_SAT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 Marin</dc:creator>
  <cp:lastModifiedBy>Lab.Motori</cp:lastModifiedBy>
  <dcterms:created xsi:type="dcterms:W3CDTF">2006-09-16T00:00:00Z</dcterms:created>
  <dcterms:modified xsi:type="dcterms:W3CDTF">2018-04-24T12:56:15Z</dcterms:modified>
</cp:coreProperties>
</file>